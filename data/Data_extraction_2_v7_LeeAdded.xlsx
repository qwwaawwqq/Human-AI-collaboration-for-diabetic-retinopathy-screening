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720" tabRatio="600" firstSheet="0" activeTab="1" autoFilterDateGrouping="1"/>
  </bookViews>
  <sheets>
    <sheet xmlns:r="http://schemas.openxmlformats.org/officeDocument/2006/relationships" name="Eligibility_o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AI_reader" sheetId="3" state="visible" r:id="rId3"/>
    <sheet xmlns:r="http://schemas.openxmlformats.org/officeDocument/2006/relationships" name="patient_rr" sheetId="4" state="visible" r:id="rId4"/>
    <sheet xmlns:r="http://schemas.openxmlformats.org/officeDocument/2006/relationships" name="eye_rr" sheetId="5" state="visible" r:id="rId5"/>
    <sheet xmlns:r="http://schemas.openxmlformats.org/officeDocument/2006/relationships" name="AI_reader_meta_patient" sheetId="6" state="visible" r:id="rId6"/>
    <sheet xmlns:r="http://schemas.openxmlformats.org/officeDocument/2006/relationships" name="AI_reader_meta_eye" sheetId="7" state="visible" r:id="rId7"/>
    <sheet xmlns:r="http://schemas.openxmlformats.org/officeDocument/2006/relationships" name="patient_network" sheetId="8" state="visible" r:id="rId8"/>
    <sheet xmlns:r="http://schemas.openxmlformats.org/officeDocument/2006/relationships" name="eye_network" sheetId="9" state="visible" r:id="rId9"/>
    <sheet xmlns:r="http://schemas.openxmlformats.org/officeDocument/2006/relationships" name="AI_reader_QA" sheetId="10" state="visible" r:id="rId10"/>
    <sheet xmlns:r="http://schemas.openxmlformats.org/officeDocument/2006/relationships" name="Conference" sheetId="11" state="visible" r:id="rId11"/>
    <sheet xmlns:r="http://schemas.openxmlformats.org/officeDocument/2006/relationships" name="patient_rr_dl" sheetId="12" state="visible" r:id="rId12"/>
    <sheet xmlns:r="http://schemas.openxmlformats.org/officeDocument/2006/relationships" name="patient_rr_reader" sheetId="13" state="visible" r:id="rId13"/>
    <sheet xmlns:r="http://schemas.openxmlformats.org/officeDocument/2006/relationships" name="eye_rr_dl" sheetId="14" state="visible" r:id="rId14"/>
    <sheet xmlns:r="http://schemas.openxmlformats.org/officeDocument/2006/relationships" name="eye_rr_reader" sheetId="15" state="visible" r:id="rId15"/>
  </sheets>
  <definedNames>
    <definedName name="_xlnm._FilterDatabase" localSheetId="0" hidden="1">'Eligibility_o'!$A$1:$L$703</definedName>
    <definedName name="_xlnm._FilterDatabase" localSheetId="1" hidden="1">'Eligibility'!$D$1:$D$2161</definedName>
    <definedName name="_xlnm._FilterDatabase" localSheetId="5" hidden="1">'AI_reader_meta_patient'!$AA$1:$AA$37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Microsoft JhengHei"/>
      <family val="2"/>
      <color theme="1"/>
      <sz val="12"/>
    </font>
    <font>
      <name val="Calibri"/>
      <family val="2"/>
      <color rgb="FFFF0000"/>
      <sz val="12"/>
    </font>
    <font>
      <name val="新細明體"/>
      <charset val="136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新細明體"/>
      <charset val="136"/>
      <family val="1"/>
      <color rgb="FF000000"/>
      <sz val="12"/>
      <scheme val="minor"/>
    </font>
    <font>
      <name val="Calibri"/>
      <family val="2"/>
      <b val="1"/>
      <i val="1"/>
      <color rgb="FF000000"/>
      <sz val="12"/>
    </font>
    <font>
      <name val="Aptos"/>
      <color rgb="FF000000"/>
      <sz val="18"/>
    </font>
    <font>
      <name val="Calibri"/>
      <family val="2"/>
      <b val="1"/>
      <sz val="10"/>
    </font>
    <font>
      <name val="Calibri"/>
      <family val="2"/>
      <b val="1"/>
      <i val="1"/>
      <sz val="10"/>
    </font>
    <font>
      <name val="Calibri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9" fontId="5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49" fontId="4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12" fillId="0" borderId="17" applyAlignment="1" pivotButton="0" quotePrefix="0" xfId="0">
      <alignment horizontal="center" vertical="center" wrapText="1" readingOrder="1"/>
    </xf>
    <xf numFmtId="10" fontId="5" fillId="0" borderId="0" applyAlignment="1" pivotButton="0" quotePrefix="0" xfId="0">
      <alignment vertical="center"/>
    </xf>
    <xf numFmtId="0" fontId="0" fillId="0" borderId="0" pivotButton="0" quotePrefix="0" xfId="0"/>
    <xf numFmtId="0" fontId="5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14" fillId="8" borderId="25" applyAlignment="1" pivotButton="0" quotePrefix="0" xfId="0">
      <alignment vertical="top" wrapText="1"/>
    </xf>
    <xf numFmtId="0" fontId="16" fillId="0" borderId="25" applyAlignment="1" pivotButton="0" quotePrefix="0" xfId="0">
      <alignment vertical="top" wrapText="1"/>
    </xf>
    <xf numFmtId="9" fontId="16" fillId="0" borderId="25" applyAlignment="1" pivotButton="0" quotePrefix="0" xfId="0">
      <alignment vertical="top" wrapText="1"/>
    </xf>
    <xf numFmtId="0" fontId="16" fillId="7" borderId="25" applyAlignment="1" pivotButton="0" quotePrefix="0" xfId="0">
      <alignment vertical="top" wrapText="1"/>
    </xf>
    <xf numFmtId="0" fontId="16" fillId="5" borderId="25" applyAlignment="1" pivotButton="0" quotePrefix="0" xfId="0">
      <alignment vertical="top" wrapText="1"/>
    </xf>
    <xf numFmtId="9" fontId="16" fillId="5" borderId="25" applyAlignment="1" pivotButton="0" quotePrefix="0" xfId="0">
      <alignment vertical="top" wrapText="1"/>
    </xf>
    <xf numFmtId="3" fontId="16" fillId="0" borderId="25" applyAlignment="1" pivotButton="0" quotePrefix="0" xfId="0">
      <alignment vertical="top" wrapText="1"/>
    </xf>
    <xf numFmtId="0" fontId="0" fillId="0" borderId="2" pivotButton="0" quotePrefix="0" xfId="0"/>
    <xf numFmtId="49" fontId="5" fillId="7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10" fontId="2" fillId="5" borderId="0" applyAlignment="1" pivotButton="0" quotePrefix="0" xfId="0">
      <alignment vertical="center"/>
    </xf>
    <xf numFmtId="49" fontId="2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16" fillId="2" borderId="25" applyAlignment="1" pivotButton="0" quotePrefix="0" xfId="0">
      <alignment vertical="top" wrapText="1"/>
    </xf>
    <xf numFmtId="0" fontId="0" fillId="0" borderId="3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5" pivotButton="0" quotePrefix="0" xfId="0"/>
    <xf numFmtId="0" fontId="15" fillId="9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0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0" fillId="0" borderId="14" pivotButton="0" quotePrefix="0" xfId="0"/>
    <xf numFmtId="0" fontId="4" fillId="0" borderId="3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 readingOrder="1"/>
    </xf>
    <xf numFmtId="0" fontId="0" fillId="0" borderId="18" pivotButton="0" quotePrefix="0" xfId="0"/>
    <xf numFmtId="0" fontId="6" fillId="0" borderId="23" applyAlignment="1" pivotButton="0" quotePrefix="0" xfId="0">
      <alignment horizontal="center" vertical="center" wrapText="1" readingOrder="1"/>
    </xf>
    <xf numFmtId="0" fontId="13" fillId="4" borderId="22" applyAlignment="1" pivotButton="0" quotePrefix="0" xfId="0">
      <alignment horizontal="left" vertical="center" wrapText="1" readingOrder="1"/>
    </xf>
    <xf numFmtId="0" fontId="0" fillId="0" borderId="20" pivotButton="0" quotePrefix="0" xfId="0"/>
    <xf numFmtId="0" fontId="13" fillId="4" borderId="24" applyAlignment="1" pivotButton="0" quotePrefix="0" xfId="0">
      <alignment horizontal="left" vertical="center" wrapText="1" readingOrder="1"/>
    </xf>
    <xf numFmtId="0" fontId="0" fillId="0" borderId="19" pivotButton="0" quotePrefix="0" xfId="0"/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一般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plotArea>
      <layout/>
      <barChart>
        <barDir val="bar"/>
        <grouping val="stacked"/>
        <varyColors val="0"/>
        <ser>
          <idx val="0"/>
          <order val="0"/>
          <tx>
            <strRef>
              <f>AI_reader_QA!$D$53:$D$55</f>
              <strCache>
                <ptCount val="1"/>
                <pt idx="0">
                  <v>Low risk of bias Unclear risk of bias High risk of bias</v>
                </pt>
              </strCache>
            </strRef>
          </tx>
          <spPr>
            <a:solidFill xmlns:a="http://schemas.openxmlformats.org/drawingml/2006/main">
              <a:schemeClr val="tx1">
                <a:lumMod val="85000"/>
                <a:lumOff val="1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AI_reader_QA!$E$52:$H$52</f>
              <strCache>
                <ptCount val="4"/>
                <pt idx="0">
                  <v>Patient selection</v>
                </pt>
                <pt idx="1">
                  <v>Index test</v>
                </pt>
                <pt idx="2">
                  <v>Reference standard</v>
                </pt>
                <pt idx="3">
                  <v>Flow and timing</v>
                </pt>
              </strCache>
            </strRef>
          </cat>
          <val>
            <numRef>
              <f>AI_reader_QA!$E$53:$H$53</f>
              <numCache>
                <formatCode>General</formatCode>
                <ptCount val="4"/>
                <pt idx="0">
                  <v>0.5217391304347826</v>
                </pt>
                <pt idx="1">
                  <v>0.8695652173913043</v>
                </pt>
                <pt idx="2">
                  <v>0.8260869565217391</v>
                </pt>
                <pt idx="3">
                  <v>0.391304347826087</v>
                </pt>
              </numCache>
            </numRef>
          </val>
        </ser>
        <ser>
          <idx val="1"/>
          <order val="1"/>
          <tx>
            <strRef>
              <f>AI_reader_QA!$D$54</f>
              <strCache>
                <ptCount val="1"/>
                <pt idx="0">
                  <v>Unclear risk of bias</v>
                </pt>
              </strCache>
            </strRef>
          </tx>
          <spPr>
            <a:solidFill xmlns:a="http://schemas.openxmlformats.org/drawingml/2006/main">
              <a:schemeClr val="tx1">
                <a:lumMod val="65000"/>
                <a:lumOff val="3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AI_reader_QA!$E$52:$H$52</f>
              <strCache>
                <ptCount val="4"/>
                <pt idx="0">
                  <v>Patient selection</v>
                </pt>
                <pt idx="1">
                  <v>Index test</v>
                </pt>
                <pt idx="2">
                  <v>Reference standard</v>
                </pt>
                <pt idx="3">
                  <v>Flow and timing</v>
                </pt>
              </strCache>
            </strRef>
          </cat>
          <val>
            <numRef>
              <f>AI_reader_QA!$E$54:$H$54</f>
              <numCache>
                <formatCode>General</formatCode>
                <ptCount val="4"/>
                <pt idx="0">
                  <v>0.1739130434782609</v>
                </pt>
                <pt idx="1">
                  <v>0.08695652173913043</v>
                </pt>
                <pt idx="2">
                  <v>0.1739130434782609</v>
                </pt>
                <pt idx="3">
                  <v>0.08695652173913043</v>
                </pt>
              </numCache>
            </numRef>
          </val>
        </ser>
        <ser>
          <idx val="2"/>
          <order val="2"/>
          <tx>
            <strRef>
              <f>AI_reader_QA!$D$55</f>
              <strCache>
                <ptCount val="1"/>
                <pt idx="0">
                  <v>High risk of bias</v>
                </pt>
              </strCache>
            </strRef>
          </tx>
          <spPr>
            <a:solidFill xmlns:a="http://schemas.openxmlformats.org/drawingml/2006/main">
              <a:schemeClr val="bg1">
                <a:lumMod val="6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AI_reader_QA!$E$52:$H$52</f>
              <strCache>
                <ptCount val="4"/>
                <pt idx="0">
                  <v>Patient selection</v>
                </pt>
                <pt idx="1">
                  <v>Index test</v>
                </pt>
                <pt idx="2">
                  <v>Reference standard</v>
                </pt>
                <pt idx="3">
                  <v>Flow and timing</v>
                </pt>
              </strCache>
            </strRef>
          </cat>
          <val>
            <numRef>
              <f>AI_reader_QA!$E$55:$H$55</f>
              <numCache>
                <formatCode>General</formatCode>
                <ptCount val="4"/>
                <pt idx="0">
                  <v>0.3043478260869565</v>
                </pt>
                <pt idx="1">
                  <v>0.04347826086956524</v>
                </pt>
                <pt idx="2">
                  <v>0</v>
                </pt>
                <pt idx="3">
                  <v>0.5217391304347827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21796832"/>
        <axId val="213097504"/>
      </barChart>
      <catAx>
        <axId val="321796832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TW" sz="1200" b="1"/>
                  <a:t>QUADAS-2 Domain</a:t>
                </a:r>
                <a:endParaRPr lang="zh-TW" altLang="en-US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zh-TW"/>
          </a:p>
        </txPr>
        <crossAx val="213097504"/>
        <crosses val="autoZero"/>
        <auto val="1"/>
        <lblAlgn val="ctr"/>
        <lblOffset val="100"/>
        <noMultiLvlLbl val="0"/>
      </catAx>
      <valAx>
        <axId val="213097504"/>
        <scaling>
          <orientation val="minMax"/>
          <max val="1"/>
          <min val="0"/>
        </scaling>
        <delete val="0"/>
        <axPos val="b"/>
        <majorGridlines>
          <spPr>
            <a:ln xmlns:a="http://schemas.openxmlformats.org/drawingml/2006/main" w="254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TW" sz="1200" b="1"/>
                  <a:t>Proportion</a:t>
                </a:r>
                <a:r>
                  <a:rPr lang="en-US" altLang="zh-TW" sz="1200" b="1" baseline="0"/>
                  <a:t xml:space="preserve"> of studies with low, high or unclear </a:t>
                </a:r>
              </a:p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TW" sz="1200" b="1" baseline="0"/>
                  <a:t>risk of bias</a:t>
                </a:r>
                <a:endParaRPr lang="zh-TW" altLang="en-US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%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zh-TW"/>
          </a:p>
        </txPr>
        <crossAx val="321796832"/>
        <crosses val="autoZero"/>
        <crossBetween val="between"/>
        <majorUnit val="0.2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barChart>
        <barDir val="bar"/>
        <grouping val="stacked"/>
        <varyColors val="0"/>
        <ser>
          <idx val="0"/>
          <order val="0"/>
          <tx>
            <strRef>
              <f>AI_reader_QA!$I$53</f>
              <strCache>
                <ptCount val="1"/>
                <pt idx="0">
                  <v>Low</v>
                </pt>
              </strCache>
            </strRef>
          </tx>
          <spPr>
            <a:solidFill xmlns:a="http://schemas.openxmlformats.org/drawingml/2006/main">
              <a:schemeClr val="tx1">
                <a:lumMod val="85000"/>
                <a:lumOff val="1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AI_reader_QA!$I$53:$I$55</f>
              <strCache>
                <ptCount val="3"/>
                <pt idx="0">
                  <v>Low</v>
                </pt>
                <pt idx="1">
                  <v>Unclear</v>
                </pt>
                <pt idx="2">
                  <v xml:space="preserve">High </v>
                </pt>
              </strCache>
            </strRef>
          </cat>
          <val>
            <numRef>
              <f>AI_reader_QA!$J$53:$L$53</f>
              <numCache>
                <formatCode>General</formatCode>
                <ptCount val="3"/>
                <pt idx="0">
                  <v>0.7826086956521739</v>
                </pt>
                <pt idx="1">
                  <v>0.9782608695652174</v>
                </pt>
                <pt idx="2">
                  <v>0.9130434782608695</v>
                </pt>
              </numCache>
            </numRef>
          </val>
        </ser>
        <ser>
          <idx val="1"/>
          <order val="1"/>
          <tx>
            <strRef>
              <f>AI_reader_QA!$I$54</f>
              <strCache>
                <ptCount val="1"/>
                <pt idx="0">
                  <v>Unclear</v>
                </pt>
              </strCache>
            </strRef>
          </tx>
          <spPr>
            <a:solidFill xmlns:a="http://schemas.openxmlformats.org/drawingml/2006/main">
              <a:schemeClr val="tx1">
                <a:lumMod val="65000"/>
                <a:lumOff val="3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AI_reader_QA!$I$53:$I$55</f>
              <strCache>
                <ptCount val="3"/>
                <pt idx="0">
                  <v>Low</v>
                </pt>
                <pt idx="1">
                  <v>Unclear</v>
                </pt>
                <pt idx="2">
                  <v xml:space="preserve">High </v>
                </pt>
              </strCache>
            </strRef>
          </cat>
          <val>
            <numRef>
              <f>AI_reader_QA!$J$54:$L$54</f>
              <numCache>
                <formatCode>General</formatCode>
                <ptCount val="3"/>
                <pt idx="0">
                  <v>0</v>
                </pt>
                <pt idx="1">
                  <v>0.02173913043478261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AI_reader_QA!$I$55</f>
              <strCache>
                <ptCount val="1"/>
                <pt idx="0">
                  <v xml:space="preserve">High </v>
                </pt>
              </strCache>
            </strRef>
          </tx>
          <spPr>
            <a:solidFill xmlns:a="http://schemas.openxmlformats.org/drawingml/2006/main">
              <a:schemeClr val="bg1">
                <a:lumMod val="6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AI_reader_QA!$I$53:$I$55</f>
              <strCache>
                <ptCount val="3"/>
                <pt idx="0">
                  <v>Low</v>
                </pt>
                <pt idx="1">
                  <v>Unclear</v>
                </pt>
                <pt idx="2">
                  <v xml:space="preserve">High </v>
                </pt>
              </strCache>
            </strRef>
          </cat>
          <val>
            <numRef>
              <f>AI_reader_QA!$J$55:$L$55</f>
              <numCache>
                <formatCode>General</formatCode>
                <ptCount val="3"/>
                <pt idx="0">
                  <v>0.2173913043478261</v>
                </pt>
                <pt idx="1">
                  <v>0</v>
                </pt>
                <pt idx="2">
                  <v>0.08695652173913049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05835680"/>
        <axId val="232952064"/>
      </barChart>
      <catAx>
        <axId val="30583568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232952064"/>
        <crosses val="autoZero"/>
        <auto val="1"/>
        <lblAlgn val="ctr"/>
        <lblOffset val="100"/>
        <noMultiLvlLbl val="0"/>
      </catAx>
      <valAx>
        <axId val="232952064"/>
        <scaling>
          <orientation val="minMax"/>
          <max val="1"/>
          <min val="0"/>
        </scaling>
        <delete val="0"/>
        <axPos val="b"/>
        <majorGridlines>
          <spPr>
            <a:ln xmlns:a="http://schemas.openxmlformats.org/drawingml/2006/main" w="254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200" b="1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 xml:space="preserve">Proportion of </a:t>
                </a:r>
                <a:r>
                  <a:rPr lang="en-US" altLang="zh-TW" sz="1200" b="1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</a:rPr>
                  <a:t>studies</a:t>
                </a:r>
                <a:r>
                  <a:rPr lang="en-US" altLang="zh-TW" sz="1200" b="1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 xml:space="preserve"> with low, high or unclear </a:t>
                </a:r>
              </a:p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200" b="1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concers regarding applicability</a:t>
                </a:r>
                <a:endParaRPr lang="zh-TW" altLang="en-US" sz="1200" b="1" i="0" strike="noStrike" kern="1200" baseline="0">
                  <a:solidFill>
                    <a:sysClr val="windowText" lastClr="000000">
                      <a:lumOff val="35000"/>
                      <a:lumMod val="6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zh-TW"/>
          </a:p>
        </txPr>
        <crossAx val="305835680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barChart>
        <barDir val="bar"/>
        <grouping val="stacked"/>
        <varyColors val="0"/>
        <ser>
          <idx val="0"/>
          <order val="0"/>
          <tx>
            <strRef>
              <f>AI_reader_QA!$N$53:$Q$53</f>
              <strCache>
                <ptCount val="4"/>
                <pt idx="0">
                  <v>Patient selection</v>
                </pt>
                <pt idx="1">
                  <v>0.869565217</v>
                </pt>
                <pt idx="2">
                  <v>0.913043478</v>
                </pt>
                <pt idx="3">
                  <v>0.434782609</v>
                </pt>
              </strCache>
            </strRef>
          </tx>
          <spPr>
            <a:solidFill xmlns:a="http://schemas.openxmlformats.org/drawingml/2006/main">
              <a:schemeClr val="tx1">
                <a:lumMod val="85000"/>
                <a:lumOff val="1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AI_reader_QA!$N$52:$Q$52</f>
              <strCache>
                <ptCount val="4"/>
                <pt idx="0">
                  <v>Patient selection</v>
                </pt>
                <pt idx="1">
                  <v>Index test</v>
                </pt>
                <pt idx="2">
                  <v>Reference standard</v>
                </pt>
                <pt idx="3">
                  <v>Flow and timing</v>
                </pt>
              </strCache>
            </strRef>
          </cat>
          <val>
            <numRef>
              <f>AI_reader_QA!$N$53:$Q$53</f>
              <numCache>
                <formatCode>General</formatCode>
                <ptCount val="4"/>
                <pt idx="1">
                  <v>0.8695652173913043</v>
                </pt>
                <pt idx="2">
                  <v>0.9130434782608695</v>
                </pt>
                <pt idx="3">
                  <v>0.4347826086956522</v>
                </pt>
              </numCache>
            </numRef>
          </val>
        </ser>
        <ser>
          <idx val="1"/>
          <order val="1"/>
          <tx>
            <strRef>
              <f>AI_reader_QA!$D$54</f>
              <strCache>
                <ptCount val="1"/>
                <pt idx="0">
                  <v>Unclear risk of bias</v>
                </pt>
              </strCache>
            </strRef>
          </tx>
          <spPr>
            <a:solidFill xmlns:a="http://schemas.openxmlformats.org/drawingml/2006/main">
              <a:schemeClr val="tx1">
                <a:lumMod val="65000"/>
                <a:lumOff val="3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AI_reader_QA!$N$52:$Q$52</f>
              <strCache>
                <ptCount val="4"/>
                <pt idx="0">
                  <v>Patient selection</v>
                </pt>
                <pt idx="1">
                  <v>Index test</v>
                </pt>
                <pt idx="2">
                  <v>Reference standard</v>
                </pt>
                <pt idx="3">
                  <v>Flow and timing</v>
                </pt>
              </strCache>
            </strRef>
          </cat>
          <val>
            <numRef>
              <f>AI_reader_QA!$N$54:$Q$54</f>
              <numCache>
                <formatCode>General</formatCode>
                <ptCount val="4"/>
                <pt idx="0">
                  <v>0.1739130434782609</v>
                </pt>
                <pt idx="1">
                  <v>0.1304347826086956</v>
                </pt>
                <pt idx="2">
                  <v>0.08695652173913043</v>
                </pt>
                <pt idx="3">
                  <v>0.08695652173913043</v>
                </pt>
              </numCache>
            </numRef>
          </val>
        </ser>
        <ser>
          <idx val="2"/>
          <order val="2"/>
          <tx>
            <strRef>
              <f>AI_reader_QA!$D$55</f>
              <strCache>
                <ptCount val="1"/>
                <pt idx="0">
                  <v>High risk of bias</v>
                </pt>
              </strCache>
            </strRef>
          </tx>
          <spPr>
            <a:solidFill xmlns:a="http://schemas.openxmlformats.org/drawingml/2006/main">
              <a:schemeClr val="bg1">
                <a:lumMod val="6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AI_reader_QA!$N$52:$Q$52</f>
              <strCache>
                <ptCount val="4"/>
                <pt idx="0">
                  <v>Patient selection</v>
                </pt>
                <pt idx="1">
                  <v>Index test</v>
                </pt>
                <pt idx="2">
                  <v>Reference standard</v>
                </pt>
                <pt idx="3">
                  <v>Flow and timing</v>
                </pt>
              </strCache>
            </strRef>
          </cat>
          <val>
            <numRef>
              <f>AI_reader_QA!$N$55:$Q$55</f>
              <numCache>
                <formatCode>General</formatCode>
                <ptCount val="4"/>
                <pt idx="0">
                  <v>0.8260869565217391</v>
                </pt>
                <pt idx="1">
                  <v>0</v>
                </pt>
                <pt idx="2">
                  <v>0</v>
                </pt>
                <pt idx="3">
                  <v>0.4782608695652175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21796832"/>
        <axId val="213097504"/>
      </barChart>
      <catAx>
        <axId val="321796832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TW" sz="1200" b="1"/>
                  <a:t>QUADAS-C Domain</a:t>
                </a:r>
                <a:endParaRPr lang="zh-TW" altLang="en-US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zh-TW"/>
          </a:p>
        </txPr>
        <crossAx val="213097504"/>
        <crosses val="autoZero"/>
        <auto val="1"/>
        <lblAlgn val="ctr"/>
        <lblOffset val="100"/>
        <noMultiLvlLbl val="0"/>
      </catAx>
      <valAx>
        <axId val="213097504"/>
        <scaling>
          <orientation val="minMax"/>
          <max val="1"/>
          <min val="0"/>
        </scaling>
        <delete val="0"/>
        <axPos val="b"/>
        <majorGridlines>
          <spPr>
            <a:ln xmlns:a="http://schemas.openxmlformats.org/drawingml/2006/main" w="254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TW" sz="1200" b="1"/>
                  <a:t>Proportion</a:t>
                </a:r>
                <a:r>
                  <a:rPr lang="en-US" altLang="zh-TW" sz="1200" b="1" baseline="0"/>
                  <a:t xml:space="preserve"> of studies with low, high or unclear </a:t>
                </a:r>
              </a:p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TW" sz="1200" b="1" baseline="0"/>
                  <a:t>risk of bias</a:t>
                </a:r>
                <a:endParaRPr lang="zh-TW" altLang="en-US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%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zh-TW"/>
          </a:p>
        </txPr>
        <crossAx val="321796832"/>
        <crosses val="autoZero"/>
        <crossBetween val="between"/>
        <majorUnit val="0.2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bar"/>
        <grouping val="stacked"/>
        <varyColors val="0"/>
        <ser>
          <idx val="0"/>
          <order val="0"/>
          <tx>
            <strRef>
              <f>AI_reader_QA!$D$53:$D$55</f>
              <strCache>
                <ptCount val="1"/>
                <pt idx="0">
                  <v>Low risk of bias Unclear risk of bias High risk of bias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tx1">
                  <a:lumMod val="85000"/>
                  <a:lumOff val="1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tx1">
                  <a:lumMod val="85000"/>
                  <a:lumOff val="1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tx1">
                  <a:lumMod val="85000"/>
                  <a:lumOff val="1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tx1">
                  <a:lumMod val="85000"/>
                  <a:lumOff val="1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AI_reader_QA!$E$52:$H$52</f>
              <strCache>
                <ptCount val="4"/>
                <pt idx="0">
                  <v>Patient selection</v>
                </pt>
                <pt idx="1">
                  <v>Index test</v>
                </pt>
                <pt idx="2">
                  <v>Reference standard</v>
                </pt>
                <pt idx="3">
                  <v>Flow and timing</v>
                </pt>
              </strCache>
            </strRef>
          </cat>
          <val>
            <numRef>
              <f>AI_reader_QA!$D$123:$G$123</f>
              <numCache>
                <formatCode>General</formatCode>
                <ptCount val="4"/>
                <pt idx="0">
                  <v>1</v>
                </pt>
                <pt idx="1">
                  <v>0</v>
                </pt>
                <pt idx="2">
                  <v>0.6956521739130435</v>
                </pt>
                <pt idx="3">
                  <v>0.9565217391304348</v>
                </pt>
              </numCache>
            </numRef>
          </val>
        </ser>
        <ser>
          <idx val="1"/>
          <order val="1"/>
          <tx>
            <strRef>
              <f>AI_reader_QA!$D$54</f>
              <strCache>
                <ptCount val="1"/>
                <pt idx="0">
                  <v>Unclear risk of bias</v>
                </pt>
              </strCache>
            </strRef>
          </tx>
          <spPr>
            <a:solidFill xmlns:a="http://schemas.openxmlformats.org/drawingml/2006/main">
              <a:schemeClr val="tx1">
                <a:lumMod val="65000"/>
                <a:lumOff val="3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AI_reader_QA!$E$52:$H$52</f>
              <strCache>
                <ptCount val="4"/>
                <pt idx="0">
                  <v>Patient selection</v>
                </pt>
                <pt idx="1">
                  <v>Index test</v>
                </pt>
                <pt idx="2">
                  <v>Reference standard</v>
                </pt>
                <pt idx="3">
                  <v>Flow and timing</v>
                </pt>
              </strCache>
            </strRef>
          </cat>
          <val>
            <numRef>
              <f>AI_reader_QA!$D$124:$G$124</f>
              <numCache>
                <formatCode>General</formatCode>
                <ptCount val="4"/>
                <pt idx="0">
                  <v>0</v>
                </pt>
                <pt idx="1">
                  <v>1</v>
                </pt>
                <pt idx="2">
                  <v>0.3043478260869565</v>
                </pt>
                <pt idx="3">
                  <v>0.04347826086956522</v>
                </pt>
              </numCache>
            </numRef>
          </val>
        </ser>
        <ser>
          <idx val="2"/>
          <order val="2"/>
          <tx>
            <strRef>
              <f>AI_reader_QA!$D$55</f>
              <strCache>
                <ptCount val="1"/>
                <pt idx="0">
                  <v>High risk of bias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AI_reader_QA!$E$52:$H$52</f>
              <strCache>
                <ptCount val="4"/>
                <pt idx="0">
                  <v>Patient selection</v>
                </pt>
                <pt idx="1">
                  <v>Index test</v>
                </pt>
                <pt idx="2">
                  <v>Reference standard</v>
                </pt>
                <pt idx="3">
                  <v>Flow and timing</v>
                </pt>
              </strCache>
            </strRef>
          </cat>
          <val>
            <numRef>
              <f>AI_reader_QA!$D$125:$G$125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21796832"/>
        <axId val="213097504"/>
      </barChart>
      <catAx>
        <axId val="321796832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TW" sz="1200" b="1"/>
                  <a:t>QUADAS-AI Domain</a:t>
                </a:r>
                <a:endParaRPr lang="zh-TW" altLang="en-US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zh-TW"/>
          </a:p>
        </txPr>
        <crossAx val="213097504"/>
        <crosses val="autoZero"/>
        <auto val="1"/>
        <lblAlgn val="ctr"/>
        <lblOffset val="100"/>
        <noMultiLvlLbl val="0"/>
      </catAx>
      <valAx>
        <axId val="213097504"/>
        <scaling>
          <orientation val="minMax"/>
          <max val="1"/>
          <min val="0"/>
        </scaling>
        <delete val="0"/>
        <axPos val="b"/>
        <majorGridlines>
          <spPr>
            <a:ln xmlns:a="http://schemas.openxmlformats.org/drawingml/2006/main" w="254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TW" sz="1200" b="1"/>
                  <a:t>Proportion</a:t>
                </a:r>
                <a:r>
                  <a:rPr lang="en-US" altLang="zh-TW" sz="1200" b="1" baseline="0"/>
                  <a:t xml:space="preserve"> of studies with low, high or unclear </a:t>
                </a:r>
              </a:p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TW" sz="1200" b="1" baseline="0"/>
                  <a:t>risk of bias</a:t>
                </a:r>
                <a:endParaRPr lang="zh-TW" altLang="en-US" sz="12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%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zh-TW"/>
          </a:p>
        </txPr>
        <crossAx val="321796832"/>
        <crosses val="autoZero"/>
        <crossBetween val="between"/>
        <majorUnit val="0.2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barChart>
        <barDir val="bar"/>
        <grouping val="stacked"/>
        <varyColors val="0"/>
        <ser>
          <idx val="0"/>
          <order val="0"/>
          <tx>
            <strRef>
              <f>AI_reader_QA!$I$53</f>
              <strCache>
                <ptCount val="1"/>
                <pt idx="0">
                  <v>Low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tx1">
                  <a:lumMod val="85000"/>
                  <a:lumOff val="1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tx1">
                  <a:lumMod val="85000"/>
                  <a:lumOff val="1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tx1">
                  <a:lumMod val="85000"/>
                  <a:lumOff val="1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AI_reader_QA!$I$53:$I$55</f>
              <strCache>
                <ptCount val="3"/>
                <pt idx="0">
                  <v>Low</v>
                </pt>
                <pt idx="1">
                  <v>Unclear</v>
                </pt>
                <pt idx="2">
                  <v xml:space="preserve">High </v>
                </pt>
              </strCache>
            </strRef>
          </cat>
          <val>
            <numRef>
              <f>AI_reader_QA!$I$123:$K$123</f>
              <numCache>
                <formatCode>General</formatCode>
                <ptCount val="3"/>
                <pt idx="0">
                  <v>1</v>
                </pt>
                <pt idx="1">
                  <v>1</v>
                </pt>
                <pt idx="2">
                  <v>0.7391304347826086</v>
                </pt>
              </numCache>
            </numRef>
          </val>
        </ser>
        <ser>
          <idx val="1"/>
          <order val="1"/>
          <tx>
            <strRef>
              <f>AI_reader_QA!$I$54</f>
              <strCache>
                <ptCount val="1"/>
                <pt idx="0">
                  <v>Unclear</v>
                </pt>
              </strCache>
            </strRef>
          </tx>
          <spPr>
            <a:solidFill xmlns:a="http://schemas.openxmlformats.org/drawingml/2006/main">
              <a:schemeClr val="tx1">
                <a:lumMod val="65000"/>
                <a:lumOff val="3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AI_reader_QA!$I$53:$I$55</f>
              <strCache>
                <ptCount val="3"/>
                <pt idx="0">
                  <v>Low</v>
                </pt>
                <pt idx="1">
                  <v>Unclear</v>
                </pt>
                <pt idx="2">
                  <v xml:space="preserve">High </v>
                </pt>
              </strCache>
            </strRef>
          </cat>
          <val>
            <numRef>
              <f>AI_reader_QA!$I$124:$K$124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0.2608695652173913</v>
                </pt>
              </numCache>
            </numRef>
          </val>
        </ser>
        <ser>
          <idx val="2"/>
          <order val="2"/>
          <tx>
            <strRef>
              <f>AI_reader_QA!$I$55</f>
              <strCache>
                <ptCount val="1"/>
                <pt idx="0">
                  <v xml:space="preserve">High 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AI_reader_QA!$I$53:$I$55</f>
              <strCache>
                <ptCount val="3"/>
                <pt idx="0">
                  <v>Low</v>
                </pt>
                <pt idx="1">
                  <v>Unclear</v>
                </pt>
                <pt idx="2">
                  <v xml:space="preserve">High </v>
                </pt>
              </strCache>
            </strRef>
          </cat>
          <val>
            <numRef>
              <f>AI_reader_QA!$I$125:$K$125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05835680"/>
        <axId val="232952064"/>
      </barChart>
      <catAx>
        <axId val="30583568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232952064"/>
        <crosses val="autoZero"/>
        <auto val="1"/>
        <lblAlgn val="ctr"/>
        <lblOffset val="100"/>
        <noMultiLvlLbl val="0"/>
      </catAx>
      <valAx>
        <axId val="232952064"/>
        <scaling>
          <orientation val="minMax"/>
          <max val="1"/>
          <min val="0"/>
        </scaling>
        <delete val="0"/>
        <axPos val="b"/>
        <majorGridlines>
          <spPr>
            <a:ln xmlns:a="http://schemas.openxmlformats.org/drawingml/2006/main" w="254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200" b="1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 xml:space="preserve">Proportion of </a:t>
                </a:r>
                <a:r>
                  <a:rPr lang="en-US" altLang="zh-TW" sz="1200" b="1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</a:rPr>
                  <a:t>studies</a:t>
                </a:r>
                <a:r>
                  <a:rPr lang="en-US" altLang="zh-TW" sz="1200" b="1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 xml:space="preserve"> with low, high or unclear </a:t>
                </a:r>
              </a:p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200" b="1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concers regarding applicability</a:t>
                </a:r>
                <a:endParaRPr lang="zh-TW" altLang="en-US" sz="1200" b="1" i="0" strike="noStrike" kern="1200" baseline="0">
                  <a:solidFill>
                    <a:sysClr val="windowText" lastClr="000000">
                      <a:lumOff val="35000"/>
                      <a:lumMod val="6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zh-TW"/>
          </a:p>
        </txPr>
        <crossAx val="305835680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Microsoft Office User</author>
  </authors>
  <commentList>
    <comment ref="T3" authorId="0" shapeId="0">
      <text>
        <t xml:space="preserve">Microsoft Office User:
World Bank Country Classification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3</col>
      <colOff>698500</colOff>
      <row>57</row>
      <rowOff>23514</rowOff>
    </from>
    <to>
      <col>8</col>
      <colOff>1284890</colOff>
      <row>75</row>
      <rowOff>37487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1267046</colOff>
      <row>57</row>
      <rowOff>22088</rowOff>
    </from>
    <to>
      <col>12</col>
      <colOff>1086385</colOff>
      <row>75</row>
      <rowOff>44174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12</col>
      <colOff>1066341</colOff>
      <row>57</row>
      <rowOff>22799</rowOff>
    </from>
    <to>
      <col>29</col>
      <colOff>211204</colOff>
      <row>75</row>
      <rowOff>36772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</col>
      <colOff>114300</colOff>
      <row>129</row>
      <rowOff>23514</rowOff>
    </from>
    <to>
      <col>8</col>
      <colOff>700690</colOff>
      <row>147</row>
      <rowOff>37487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8</col>
      <colOff>682846</colOff>
      <row>129</row>
      <rowOff>22088</rowOff>
    </from>
    <to>
      <col>12</col>
      <colOff>502185</colOff>
      <row>147</row>
      <rowOff>44174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3"/>
  <sheetViews>
    <sheetView workbookViewId="0">
      <pane xSplit="1" ySplit="1" topLeftCell="C3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0.83203125" defaultRowHeight="16"/>
  <cols>
    <col width="66" customWidth="1" style="86" min="1" max="1"/>
    <col width="10.83203125" customWidth="1" style="86" min="2" max="3"/>
    <col width="17" customWidth="1" style="86" min="4" max="4"/>
    <col width="10.83203125" customWidth="1" style="86" min="5" max="5"/>
    <col width="11.33203125" customWidth="1" style="86" min="6" max="6"/>
    <col width="27.6640625" customWidth="1" style="86" min="7" max="7"/>
    <col width="10.83203125" customWidth="1" style="86" min="8" max="9"/>
    <col width="10.83203125" customWidth="1" style="86" min="10" max="16384"/>
  </cols>
  <sheetData>
    <row r="1" customFormat="1" s="88">
      <c r="A1" s="88" t="inlineStr">
        <is>
          <t>Title</t>
        </is>
      </c>
      <c r="B1" s="88" t="inlineStr">
        <is>
          <t>Author</t>
        </is>
      </c>
      <c r="C1" s="88" t="inlineStr">
        <is>
          <t>Year</t>
        </is>
      </c>
      <c r="D1" s="88" t="inlineStr">
        <is>
          <t>Screening Status</t>
        </is>
      </c>
      <c r="E1" s="88" t="inlineStr">
        <is>
          <t>FDA</t>
        </is>
      </c>
      <c r="F1" s="88" t="inlineStr">
        <is>
          <t>All certified</t>
        </is>
      </c>
      <c r="G1" s="88" t="inlineStr">
        <is>
          <t>Network (commercially avaliable)</t>
        </is>
      </c>
      <c r="H1" s="88" t="inlineStr">
        <is>
          <t>Reader</t>
        </is>
      </c>
      <c r="I1" s="88" t="inlineStr">
        <is>
          <t>Prospective</t>
        </is>
      </c>
      <c r="J1" s="88" t="inlineStr">
        <is>
          <t>Techical</t>
        </is>
      </c>
    </row>
    <row r="2">
      <c r="A2" s="86" t="inlineStr">
        <is>
          <t>Diabetic Retinopathy Screening Using Smartphone-Based Fundus Photography and Deep-Learning Artificial Intelligence in the Yucatan Peninsula: A Field Study.</t>
        </is>
      </c>
      <c r="B2" s="86" t="inlineStr">
        <is>
          <t>Wroblewski, John J</t>
        </is>
      </c>
      <c r="C2" s="86" t="n">
        <v>2025</v>
      </c>
      <c r="D2" s="86" t="inlineStr">
        <is>
          <t>Included</t>
        </is>
      </c>
      <c r="E2" s="86" t="n">
        <v>1</v>
      </c>
      <c r="F2" s="86" t="n">
        <v>1</v>
      </c>
      <c r="G2" s="86" t="n">
        <v>1</v>
      </c>
      <c r="H2" s="86" t="inlineStr">
        <is>
          <t>Outcome not related to interest</t>
        </is>
      </c>
      <c r="I2" s="86" t="inlineStr">
        <is>
          <t>Retrospective study</t>
        </is>
      </c>
      <c r="J2" s="86" t="n">
        <v>1</v>
      </c>
      <c r="K2" s="86" t="n">
        <v>1</v>
      </c>
      <c r="L2" s="86" t="inlineStr">
        <is>
          <t>Abstract screening</t>
        </is>
      </c>
    </row>
    <row r="3">
      <c r="A3" s="86" t="inlineStr">
        <is>
          <t>Autonomous artificial intelligence versus teleophthalmology for diabetic retinopathy.</t>
        </is>
      </c>
      <c r="B3" s="86" t="inlineStr">
        <is>
          <t>Musetti, Donatella</t>
        </is>
      </c>
      <c r="C3" s="86" t="n">
        <v>2025</v>
      </c>
      <c r="D3" s="86" t="inlineStr">
        <is>
          <t>Included</t>
        </is>
      </c>
      <c r="E3" s="86" t="n">
        <v>2</v>
      </c>
      <c r="F3" s="86" t="n">
        <v>2</v>
      </c>
      <c r="G3" s="86" t="n">
        <v>2</v>
      </c>
      <c r="H3" s="86" t="inlineStr">
        <is>
          <t>Outcome not related to interest</t>
        </is>
      </c>
      <c r="I3" s="86" t="inlineStr">
        <is>
          <t>Retrospective study</t>
        </is>
      </c>
      <c r="J3" s="86" t="n">
        <v>2</v>
      </c>
      <c r="K3" s="86" t="n">
        <v>2</v>
      </c>
      <c r="L3" s="86" t="inlineStr">
        <is>
          <t>Outcome not related to interest</t>
        </is>
      </c>
    </row>
    <row r="4">
      <c r="A4" s="86" t="inlineStr">
        <is>
          <t>Diabetic retinopathy screening with confocal fundus camera and artificial intelligence - assisted grading.</t>
        </is>
      </c>
      <c r="B4" s="86" t="inlineStr">
        <is>
          <t>Piatti, A</t>
        </is>
      </c>
      <c r="C4" s="86" t="n">
        <v>2025</v>
      </c>
      <c r="D4" s="86" t="inlineStr">
        <is>
          <t>Included</t>
        </is>
      </c>
      <c r="E4" s="86" t="inlineStr">
        <is>
          <t>Outcome not related to interest</t>
        </is>
      </c>
      <c r="F4" s="86" t="n">
        <v>3</v>
      </c>
      <c r="G4" s="86" t="inlineStr">
        <is>
          <t>Outcome not related to interest</t>
        </is>
      </c>
      <c r="H4" s="86" t="inlineStr">
        <is>
          <t>Outcome not related to interest</t>
        </is>
      </c>
      <c r="I4" s="86" t="inlineStr">
        <is>
          <t>Retrospective study</t>
        </is>
      </c>
      <c r="J4" s="86" t="n">
        <v>3</v>
      </c>
      <c r="K4" s="86" t="n">
        <v>3</v>
      </c>
      <c r="L4" s="86" t="inlineStr">
        <is>
          <t>Not deep learning</t>
        </is>
      </c>
    </row>
    <row r="5">
      <c r="A5" s="86" t="inlineStr">
        <is>
          <t>Improved diabetic retinopathy severity classification using squeeze-and-excitation and sparse light weight multi-level attention u-net with transfer learning from xception.</t>
        </is>
      </c>
      <c r="B5" s="86" t="inlineStr">
        <is>
          <t>Bhandari, Sachin</t>
        </is>
      </c>
      <c r="C5" s="86" t="n">
        <v>2025</v>
      </c>
      <c r="D5" s="86" t="inlineStr">
        <is>
          <t>Included</t>
        </is>
      </c>
      <c r="E5" s="86" t="inlineStr">
        <is>
          <t>Outcome not related to interest</t>
        </is>
      </c>
      <c r="F5" s="86" t="inlineStr">
        <is>
          <t>Outcome not related to interest</t>
        </is>
      </c>
      <c r="G5" s="86" t="inlineStr">
        <is>
          <t>Outcome not related to interest</t>
        </is>
      </c>
      <c r="H5" s="86" t="inlineStr">
        <is>
          <t>Outcome not related to interest</t>
        </is>
      </c>
      <c r="I5" s="86" t="inlineStr">
        <is>
          <t>Retrospective study</t>
        </is>
      </c>
      <c r="J5" s="86" t="n">
        <v>4</v>
      </c>
      <c r="K5" s="86" t="n">
        <v>4</v>
      </c>
      <c r="L5" s="86" t="inlineStr">
        <is>
          <t>Insufficient to constrct confusion matrix</t>
        </is>
      </c>
    </row>
    <row r="6">
      <c r="A6" s="86" t="inlineStr">
        <is>
          <t>Classification of diabetic retinopathy algorithm based on a novel dual-path multi-module model.</t>
        </is>
      </c>
      <c r="B6" s="86" t="inlineStr">
        <is>
          <t>Zhang, Lirong</t>
        </is>
      </c>
      <c r="C6" s="86" t="n">
        <v>2025</v>
      </c>
      <c r="D6" s="86" t="inlineStr">
        <is>
          <t>Included</t>
        </is>
      </c>
      <c r="E6" s="86" t="inlineStr">
        <is>
          <t>Outcome not related to interest</t>
        </is>
      </c>
      <c r="F6" s="86" t="inlineStr">
        <is>
          <t>Outcome not related to interest</t>
        </is>
      </c>
      <c r="G6" s="86" t="inlineStr">
        <is>
          <t>Outcome not related to interest</t>
        </is>
      </c>
      <c r="H6" s="86" t="inlineStr">
        <is>
          <t>Outcome not related to interest</t>
        </is>
      </c>
      <c r="I6" s="86" t="inlineStr">
        <is>
          <t>Retrospective study</t>
        </is>
      </c>
      <c r="J6" s="86" t="n">
        <v>5</v>
      </c>
      <c r="K6" s="86" t="n">
        <v>5</v>
      </c>
      <c r="L6" s="86" t="inlineStr">
        <is>
          <t>Review</t>
        </is>
      </c>
    </row>
    <row r="7">
      <c r="A7" s="86" t="inlineStr">
        <is>
          <t>Diagnostic Accuracy of Automated Diabetic Retinopathy Image Assessment Software: IDx-DR and RetCAD.</t>
        </is>
      </c>
      <c r="B7" s="86" t="inlineStr">
        <is>
          <t>Grzybowski, Andrzej</t>
        </is>
      </c>
      <c r="C7" s="86" t="n">
        <v>2025</v>
      </c>
      <c r="D7" s="86" t="inlineStr">
        <is>
          <t>Included</t>
        </is>
      </c>
      <c r="E7" s="86" t="n">
        <v>3</v>
      </c>
      <c r="F7" s="86" t="n">
        <v>4</v>
      </c>
      <c r="G7" s="86" t="n">
        <v>3</v>
      </c>
      <c r="H7" s="86" t="inlineStr">
        <is>
          <t>Outcome not related to interest</t>
        </is>
      </c>
      <c r="I7" s="86" t="inlineStr">
        <is>
          <t>Retrospective study</t>
        </is>
      </c>
      <c r="J7" s="86" t="n">
        <v>6</v>
      </c>
      <c r="K7" s="86" t="n">
        <v>6</v>
      </c>
      <c r="L7" s="86" t="inlineStr">
        <is>
          <t>Not fundus image</t>
        </is>
      </c>
    </row>
    <row r="8">
      <c r="A8" s="17" t="inlineStr">
        <is>
          <t>ASSESSMENT OF ARTIFICIAL INTELLIGENCE SOFTWARE FOR AUTOMATIC SCREENING OF DIABETIC RETINOPATHY BASED ON FUNDUS PHOTOGRAPHS IN MELANODERM SUBJECTS.</t>
        </is>
      </c>
      <c r="B8" s="86" t="inlineStr">
        <is>
          <t>Mbaye, Soda</t>
        </is>
      </c>
      <c r="C8" s="86" t="n">
        <v>2025</v>
      </c>
      <c r="D8" s="86" t="inlineStr">
        <is>
          <t>Included</t>
        </is>
      </c>
      <c r="E8" s="86" t="inlineStr">
        <is>
          <t>Outcome not related to interest</t>
        </is>
      </c>
      <c r="F8" s="86" t="inlineStr">
        <is>
          <t>Outcome not related to interest</t>
        </is>
      </c>
      <c r="G8" s="86" t="inlineStr">
        <is>
          <t>Outcome not related to interest</t>
        </is>
      </c>
      <c r="H8" s="86" t="inlineStr">
        <is>
          <t>Outcome not related to interest</t>
        </is>
      </c>
      <c r="I8" s="86" t="n">
        <v>1</v>
      </c>
      <c r="J8" s="86" t="n">
        <v>7</v>
      </c>
      <c r="K8" s="86" t="n">
        <v>7</v>
      </c>
      <c r="L8" s="86" t="inlineStr">
        <is>
          <t>Not</t>
        </is>
      </c>
    </row>
    <row r="9">
      <c r="A9" s="86" t="inlineStr">
        <is>
          <t>Grading of diabetic retinopathy using a pre-segmenting deep learning classification model: Validation of an automated algorithm.</t>
        </is>
      </c>
      <c r="B9" s="86" t="inlineStr">
        <is>
          <t>Simili矇, Dyllan Edson</t>
        </is>
      </c>
      <c r="C9" s="86" t="n">
        <v>2025</v>
      </c>
      <c r="D9" s="86" t="inlineStr">
        <is>
          <t>Included</t>
        </is>
      </c>
      <c r="E9" s="86" t="inlineStr">
        <is>
          <t>Outcome not related to interest</t>
        </is>
      </c>
      <c r="F9" s="86" t="inlineStr">
        <is>
          <t>Outcome not related to interest</t>
        </is>
      </c>
      <c r="G9" s="86" t="inlineStr">
        <is>
          <t>Outcome not related to interest</t>
        </is>
      </c>
      <c r="H9" s="86" t="inlineStr">
        <is>
          <t>Outcome not related to interest</t>
        </is>
      </c>
      <c r="I9" s="86" t="inlineStr">
        <is>
          <t>Retrospective study</t>
        </is>
      </c>
      <c r="J9" s="86" t="n">
        <v>8</v>
      </c>
      <c r="K9" s="86" t="n">
        <v>8</v>
      </c>
      <c r="L9" s="86" t="inlineStr">
        <is>
          <t>Repeated article</t>
        </is>
      </c>
    </row>
    <row r="10">
      <c r="A10" s="86" t="inlineStr">
        <is>
          <t>Empirical analysis on retinal segmentation using PSO-based thresholding in diabetic retinopathy grading.</t>
        </is>
      </c>
      <c r="B10" s="86" t="inlineStr">
        <is>
          <t>Sekar, Bhuvaneswari</t>
        </is>
      </c>
      <c r="C10" s="86" t="n">
        <v>2025</v>
      </c>
      <c r="D10" s="86" t="inlineStr">
        <is>
          <t>Included</t>
        </is>
      </c>
      <c r="E10" s="86" t="inlineStr">
        <is>
          <t>Outcome not related to interest</t>
        </is>
      </c>
      <c r="F10" s="86" t="inlineStr">
        <is>
          <t>Outcome not related to interest</t>
        </is>
      </c>
      <c r="G10" s="86" t="inlineStr">
        <is>
          <t>Outcome not related to interest</t>
        </is>
      </c>
      <c r="H10" s="86" t="inlineStr">
        <is>
          <t>Outcome not related to interest</t>
        </is>
      </c>
      <c r="I10" s="86" t="inlineStr">
        <is>
          <t>Insufficient to constrct confusion matrix</t>
        </is>
      </c>
      <c r="J10" s="86" t="inlineStr">
        <is>
          <t>Insufficient to constrct confusion matrix</t>
        </is>
      </c>
      <c r="K10" s="86" t="n">
        <v>9</v>
      </c>
      <c r="L10" s="86" t="inlineStr">
        <is>
          <t>Irrelavant</t>
        </is>
      </c>
    </row>
    <row r="11">
      <c r="A11" s="86" t="inlineStr">
        <is>
          <t>A novel deep learning framework for retinal disease detection leveraging contextual and local features cues from retinal images.</t>
        </is>
      </c>
      <c r="B11" s="86" t="inlineStr">
        <is>
          <t>Khan, Sultan Daud</t>
        </is>
      </c>
      <c r="C11" s="86" t="n">
        <v>2025</v>
      </c>
      <c r="D11" s="86" t="inlineStr">
        <is>
          <t>Included</t>
        </is>
      </c>
      <c r="E11" s="86" t="inlineStr">
        <is>
          <t>Outcome not related to interest</t>
        </is>
      </c>
      <c r="F11" s="86" t="inlineStr">
        <is>
          <t>Outcome not related to interest</t>
        </is>
      </c>
      <c r="G11" s="86" t="inlineStr">
        <is>
          <t>Outcome not related to interest</t>
        </is>
      </c>
      <c r="H11" s="86" t="inlineStr">
        <is>
          <t>Outcome not related to interest</t>
        </is>
      </c>
      <c r="I11" s="86" t="inlineStr">
        <is>
          <t>Retrospective study</t>
        </is>
      </c>
      <c r="J11" s="86" t="n">
        <v>9</v>
      </c>
      <c r="K11" s="86" t="n">
        <v>10</v>
      </c>
      <c r="L11" s="86" t="inlineStr">
        <is>
          <t>Not prospective study</t>
        </is>
      </c>
    </row>
    <row r="12">
      <c r="A12" s="86" t="inlineStr">
        <is>
          <t>Efficient diagnosis of retinal disorders using dual-branch semi-supervised learning (DB-SSL): An enhanced multi-class classification approach.</t>
        </is>
      </c>
      <c r="B12" s="86" t="inlineStr">
        <is>
          <t>Malik, Muhammad Hammad</t>
        </is>
      </c>
      <c r="C12" s="86" t="n">
        <v>2025</v>
      </c>
      <c r="D12" s="86" t="inlineStr">
        <is>
          <t>Included</t>
        </is>
      </c>
      <c r="E12" s="86" t="inlineStr">
        <is>
          <t>Outcome not related to interest</t>
        </is>
      </c>
      <c r="F12" s="86" t="inlineStr">
        <is>
          <t>Outcome not related to interest</t>
        </is>
      </c>
      <c r="G12" s="86" t="inlineStr">
        <is>
          <t>Outcome not related to interest</t>
        </is>
      </c>
      <c r="H12" s="86" t="inlineStr">
        <is>
          <t>Outcome not related to interest</t>
        </is>
      </c>
      <c r="I12" s="86" t="inlineStr">
        <is>
          <t>Retrospective study</t>
        </is>
      </c>
      <c r="J12" s="86" t="n">
        <v>10</v>
      </c>
      <c r="K12" s="86" t="n">
        <v>11</v>
      </c>
      <c r="L12" s="86" t="inlineStr">
        <is>
          <t>Fundus Fluorescein Angiography</t>
        </is>
      </c>
    </row>
    <row r="13">
      <c r="A13" s="86" t="inlineStr">
        <is>
          <t>A deep learning based model for diabetic retinopathy grading.</t>
        </is>
      </c>
      <c r="B13" s="86" t="inlineStr">
        <is>
          <t>Akhtar, Samia</t>
        </is>
      </c>
      <c r="C13" s="86" t="n">
        <v>2025</v>
      </c>
      <c r="D13" s="86" t="inlineStr">
        <is>
          <t>Included</t>
        </is>
      </c>
      <c r="E13" s="86" t="inlineStr">
        <is>
          <t>Outcome not related to interest</t>
        </is>
      </c>
      <c r="F13" s="86" t="inlineStr">
        <is>
          <t>Outcome not related to interest</t>
        </is>
      </c>
      <c r="G13" s="86" t="inlineStr">
        <is>
          <t>Outcome not related to interest</t>
        </is>
      </c>
      <c r="H13" s="86" t="inlineStr">
        <is>
          <t>Outcome not related to interest</t>
        </is>
      </c>
      <c r="I13" s="86" t="inlineStr">
        <is>
          <t>Retrospective study</t>
        </is>
      </c>
      <c r="J13" s="86" t="n">
        <v>11</v>
      </c>
      <c r="K13" s="86" t="n">
        <v>12</v>
      </c>
      <c r="L13" s="86" t="inlineStr">
        <is>
          <t>Not adult</t>
        </is>
      </c>
    </row>
    <row r="14">
      <c r="A14" s="86" t="inlineStr">
        <is>
          <t>Bayesian deep learning applied to diabetic retinopathy with uncertainty quantification.</t>
        </is>
      </c>
      <c r="B14" s="86" t="inlineStr">
        <is>
          <t>Hassan, Masoud Muhammed</t>
        </is>
      </c>
      <c r="C14" s="86" t="n">
        <v>2025</v>
      </c>
      <c r="D14" s="86" t="inlineStr">
        <is>
          <t>Included</t>
        </is>
      </c>
      <c r="E14" s="86" t="inlineStr">
        <is>
          <t>Outcome not related to interest</t>
        </is>
      </c>
      <c r="F14" s="86" t="inlineStr">
        <is>
          <t>Outcome not related to interest</t>
        </is>
      </c>
      <c r="G14" s="86" t="inlineStr">
        <is>
          <t>Outcome not related to interest</t>
        </is>
      </c>
      <c r="H14" s="86" t="inlineStr">
        <is>
          <t>Outcome not related to interest</t>
        </is>
      </c>
      <c r="I14" s="86" t="inlineStr">
        <is>
          <t>Retrospective study</t>
        </is>
      </c>
      <c r="J14" s="86" t="n">
        <v>12</v>
      </c>
    </row>
    <row r="15">
      <c r="A15" s="86" t="inlineStr">
        <is>
          <t>Identification of diabetic retinopathy lesions in fundus images by integrating CNN and vision mamba models.</t>
        </is>
      </c>
      <c r="B15" s="86" t="inlineStr">
        <is>
          <t>Liu, Zenglei</t>
        </is>
      </c>
      <c r="C15" s="86" t="n">
        <v>2025</v>
      </c>
      <c r="D15" s="86" t="inlineStr">
        <is>
          <t>Included</t>
        </is>
      </c>
      <c r="E15" s="86" t="inlineStr">
        <is>
          <t>Outcome not related to interest</t>
        </is>
      </c>
      <c r="F15" s="86" t="inlineStr">
        <is>
          <t>Outcome not related to interest</t>
        </is>
      </c>
      <c r="G15" s="86" t="inlineStr">
        <is>
          <t>Outcome not related to interest</t>
        </is>
      </c>
      <c r="H15" s="86" t="inlineStr">
        <is>
          <t>Outcome not related to interest</t>
        </is>
      </c>
      <c r="I15" s="86" t="inlineStr">
        <is>
          <t>Retrospective study</t>
        </is>
      </c>
      <c r="J15" s="86" t="n">
        <v>13</v>
      </c>
    </row>
    <row r="16">
      <c r="A16" s="86" t="inlineStr">
        <is>
          <t>Multi-class Classification of Retinal Eye Diseases from Ophthalmoscopy Images Using Transfer Learning-Based Vision Transformers.</t>
        </is>
      </c>
      <c r="B16" s="86" t="inlineStr">
        <is>
          <t>Cutur, Elif Setenay</t>
        </is>
      </c>
      <c r="C16" s="86" t="n">
        <v>2025</v>
      </c>
      <c r="D16" s="86" t="inlineStr">
        <is>
          <t>Included</t>
        </is>
      </c>
      <c r="E16" s="86" t="inlineStr">
        <is>
          <t>Outcome not related to interest</t>
        </is>
      </c>
      <c r="F16" s="86" t="inlineStr">
        <is>
          <t>Outcome not related to interest</t>
        </is>
      </c>
      <c r="G16" s="86" t="inlineStr">
        <is>
          <t>Outcome not related to interest</t>
        </is>
      </c>
      <c r="H16" s="86" t="inlineStr">
        <is>
          <t>Outcome not related to interest</t>
        </is>
      </c>
      <c r="I16" s="86" t="inlineStr">
        <is>
          <t>Retrospective study</t>
        </is>
      </c>
      <c r="J16" s="86" t="n">
        <v>14</v>
      </c>
    </row>
    <row r="17">
      <c r="A17" s="86" t="inlineStr">
        <is>
          <t>Research on grading detection methods for diabetic retinopathy based on deep learning.</t>
        </is>
      </c>
      <c r="B17" s="86" t="inlineStr">
        <is>
          <t>Zhang, Jing</t>
        </is>
      </c>
      <c r="C17" s="86" t="n">
        <v>2025</v>
      </c>
      <c r="D17" s="86" t="inlineStr">
        <is>
          <t>Included</t>
        </is>
      </c>
      <c r="E17" s="86" t="inlineStr">
        <is>
          <t>Outcome not related to interest</t>
        </is>
      </c>
      <c r="F17" s="86" t="inlineStr">
        <is>
          <t>Outcome not related to interest</t>
        </is>
      </c>
      <c r="G17" s="86" t="inlineStr">
        <is>
          <t>Outcome not related to interest</t>
        </is>
      </c>
      <c r="H17" s="86" t="inlineStr">
        <is>
          <t>Outcome not related to interest</t>
        </is>
      </c>
      <c r="I17" s="86" t="inlineStr">
        <is>
          <t>Retrospective study</t>
        </is>
      </c>
      <c r="J17" s="86" t="n">
        <v>15</v>
      </c>
    </row>
    <row r="18">
      <c r="A18" s="86" t="inlineStr">
        <is>
          <t>A multimodal transformer system for noninvasive diabetic nephropathy diagnosis via retinal imaging.</t>
        </is>
      </c>
      <c r="B18" s="86" t="inlineStr">
        <is>
          <t>Dong, Zheyi</t>
        </is>
      </c>
      <c r="C18" s="86" t="n">
        <v>2025</v>
      </c>
      <c r="D18" s="86" t="inlineStr">
        <is>
          <t>Included</t>
        </is>
      </c>
      <c r="E18" s="86" t="inlineStr">
        <is>
          <t>Outcome not related to interest</t>
        </is>
      </c>
      <c r="F18" s="86" t="inlineStr">
        <is>
          <t>Outcome not related to interest</t>
        </is>
      </c>
      <c r="G18" s="86" t="inlineStr">
        <is>
          <t>Outcome not related to interest</t>
        </is>
      </c>
      <c r="H18" s="86" t="inlineStr">
        <is>
          <t>Outcome not related to interest</t>
        </is>
      </c>
      <c r="I18" s="86" t="inlineStr">
        <is>
          <t>Outcome not related to interest</t>
        </is>
      </c>
      <c r="J18" s="86" t="inlineStr">
        <is>
          <t>Outcome not related to interest</t>
        </is>
      </c>
    </row>
    <row r="19">
      <c r="A19" s="86" t="inlineStr">
        <is>
          <t>Color fundus photograph-based diabetic retinopathy grading via label relaxed collaborative learning on deep features and radiomics features.</t>
        </is>
      </c>
      <c r="B19" s="86" t="inlineStr">
        <is>
          <t>Zhang, Chao</t>
        </is>
      </c>
      <c r="C19" s="86" t="n">
        <v>2025</v>
      </c>
      <c r="D19" s="86" t="inlineStr">
        <is>
          <t>Included</t>
        </is>
      </c>
      <c r="E19" s="86" t="inlineStr">
        <is>
          <t>Outcome not related to interest</t>
        </is>
      </c>
      <c r="F19" s="86" t="inlineStr">
        <is>
          <t>Outcome not related to interest</t>
        </is>
      </c>
      <c r="G19" s="86" t="inlineStr">
        <is>
          <t>Outcome not related to interest</t>
        </is>
      </c>
      <c r="H19" s="86" t="inlineStr">
        <is>
          <t>Outcome not related to interest</t>
        </is>
      </c>
      <c r="I19" s="86" t="inlineStr">
        <is>
          <t>Retrospective study</t>
        </is>
      </c>
      <c r="J19" s="86" t="n">
        <v>16</v>
      </c>
    </row>
    <row r="20">
      <c r="A20" s="86" t="inlineStr">
        <is>
          <t>Lesion classification and diabetic retinopathy grading by integrating softmax and pooling operators into vision transformer.</t>
        </is>
      </c>
      <c r="B20" s="86" t="inlineStr">
        <is>
          <t>Liu, Chong</t>
        </is>
      </c>
      <c r="C20" s="86" t="n">
        <v>2025</v>
      </c>
      <c r="D20" s="86" t="inlineStr">
        <is>
          <t>Included</t>
        </is>
      </c>
      <c r="E20" s="86" t="inlineStr">
        <is>
          <t>Outcome not related to interest</t>
        </is>
      </c>
      <c r="F20" s="86" t="inlineStr">
        <is>
          <t>Outcome not related to interest</t>
        </is>
      </c>
      <c r="G20" s="86" t="inlineStr">
        <is>
          <t>Outcome not related to interest</t>
        </is>
      </c>
      <c r="H20" s="86" t="inlineStr">
        <is>
          <t>Outcome not related to interest</t>
        </is>
      </c>
      <c r="I20" s="86" t="inlineStr">
        <is>
          <t>Retrospective study</t>
        </is>
      </c>
      <c r="J20" s="86" t="n">
        <v>17</v>
      </c>
    </row>
    <row r="21">
      <c r="A21" s="86" t="inlineStr">
        <is>
          <t>Visual impairment prevention by early detection of diabetic retinopathy based on stacked auto-encoder.</t>
        </is>
      </c>
      <c r="B21" s="86" t="inlineStr">
        <is>
          <t>Almas, Shagufta</t>
        </is>
      </c>
      <c r="C21" s="86" t="n">
        <v>2025</v>
      </c>
      <c r="D21" s="86" t="inlineStr">
        <is>
          <t>Included</t>
        </is>
      </c>
      <c r="E21" s="86" t="inlineStr">
        <is>
          <t>Outcome not related to interest</t>
        </is>
      </c>
      <c r="F21" s="86" t="inlineStr">
        <is>
          <t>Outcome not related to interest</t>
        </is>
      </c>
      <c r="G21" s="86" t="inlineStr">
        <is>
          <t>Outcome not related to interest</t>
        </is>
      </c>
      <c r="H21" s="86" t="inlineStr">
        <is>
          <t>Outcome not related to interest</t>
        </is>
      </c>
      <c r="I21" s="86" t="inlineStr">
        <is>
          <t>Retrospective study</t>
        </is>
      </c>
      <c r="J21" s="86" t="n">
        <v>18</v>
      </c>
    </row>
    <row r="22">
      <c r="A22" s="86" t="inlineStr">
        <is>
          <t>ResViT FusionNet Model: An explainable AI-driven approach for automated grading of diabetic retinopathy in retinal images.</t>
        </is>
      </c>
      <c r="B22" s="86" t="inlineStr">
        <is>
          <t>Ikram, Amna</t>
        </is>
      </c>
      <c r="C22" s="86" t="n">
        <v>2025</v>
      </c>
      <c r="D22" s="86" t="inlineStr">
        <is>
          <t>Included</t>
        </is>
      </c>
      <c r="E22" s="86" t="inlineStr">
        <is>
          <t>Outcome not related to interest</t>
        </is>
      </c>
      <c r="F22" s="86" t="inlineStr">
        <is>
          <t>Outcome not related to interest</t>
        </is>
      </c>
      <c r="G22" s="86" t="inlineStr">
        <is>
          <t>Outcome not related to interest</t>
        </is>
      </c>
      <c r="H22" s="86" t="inlineStr">
        <is>
          <t>Outcome not related to interest</t>
        </is>
      </c>
      <c r="I22" s="86" t="inlineStr">
        <is>
          <t>Retrospective study</t>
        </is>
      </c>
      <c r="J22" s="86" t="n">
        <v>19</v>
      </c>
    </row>
    <row r="23">
      <c r="A23" s="86" t="inlineStr">
        <is>
          <t>Transforming Non-Digital, Clinical Workflows to Detect and Track Vision-Threatening Diabetic Retinopathy via a Digital Platform Integrating Artificial Intelligence: Implementation Research.</t>
        </is>
      </c>
      <c r="B23" s="86" t="inlineStr">
        <is>
          <t>Chotcomwongse, Peranut</t>
        </is>
      </c>
      <c r="C23" s="86" t="n">
        <v>2025</v>
      </c>
      <c r="D23" s="86" t="inlineStr">
        <is>
          <t>Included</t>
        </is>
      </c>
      <c r="E23" s="86" t="inlineStr">
        <is>
          <t>Outcome not related to interest</t>
        </is>
      </c>
      <c r="F23" s="86" t="inlineStr">
        <is>
          <t>Outcome not related to interest</t>
        </is>
      </c>
      <c r="G23" s="86" t="inlineStr">
        <is>
          <t>Outcome not related to interest</t>
        </is>
      </c>
      <c r="H23" s="86" t="inlineStr">
        <is>
          <t>Insufficient to constrct confusion matrix</t>
        </is>
      </c>
      <c r="I23" s="86" t="n">
        <v>2</v>
      </c>
      <c r="J23" s="86" t="n">
        <v>20</v>
      </c>
    </row>
    <row r="24">
      <c r="A24" s="86" t="inlineStr">
        <is>
          <t>Uncertainty-aware diabetic retinopathy detection using deep learning enhanced by Bayesian approaches.</t>
        </is>
      </c>
      <c r="B24" s="86" t="inlineStr">
        <is>
          <t>Akram, Mohsin</t>
        </is>
      </c>
      <c r="C24" s="86" t="n">
        <v>2025</v>
      </c>
      <c r="D24" s="86" t="inlineStr">
        <is>
          <t>Included</t>
        </is>
      </c>
      <c r="E24" s="86" t="inlineStr">
        <is>
          <t>Outcome not related to interest</t>
        </is>
      </c>
      <c r="F24" s="86" t="inlineStr">
        <is>
          <t>Outcome not related to interest</t>
        </is>
      </c>
      <c r="G24" s="86" t="inlineStr">
        <is>
          <t>Outcome not related to interest</t>
        </is>
      </c>
      <c r="H24" s="86" t="inlineStr">
        <is>
          <t>Outcome not related to interest</t>
        </is>
      </c>
      <c r="I24" s="86" t="inlineStr">
        <is>
          <t>Retrospective study</t>
        </is>
      </c>
      <c r="J24" s="86" t="n">
        <v>21</v>
      </c>
    </row>
    <row r="25">
      <c r="A25" s="86" t="inlineStr">
        <is>
          <t>Validation of a Deep Learning Model for Diabetic Retinopathy on Patients with Young-Onset Diabetes.</t>
        </is>
      </c>
      <c r="B25" s="86" t="inlineStr">
        <is>
          <t>Tan-Torres, Antonio</t>
        </is>
      </c>
      <c r="C25" s="86" t="n">
        <v>2025</v>
      </c>
      <c r="D25" s="86" t="inlineStr">
        <is>
          <t>Included</t>
        </is>
      </c>
      <c r="E25" s="86" t="inlineStr">
        <is>
          <t>Outcome not related to interest</t>
        </is>
      </c>
      <c r="F25" s="86" t="inlineStr">
        <is>
          <t>Outcome not related to interest</t>
        </is>
      </c>
      <c r="G25" s="86" t="inlineStr">
        <is>
          <t>Outcome not related to interest</t>
        </is>
      </c>
      <c r="H25" s="86" t="inlineStr">
        <is>
          <t>Outcome not related to interest</t>
        </is>
      </c>
      <c r="I25" s="86" t="n">
        <v>3</v>
      </c>
      <c r="J25" s="86" t="n">
        <v>22</v>
      </c>
    </row>
    <row r="26">
      <c r="A26" s="86" t="inlineStr">
        <is>
          <t>A multi model deep net with an explainable AI based framework for diabetic retinopathy segmentation and classification.</t>
        </is>
      </c>
      <c r="B26" s="86" t="inlineStr">
        <is>
          <t>Sharma, Neeraj</t>
        </is>
      </c>
      <c r="C26" s="86" t="n">
        <v>2025</v>
      </c>
      <c r="D26" s="86" t="inlineStr">
        <is>
          <t>Included</t>
        </is>
      </c>
      <c r="E26" s="86" t="inlineStr">
        <is>
          <t>Outcome not related to interest</t>
        </is>
      </c>
      <c r="F26" s="86" t="inlineStr">
        <is>
          <t>Outcome not related to interest</t>
        </is>
      </c>
      <c r="G26" s="86" t="inlineStr">
        <is>
          <t>Outcome not related to interest</t>
        </is>
      </c>
      <c r="H26" s="86" t="inlineStr">
        <is>
          <t>Outcome not related to interest</t>
        </is>
      </c>
      <c r="I26" s="86" t="inlineStr">
        <is>
          <t>Retrospective study</t>
        </is>
      </c>
      <c r="J26" s="86" t="n">
        <v>23</v>
      </c>
    </row>
    <row r="27">
      <c r="A27" s="86" t="inlineStr">
        <is>
          <t>Practical Applications of Artificial Intelligence Diagnostic Systems in Fundus Retinal Disease Screening.</t>
        </is>
      </c>
      <c r="B27" s="86" t="inlineStr">
        <is>
          <t>Wei, Qingquan</t>
        </is>
      </c>
      <c r="C27" s="86" t="n">
        <v>2025</v>
      </c>
      <c r="D27" s="86" t="inlineStr">
        <is>
          <t>Included</t>
        </is>
      </c>
      <c r="E27" s="86" t="inlineStr">
        <is>
          <t>Outcome not related to interest</t>
        </is>
      </c>
      <c r="F27" s="86" t="inlineStr">
        <is>
          <t>Outcome not related to interest</t>
        </is>
      </c>
      <c r="G27" s="86" t="inlineStr">
        <is>
          <t>Outcome not related to interest</t>
        </is>
      </c>
      <c r="H27" s="86" t="inlineStr">
        <is>
          <t>Outcome not related to interest</t>
        </is>
      </c>
      <c r="I27" s="86" t="n">
        <v>4</v>
      </c>
      <c r="J27" s="86" t="n">
        <v>24</v>
      </c>
    </row>
    <row r="28">
      <c r="A28" s="86" t="inlineStr">
        <is>
          <t>D-GET: Group-Enhanced Transformer for Diabetic Retinopathy Severity Classification in Fundus Fluorescein Angiography.</t>
        </is>
      </c>
      <c r="B28" s="86" t="inlineStr">
        <is>
          <t>Liu, Xina</t>
        </is>
      </c>
      <c r="C28" s="86" t="n">
        <v>2025</v>
      </c>
      <c r="D28" s="86" t="inlineStr">
        <is>
          <t>Included</t>
        </is>
      </c>
      <c r="E28" s="86" t="inlineStr">
        <is>
          <t>Fundus Fluorescein Angiography</t>
        </is>
      </c>
      <c r="F28" s="86" t="inlineStr">
        <is>
          <t>Fundus Fluorescein Angiography</t>
        </is>
      </c>
      <c r="G28" s="86" t="inlineStr">
        <is>
          <t>Fundus Fluorescein Angiography</t>
        </is>
      </c>
      <c r="H28" s="86" t="inlineStr">
        <is>
          <t>Fundus Fluorescein Angiography</t>
        </is>
      </c>
      <c r="I28" s="86" t="inlineStr">
        <is>
          <t>Fundus Fluorescein Angiography</t>
        </is>
      </c>
      <c r="J28" s="86" t="inlineStr">
        <is>
          <t>Fundus Fluorescein Angiography</t>
        </is>
      </c>
    </row>
    <row r="29">
      <c r="A29" s="86" t="inlineStr">
        <is>
          <t>Attention dual transformer with adaptive temporal convolutional for diabetic retinopathy detection.</t>
        </is>
      </c>
      <c r="B29" s="86" t="inlineStr">
        <is>
          <t>Sushith, Mishmala</t>
        </is>
      </c>
      <c r="C29" s="86" t="n">
        <v>2025</v>
      </c>
      <c r="D29" s="86" t="inlineStr">
        <is>
          <t>Included</t>
        </is>
      </c>
      <c r="E29" s="86" t="inlineStr">
        <is>
          <t>Outcome not related to interest</t>
        </is>
      </c>
      <c r="F29" s="86" t="inlineStr">
        <is>
          <t>Outcome not related to interest</t>
        </is>
      </c>
      <c r="G29" s="86" t="inlineStr">
        <is>
          <t>Outcome not related to interest</t>
        </is>
      </c>
      <c r="H29" s="86" t="inlineStr">
        <is>
          <t>Outcome not related to interest</t>
        </is>
      </c>
      <c r="I29" s="86" t="inlineStr">
        <is>
          <t>Retrospective study</t>
        </is>
      </c>
      <c r="J29" s="86" t="n">
        <v>25</v>
      </c>
    </row>
    <row r="30">
      <c r="A30" s="86" t="inlineStr">
        <is>
          <t>MSTNet: Multi-scale spatial-aware transformer with multi-instance learning for diabetic retinopathy classification.</t>
        </is>
      </c>
      <c r="B30" s="86" t="inlineStr">
        <is>
          <t>Wei, Xin</t>
        </is>
      </c>
      <c r="C30" s="86" t="n">
        <v>2025</v>
      </c>
      <c r="D30" s="86" t="inlineStr">
        <is>
          <t>Included</t>
        </is>
      </c>
      <c r="E30" s="86" t="inlineStr">
        <is>
          <t>Insufficient to constrct confusion matrix</t>
        </is>
      </c>
      <c r="F30" s="86" t="inlineStr">
        <is>
          <t>Insufficient to constrct confusion matrix</t>
        </is>
      </c>
      <c r="G30" s="86" t="inlineStr">
        <is>
          <t>Insufficient to constrct confusion matrix</t>
        </is>
      </c>
      <c r="H30" s="86" t="inlineStr">
        <is>
          <t>Insufficient to constrct confusion matrix</t>
        </is>
      </c>
      <c r="I30" s="86" t="inlineStr">
        <is>
          <t>Insufficient to constrct confusion matrix</t>
        </is>
      </c>
      <c r="J30" s="86" t="inlineStr">
        <is>
          <t>Insufficient to constrct confusion matrix</t>
        </is>
      </c>
    </row>
    <row r="31">
      <c r="A31" s="86" t="inlineStr">
        <is>
          <t>QuantumNet: An enhanced diabetic retinopathy detection model using classical deep learning-quantum transfer learning.</t>
        </is>
      </c>
      <c r="B31" s="86" t="inlineStr">
        <is>
          <t>Bali, Manish</t>
        </is>
      </c>
      <c r="C31" s="86" t="n">
        <v>2025</v>
      </c>
      <c r="D31" s="86" t="inlineStr">
        <is>
          <t>Included</t>
        </is>
      </c>
      <c r="E31" s="86" t="inlineStr">
        <is>
          <t>Outcome not related to interest</t>
        </is>
      </c>
      <c r="F31" s="86" t="inlineStr">
        <is>
          <t>Outcome not related to interest</t>
        </is>
      </c>
      <c r="G31" s="86" t="inlineStr">
        <is>
          <t>Outcome not related to interest</t>
        </is>
      </c>
      <c r="H31" s="86" t="inlineStr">
        <is>
          <t>Outcome not related to interest</t>
        </is>
      </c>
      <c r="I31" s="86" t="inlineStr">
        <is>
          <t>Retrospective study</t>
        </is>
      </c>
      <c r="J31" s="86" t="n">
        <v>26</v>
      </c>
    </row>
    <row r="32">
      <c r="A32" s="86" t="inlineStr">
        <is>
          <t>Capsule network-based deep learning for early and accurate diabetic retinopathy detection.</t>
        </is>
      </c>
      <c r="B32" s="86" t="inlineStr">
        <is>
          <t>Govindharaj, I</t>
        </is>
      </c>
      <c r="C32" s="86" t="n">
        <v>2025</v>
      </c>
      <c r="D32" s="86" t="inlineStr">
        <is>
          <t>Included</t>
        </is>
      </c>
      <c r="E32" s="86" t="inlineStr">
        <is>
          <t>Outcome not related to interest</t>
        </is>
      </c>
      <c r="F32" s="86" t="inlineStr">
        <is>
          <t>Outcome not related to interest</t>
        </is>
      </c>
      <c r="G32" s="86" t="inlineStr">
        <is>
          <t>Outcome not related to interest</t>
        </is>
      </c>
      <c r="H32" s="86" t="inlineStr">
        <is>
          <t>Outcome not related to interest</t>
        </is>
      </c>
      <c r="I32" s="86" t="inlineStr">
        <is>
          <t>Retrospective study</t>
        </is>
      </c>
      <c r="J32" s="86" t="n">
        <v>27</v>
      </c>
    </row>
    <row r="33">
      <c r="A33" s="86" t="inlineStr">
        <is>
          <t>Fundus image classification using feature concatenation for early diagnosis of retinal disease.</t>
        </is>
      </c>
      <c r="B33" s="86" t="inlineStr">
        <is>
          <t>Ejaz, Sara</t>
        </is>
      </c>
      <c r="C33" s="86" t="n">
        <v>2025</v>
      </c>
      <c r="D33" s="86" t="inlineStr">
        <is>
          <t>Included</t>
        </is>
      </c>
      <c r="E33" s="86" t="inlineStr">
        <is>
          <t>Outcome not related to interest</t>
        </is>
      </c>
      <c r="F33" s="86" t="inlineStr">
        <is>
          <t>Outcome not related to interest</t>
        </is>
      </c>
      <c r="G33" s="86" t="inlineStr">
        <is>
          <t>Outcome not related to interest</t>
        </is>
      </c>
      <c r="H33" s="86" t="inlineStr">
        <is>
          <t>Outcome not related to interest</t>
        </is>
      </c>
      <c r="I33" s="86" t="inlineStr">
        <is>
          <t>Retrospective study</t>
        </is>
      </c>
      <c r="J33" s="86" t="n">
        <v>28</v>
      </c>
    </row>
    <row r="34">
      <c r="A34" s="86" t="inlineStr">
        <is>
          <t>VisionGuard: enhancing diabetic retinopathy detection with hybrid deep learning.</t>
        </is>
      </c>
      <c r="B34" s="86" t="inlineStr">
        <is>
          <t>Rao, Sudesh</t>
        </is>
      </c>
      <c r="C34" s="86" t="n">
        <v>2025</v>
      </c>
      <c r="D34" s="86" t="inlineStr">
        <is>
          <t>Included</t>
        </is>
      </c>
      <c r="E34" s="86" t="inlineStr">
        <is>
          <t>Outcome not related to interest</t>
        </is>
      </c>
      <c r="F34" s="86" t="inlineStr">
        <is>
          <t>Outcome not related to interest</t>
        </is>
      </c>
      <c r="G34" s="86" t="inlineStr">
        <is>
          <t>Outcome not related to interest</t>
        </is>
      </c>
      <c r="H34" s="86" t="inlineStr">
        <is>
          <t>Outcome not related to interest</t>
        </is>
      </c>
      <c r="I34" s="86" t="inlineStr">
        <is>
          <t>Retrospective study</t>
        </is>
      </c>
      <c r="J34" s="86" t="n">
        <v>29</v>
      </c>
    </row>
    <row r="35">
      <c r="A35" s="86" t="inlineStr">
        <is>
          <t>Hybrid deep learning framework for diabetic retinopathy classification with optimized attention AlexNet.</t>
        </is>
      </c>
      <c r="B35" s="86" t="inlineStr">
        <is>
          <t>D S, Renu</t>
        </is>
      </c>
      <c r="C35" s="86" t="n">
        <v>2025</v>
      </c>
      <c r="D35" s="86" t="inlineStr">
        <is>
          <t>Included</t>
        </is>
      </c>
      <c r="E35" s="86" t="inlineStr">
        <is>
          <t>Outcome not related to interest	Outcome not related to interest	Outcome not related to interest	Outcome not related to interest	Retrospective study</t>
        </is>
      </c>
      <c r="F35" s="86" t="inlineStr">
        <is>
          <t>Outcome not related to interest</t>
        </is>
      </c>
      <c r="G35" s="86" t="inlineStr">
        <is>
          <t>Outcome not related to interest</t>
        </is>
      </c>
      <c r="H35" s="86" t="inlineStr">
        <is>
          <t>Outcome not related to interest</t>
        </is>
      </c>
      <c r="I35" s="86" t="inlineStr">
        <is>
          <t>Retrospective study</t>
        </is>
      </c>
      <c r="J35" s="86" t="n">
        <v>30</v>
      </c>
    </row>
    <row r="36">
      <c r="A36" s="86" t="inlineStr">
        <is>
          <t>A Deep Learning Segmentation Model for Detection of Active Proliferative Diabetic Retinopathy.</t>
        </is>
      </c>
      <c r="B36" s="86" t="inlineStr">
        <is>
          <t>Dinesen, Sebastian</t>
        </is>
      </c>
      <c r="C36" s="86" t="n">
        <v>2025</v>
      </c>
      <c r="D36" s="86" t="inlineStr">
        <is>
          <t>Included</t>
        </is>
      </c>
      <c r="E36" s="86" t="inlineStr">
        <is>
          <t>Outcome not related to interest	Outcome not related to interest	Outcome not related to interest	Outcome not related to interest	Retrospective study</t>
        </is>
      </c>
      <c r="F36" s="86" t="inlineStr">
        <is>
          <t>Outcome not related to interest</t>
        </is>
      </c>
      <c r="G36" s="86" t="inlineStr">
        <is>
          <t>Outcome not related to interest</t>
        </is>
      </c>
      <c r="H36" s="86" t="inlineStr">
        <is>
          <t>Outcome not related to interest</t>
        </is>
      </c>
      <c r="I36" s="86" t="inlineStr">
        <is>
          <t>Retrospective study</t>
        </is>
      </c>
      <c r="J36" s="86" t="n">
        <v>31</v>
      </c>
    </row>
    <row r="37">
      <c r="A37" s="86" t="inlineStr">
        <is>
          <t>Comparison of the Aireen System with Telemedicine Evaluation by an Ophthalmologist - A Real-World Study.</t>
        </is>
      </c>
      <c r="B37" s="86" t="inlineStr">
        <is>
          <t>穩n, Martin</t>
        </is>
      </c>
      <c r="C37" s="86" t="n">
        <v>2025</v>
      </c>
      <c r="D37" s="86" t="inlineStr">
        <is>
          <t>Included</t>
        </is>
      </c>
      <c r="E37" s="86" t="inlineStr">
        <is>
          <t>Outcome not related to interest	Outcome not related to interest	Outcome not related to interest	Outcome not related to interest	Retrospective study</t>
        </is>
      </c>
      <c r="F37" s="86" t="n">
        <v>5</v>
      </c>
      <c r="G37" s="86" t="inlineStr">
        <is>
          <t>Outcome not related to interest</t>
        </is>
      </c>
      <c r="H37" s="86" t="n">
        <v>2</v>
      </c>
      <c r="I37" s="86" t="n">
        <v>5</v>
      </c>
      <c r="J37" s="86" t="n">
        <v>32</v>
      </c>
    </row>
    <row r="38">
      <c r="A38" s="86" t="inlineStr">
        <is>
          <t>Performance of a Deep Learning Diabetic Retinopathy Algorithm in India.</t>
        </is>
      </c>
      <c r="B38" s="86" t="inlineStr">
        <is>
          <t>Brant, Arthur</t>
        </is>
      </c>
      <c r="C38" s="86" t="n">
        <v>2025</v>
      </c>
      <c r="D38" s="86" t="inlineStr">
        <is>
          <t>Included</t>
        </is>
      </c>
      <c r="E38" s="86" t="inlineStr">
        <is>
          <t>Outcome not related to interest	Outcome not related to interest	Outcome not related to interest	Outcome not related to interest	Retrospective study</t>
        </is>
      </c>
      <c r="F38" s="86" t="n">
        <v>6</v>
      </c>
      <c r="G38" s="86" t="inlineStr">
        <is>
          <t>Outcome not related to interest</t>
        </is>
      </c>
      <c r="H38" s="86" t="inlineStr">
        <is>
          <t>Outcome not related to interest</t>
        </is>
      </c>
      <c r="I38" s="86" t="inlineStr">
        <is>
          <t>Retrospective study</t>
        </is>
      </c>
      <c r="J38" s="86" t="n">
        <v>33</v>
      </c>
    </row>
    <row r="39">
      <c r="A39" s="86" t="inlineStr">
        <is>
          <t>Diabetic retinopathy detection via deep learning based dual features integrated classification model.</t>
        </is>
      </c>
      <c r="B39" s="86" t="inlineStr">
        <is>
          <t>Devi, T M</t>
        </is>
      </c>
      <c r="C39" s="86" t="n">
        <v>2025</v>
      </c>
      <c r="D39" s="86" t="inlineStr">
        <is>
          <t>Included</t>
        </is>
      </c>
      <c r="E39" s="86" t="inlineStr">
        <is>
          <t>Outcome not related to interest	Outcome not related to interest	Outcome not related to interest	Outcome not related to interest	Retrospective study</t>
        </is>
      </c>
      <c r="F39" s="86" t="inlineStr">
        <is>
          <t>Outcome not related to interest</t>
        </is>
      </c>
      <c r="G39" s="86" t="inlineStr">
        <is>
          <t>Outcome not related to interest</t>
        </is>
      </c>
      <c r="H39" s="86" t="inlineStr">
        <is>
          <t>Outcome not related to interest</t>
        </is>
      </c>
      <c r="I39" s="86" t="inlineStr">
        <is>
          <t>Retrospective study</t>
        </is>
      </c>
      <c r="J39" s="86" t="n">
        <v>34</v>
      </c>
    </row>
    <row r="40">
      <c r="A40" s="86" t="inlineStr">
        <is>
          <t>DEO-Fusion: Differential evolution optimization for fusion of CNN models in eye disease detection</t>
        </is>
      </c>
      <c r="B40" s="86" t="inlineStr">
        <is>
          <t>Asif, S.</t>
        </is>
      </c>
      <c r="C40" s="86" t="n">
        <v>2025</v>
      </c>
      <c r="D40" s="86" t="inlineStr">
        <is>
          <t>Included</t>
        </is>
      </c>
      <c r="E40" s="86" t="inlineStr">
        <is>
          <t>Outcome not related to interest	Outcome not related to interest	Outcome not related to interest	Outcome not related to interest	Retrospective study</t>
        </is>
      </c>
      <c r="F40" s="86" t="inlineStr">
        <is>
          <t>Outcome not related to interest	Outcome not related to interest	Outcome not related to interest	Outcome not related to interest	Retrospective study</t>
        </is>
      </c>
      <c r="G40" s="86" t="inlineStr">
        <is>
          <t>Outcome not related to interest</t>
        </is>
      </c>
      <c r="H40" s="86" t="inlineStr">
        <is>
          <t>Outcome not related to interest	Outcome not related to interest	Outcome not related to interest	Outcome not related to interest	Retrospective study</t>
        </is>
      </c>
      <c r="I40" s="86" t="inlineStr">
        <is>
          <t>Outcome not related to interest	Outcome not related to interest	Outcome not related to interest	Outcome not related to interest	Retrospective study</t>
        </is>
      </c>
      <c r="J40" s="86" t="inlineStr">
        <is>
          <t>Outcome not related to interest	Outcome not related to interest	Outcome not related to interest	Outcome not related to interest	Retrospective study</t>
        </is>
      </c>
    </row>
    <row r="41">
      <c r="A41" s="86" t="inlineStr">
        <is>
          <t>Advancing diabetic retinopathy classification using ensemble deep learning approaches</t>
        </is>
      </c>
      <c r="B41" s="86" t="inlineStr">
        <is>
          <t>Biswas, A.</t>
        </is>
      </c>
      <c r="C41" s="86" t="n">
        <v>2025</v>
      </c>
      <c r="D41" s="86" t="inlineStr">
        <is>
          <t>Included</t>
        </is>
      </c>
      <c r="E41" s="86" t="inlineStr">
        <is>
          <t>Outcome not related to interest	Outcome not related to interest	Outcome not related to interest	Outcome not related to interest	Retrospective study</t>
        </is>
      </c>
      <c r="F41" s="86" t="inlineStr">
        <is>
          <t>Outcome not related to interest</t>
        </is>
      </c>
      <c r="G41" s="86" t="inlineStr">
        <is>
          <t>Outcome not related to interest</t>
        </is>
      </c>
      <c r="H41" s="86" t="inlineStr">
        <is>
          <t>Outcome not related to interest</t>
        </is>
      </c>
      <c r="I41" s="86" t="inlineStr">
        <is>
          <t>Retrospective study</t>
        </is>
      </c>
      <c r="J41" s="86" t="n">
        <v>35</v>
      </c>
    </row>
    <row r="42">
      <c r="A42" s="86" t="inlineStr">
        <is>
          <t>MHSAGGCN-BCOA: A novel deep learning based approach for diabetic retinopathy detection</t>
        </is>
      </c>
      <c r="B42" s="86" t="inlineStr">
        <is>
          <t>Bindu Priya, M.</t>
        </is>
      </c>
      <c r="C42" s="86" t="n">
        <v>2025</v>
      </c>
      <c r="D42" s="86" t="inlineStr">
        <is>
          <t>Included</t>
        </is>
      </c>
      <c r="E42" s="86" t="inlineStr">
        <is>
          <t>Outcome not related to interest	Outcome not related to interest	Outcome not related to interest	Outcome not related to interest	Retrospective study</t>
        </is>
      </c>
      <c r="F42" s="86" t="inlineStr">
        <is>
          <t>Outcome not related to interest</t>
        </is>
      </c>
      <c r="G42" s="86" t="inlineStr">
        <is>
          <t>Outcome not related to interest</t>
        </is>
      </c>
      <c r="H42" s="86" t="inlineStr">
        <is>
          <t>Outcome not related to interest</t>
        </is>
      </c>
      <c r="I42" s="86" t="inlineStr">
        <is>
          <t>Retrospective study</t>
        </is>
      </c>
      <c r="J42" s="86" t="n">
        <v>36</v>
      </c>
    </row>
    <row r="43">
      <c r="A43" s="86" t="inlineStr">
        <is>
          <t>MRFANet: Massive retinopathy feature aggregation network for pixel-level diabetes-induced lesion detection from fundus images</t>
        </is>
      </c>
      <c r="B43" s="86" t="inlineStr">
        <is>
          <t>Zhou, W.</t>
        </is>
      </c>
      <c r="C43" s="86" t="n">
        <v>2025</v>
      </c>
      <c r="D43" s="86" t="inlineStr">
        <is>
          <t>Included</t>
        </is>
      </c>
      <c r="E43" s="86" t="inlineStr">
        <is>
          <t>Outcome not related to interest</t>
        </is>
      </c>
      <c r="F43" s="86" t="inlineStr">
        <is>
          <t>Outcome not related to interest</t>
        </is>
      </c>
      <c r="G43" s="86" t="inlineStr">
        <is>
          <t>Outcome not related to interest</t>
        </is>
      </c>
      <c r="H43" s="86" t="inlineStr">
        <is>
          <t>Outcome not related to interest</t>
        </is>
      </c>
      <c r="I43" s="86" t="inlineStr">
        <is>
          <t>Outcome not related to interest</t>
        </is>
      </c>
      <c r="J43" s="86" t="inlineStr">
        <is>
          <t>Outcome not related to interest</t>
        </is>
      </c>
    </row>
    <row r="44">
      <c r="A44" s="86" t="inlineStr">
        <is>
          <t>STMF-DRNet: A multi-branch fine-grained classification model for diabetic retinopathy using Swin-TransformerV2</t>
        </is>
      </c>
      <c r="B44" s="86" t="inlineStr">
        <is>
          <t>Liu, Y.</t>
        </is>
      </c>
      <c r="C44" s="86" t="n">
        <v>2025</v>
      </c>
      <c r="D44" s="86" t="inlineStr">
        <is>
          <t>Included</t>
        </is>
      </c>
      <c r="E44" s="86" t="inlineStr">
        <is>
          <t>Outcome not related to interest	Outcome not related to interest	Outcome not related to interest	Outcome not related to interest	Retrospective study</t>
        </is>
      </c>
      <c r="F44" s="86" t="inlineStr">
        <is>
          <t>Outcome not related to interest</t>
        </is>
      </c>
      <c r="G44" s="86" t="inlineStr">
        <is>
          <t>Outcome not related to interest</t>
        </is>
      </c>
      <c r="H44" s="86" t="inlineStr">
        <is>
          <t>Outcome not related to interest</t>
        </is>
      </c>
      <c r="I44" s="86" t="inlineStr">
        <is>
          <t>Retrospective study</t>
        </is>
      </c>
      <c r="J44" s="86" t="n">
        <v>37</v>
      </c>
    </row>
    <row r="45">
      <c r="A45" s="86" t="inlineStr">
        <is>
          <t>Improved African Vulture Optimization with Deep Learning Based Segmentation for Accurate Detection of Diabetic Retinopathy</t>
        </is>
      </c>
      <c r="B45" s="86" t="inlineStr">
        <is>
          <t>Gupta, I.K.</t>
        </is>
      </c>
      <c r="C45" s="86" t="n">
        <v>2025</v>
      </c>
      <c r="D45" s="86" t="inlineStr">
        <is>
          <t>Included</t>
        </is>
      </c>
      <c r="E45" s="86" t="inlineStr">
        <is>
          <t>Outcome not related to interest	Outcome not related to interest	Outcome not related to interest	Outcome not related to interest	Retrospective study</t>
        </is>
      </c>
      <c r="F45" s="86" t="inlineStr">
        <is>
          <t>Outcome not related to interest</t>
        </is>
      </c>
      <c r="G45" s="86" t="inlineStr">
        <is>
          <t>Outcome not related to interest</t>
        </is>
      </c>
      <c r="H45" s="86" t="inlineStr">
        <is>
          <t>Outcome not related to interest</t>
        </is>
      </c>
      <c r="I45" s="86" t="inlineStr">
        <is>
          <t>Retrospective study</t>
        </is>
      </c>
      <c r="J45" s="86" t="n">
        <v>38</v>
      </c>
    </row>
    <row r="46">
      <c r="A46" s="86" t="inlineStr">
        <is>
          <t>DIA-VXNET: A framework for automated diabetic eye disease detection using transfer learning with feature fusion network</t>
        </is>
      </c>
      <c r="B46" s="86" t="inlineStr">
        <is>
          <t>Hasan, M.N.</t>
        </is>
      </c>
      <c r="C46" s="86" t="n">
        <v>2025</v>
      </c>
      <c r="D46" s="86" t="inlineStr">
        <is>
          <t>Included</t>
        </is>
      </c>
      <c r="E46" s="86" t="inlineStr">
        <is>
          <t>Outcome not related to interest	Outcome not related to interest	Outcome not related to interest	Outcome not related to interest	Retrospective study</t>
        </is>
      </c>
      <c r="F46" s="86" t="inlineStr">
        <is>
          <t>Outcome not related to interest</t>
        </is>
      </c>
      <c r="G46" s="86" t="inlineStr">
        <is>
          <t>Outcome not related to interest</t>
        </is>
      </c>
      <c r="H46" s="86" t="inlineStr">
        <is>
          <t>Outcome not related to interest</t>
        </is>
      </c>
      <c r="I46" s="86" t="inlineStr">
        <is>
          <t>Retrospective study</t>
        </is>
      </c>
      <c r="J46" s="86" t="n">
        <v>39</v>
      </c>
    </row>
    <row r="47">
      <c r="A47" s="86" t="inlineStr">
        <is>
          <t>Compact Pyramidal dense mixed attention network for Diabetic retinopathy severity prediction under deep learning</t>
        </is>
      </c>
      <c r="B47" s="86" t="inlineStr">
        <is>
          <t>Gargi, M.</t>
        </is>
      </c>
      <c r="C47" s="86" t="n">
        <v>2025</v>
      </c>
      <c r="D47" s="86" t="inlineStr">
        <is>
          <t>Included</t>
        </is>
      </c>
      <c r="E47" s="86" t="inlineStr">
        <is>
          <t>Outcome not related to interest	Outcome not related to interest	Outcome not related to interest	Outcome not related to interest	Retrospective study</t>
        </is>
      </c>
      <c r="F47" s="86" t="inlineStr">
        <is>
          <t>Outcome not related to interest</t>
        </is>
      </c>
      <c r="G47" s="86" t="inlineStr">
        <is>
          <t>Outcome not related to interest</t>
        </is>
      </c>
      <c r="H47" s="86" t="inlineStr">
        <is>
          <t>Outcome not related to interest</t>
        </is>
      </c>
      <c r="I47" s="86" t="inlineStr">
        <is>
          <t>Retrospective study</t>
        </is>
      </c>
      <c r="J47" s="86" t="n">
        <v>40</v>
      </c>
    </row>
    <row r="48">
      <c r="A48" s="86" t="inlineStr">
        <is>
          <t>SDRG-Net: Secure DR grading network for Real-Time decision support in IoMT environments</t>
        </is>
      </c>
      <c r="B48" s="86" t="inlineStr">
        <is>
          <t>Poranki, V.K.R.</t>
        </is>
      </c>
      <c r="C48" s="86" t="n">
        <v>2025</v>
      </c>
      <c r="D48" s="86" t="inlineStr">
        <is>
          <t>Included</t>
        </is>
      </c>
      <c r="E48" s="86" t="inlineStr">
        <is>
          <t>Outcome not related to interest	Outcome not related to interest	Outcome not related to interest	Outcome not related to interest	Retrospective study</t>
        </is>
      </c>
      <c r="F48" s="86" t="inlineStr">
        <is>
          <t>Outcome not related to interest</t>
        </is>
      </c>
      <c r="G48" s="86" t="inlineStr">
        <is>
          <t>Outcome not related to interest</t>
        </is>
      </c>
      <c r="H48" s="86" t="inlineStr">
        <is>
          <t>Outcome not related to interest</t>
        </is>
      </c>
      <c r="I48" s="86" t="inlineStr">
        <is>
          <t>Retrospective study</t>
        </is>
      </c>
      <c r="J48" s="86" t="n">
        <v>41</v>
      </c>
    </row>
    <row r="49">
      <c r="A49" s="86" t="inlineStr">
        <is>
          <t>Deep neural network model for diagnosing diabetic retinopathy detection: An efficient mechanism for diabetic management</t>
        </is>
      </c>
      <c r="B49" s="86" t="inlineStr">
        <is>
          <t>Muthusamy, D.</t>
        </is>
      </c>
      <c r="C49" s="86" t="n">
        <v>2025</v>
      </c>
      <c r="D49" s="86" t="inlineStr">
        <is>
          <t>Included</t>
        </is>
      </c>
      <c r="E49" s="86" t="inlineStr">
        <is>
          <t>Outcome not related to interest	Outcome not related to interest	Outcome not related to interest	Outcome not related to interest	Retrospective study</t>
        </is>
      </c>
      <c r="F49" s="86" t="inlineStr">
        <is>
          <t>Outcome not related to interest</t>
        </is>
      </c>
      <c r="G49" s="86" t="inlineStr">
        <is>
          <t>Outcome not related to interest</t>
        </is>
      </c>
      <c r="H49" s="86" t="inlineStr">
        <is>
          <t>Outcome not related to interest</t>
        </is>
      </c>
      <c r="I49" s="86" t="inlineStr">
        <is>
          <t>Retrospective study</t>
        </is>
      </c>
      <c r="J49" s="86" t="n">
        <v>42</v>
      </c>
    </row>
    <row r="50">
      <c r="A50" s="86" t="inlineStr">
        <is>
          <t>Automated detection of diabetic retinopathy using an improved deep learning model with smartphone images</t>
        </is>
      </c>
      <c r="B50" s="86" t="inlineStr">
        <is>
          <t>Bhimavarapu, U.</t>
        </is>
      </c>
      <c r="C50" s="86" t="n">
        <v>2025</v>
      </c>
      <c r="D50" s="86" t="inlineStr">
        <is>
          <t>Included</t>
        </is>
      </c>
      <c r="E50" s="86" t="inlineStr">
        <is>
          <t>Outcome not related to interest</t>
        </is>
      </c>
      <c r="F50" s="86" t="inlineStr">
        <is>
          <t>Outcome not related to interest</t>
        </is>
      </c>
      <c r="G50" s="86" t="inlineStr">
        <is>
          <t>Outcome not related to interest</t>
        </is>
      </c>
      <c r="H50" s="86" t="n">
        <v>3</v>
      </c>
      <c r="I50" s="86" t="inlineStr">
        <is>
          <t>Retrospective study</t>
        </is>
      </c>
      <c r="J50" s="86" t="n">
        <v>43</v>
      </c>
    </row>
    <row r="51">
      <c r="A51" s="86" t="inlineStr">
        <is>
          <t>A hybrid model for diabetic retinopathy and diabetic macular edema severity grade classification</t>
        </is>
      </c>
      <c r="B51" s="86" t="inlineStr">
        <is>
          <t>Sabeena, A.S.</t>
        </is>
      </c>
      <c r="C51" s="86" t="n">
        <v>2025</v>
      </c>
      <c r="D51" s="86" t="inlineStr">
        <is>
          <t>Included</t>
        </is>
      </c>
      <c r="E51" s="5" t="inlineStr">
        <is>
          <t>Outcome not related to interest Outcome not related to interest Outcome not related to interest Outcome not related to interest Retrospective study</t>
        </is>
      </c>
      <c r="F51" s="5" t="inlineStr">
        <is>
          <t>Outcome not related to interest</t>
        </is>
      </c>
      <c r="G51" s="5" t="inlineStr">
        <is>
          <t>Outcome not related to interest</t>
        </is>
      </c>
      <c r="H51" s="5" t="inlineStr">
        <is>
          <t>Outcome not related to interest</t>
        </is>
      </c>
      <c r="I51" s="5" t="inlineStr">
        <is>
          <t>Retrospective study</t>
        </is>
      </c>
      <c r="J51" s="86" t="n">
        <v>44</v>
      </c>
    </row>
    <row r="52">
      <c r="A52" s="86" t="inlineStr">
        <is>
          <t>Hybrid model of feature-driven modular neural networkbased grasshopper optimization algorithm for diabetic retinopathy classification using fundus images</t>
        </is>
      </c>
      <c r="B52" s="86" t="inlineStr">
        <is>
          <t>Durai, D.B.J.</t>
        </is>
      </c>
      <c r="C52" s="86" t="n">
        <v>2025</v>
      </c>
      <c r="D52" s="86" t="inlineStr">
        <is>
          <t>Included</t>
        </is>
      </c>
      <c r="E52" s="5" t="inlineStr">
        <is>
          <t>Outcome not related to interest Outcome not related to interest Outcome not related to interest Outcome not related to interest Retrospective study</t>
        </is>
      </c>
      <c r="F52" s="5" t="inlineStr">
        <is>
          <t>Outcome not related to interest</t>
        </is>
      </c>
      <c r="G52" s="5" t="inlineStr">
        <is>
          <t>Outcome not related to interest</t>
        </is>
      </c>
      <c r="H52" s="5" t="inlineStr">
        <is>
          <t>Outcome not related to interest</t>
        </is>
      </c>
      <c r="I52" s="5" t="inlineStr">
        <is>
          <t>Retrospective study</t>
        </is>
      </c>
      <c r="J52" s="86" t="n">
        <v>45</v>
      </c>
    </row>
    <row r="53">
      <c r="A53" s="86" t="inlineStr">
        <is>
          <t>Modified deep inductive transfer learning diagnostic systems for diabetic retinopathy severity levels classification</t>
        </is>
      </c>
      <c r="B53" s="86" t="inlineStr">
        <is>
          <t>Vij, R.</t>
        </is>
      </c>
      <c r="C53" s="86" t="n">
        <v>2025</v>
      </c>
      <c r="D53" s="86" t="inlineStr">
        <is>
          <t>Included</t>
        </is>
      </c>
      <c r="E53" s="5" t="inlineStr">
        <is>
          <t>Outcome not related to interest Outcome not related to interest Outcome not related to interest Outcome not related to interest Retrospective study</t>
        </is>
      </c>
      <c r="F53" s="5" t="inlineStr">
        <is>
          <t>Outcome not related to interest</t>
        </is>
      </c>
      <c r="G53" s="5" t="inlineStr">
        <is>
          <t>Outcome not related to interest</t>
        </is>
      </c>
      <c r="H53" s="5" t="inlineStr">
        <is>
          <t>Outcome not related to interest</t>
        </is>
      </c>
      <c r="I53" s="5" t="inlineStr">
        <is>
          <t>Retrospective study</t>
        </is>
      </c>
      <c r="J53" s="86" t="n">
        <v>46</v>
      </c>
    </row>
    <row r="54">
      <c r="A54" s="86" t="inlineStr">
        <is>
          <t>Revolutionizing diabetic retinopathy diagnosis through advanced deep learning techniques: Harnessing the power of GAN model with transfer learning and the DiaGAN-CNN model</t>
        </is>
      </c>
      <c r="B54" s="86" t="inlineStr">
        <is>
          <t>Shoaib, M.R.</t>
        </is>
      </c>
      <c r="C54" s="86" t="n">
        <v>2025</v>
      </c>
      <c r="D54" s="86" t="inlineStr">
        <is>
          <t>Included</t>
        </is>
      </c>
      <c r="E54" s="5" t="inlineStr">
        <is>
          <t>Outcome not related to interest Outcome not related to interest Outcome not related to interest Outcome not related to interest Retrospective study</t>
        </is>
      </c>
      <c r="F54" s="5" t="inlineStr">
        <is>
          <t>Outcome not related to interest</t>
        </is>
      </c>
      <c r="G54" s="5" t="inlineStr">
        <is>
          <t>Outcome not related to interest</t>
        </is>
      </c>
      <c r="H54" s="5" t="inlineStr">
        <is>
          <t>Outcome not related to interest</t>
        </is>
      </c>
      <c r="I54" s="5" t="inlineStr">
        <is>
          <t>Retrospective study</t>
        </is>
      </c>
      <c r="J54" s="86" t="n">
        <v>47</v>
      </c>
    </row>
    <row r="55">
      <c r="A55" s="86" t="inlineStr">
        <is>
          <t>Screening diabetic retinopathy and exudates in retinal images using dual functional convolutional neural networks</t>
        </is>
      </c>
      <c r="B55" s="86" t="inlineStr">
        <is>
          <t>Geetha, T.</t>
        </is>
      </c>
      <c r="C55" s="86" t="n">
        <v>2025</v>
      </c>
      <c r="D55" s="86" t="inlineStr">
        <is>
          <t>Included</t>
        </is>
      </c>
      <c r="E55" s="5" t="inlineStr">
        <is>
          <t>Outcome not related to interest Outcome not related to interest Outcome not related to interest Outcome not related to interest Retrospective study</t>
        </is>
      </c>
      <c r="F55" s="5" t="inlineStr">
        <is>
          <t>Outcome not related to interest</t>
        </is>
      </c>
      <c r="G55" s="5" t="inlineStr">
        <is>
          <t>Outcome not related to interest</t>
        </is>
      </c>
      <c r="H55" s="5" t="inlineStr">
        <is>
          <t>Outcome not related to interest</t>
        </is>
      </c>
      <c r="I55" s="5" t="inlineStr">
        <is>
          <t>Retrospective study</t>
        </is>
      </c>
      <c r="J55" s="86" t="n">
        <v>48</v>
      </c>
    </row>
    <row r="56">
      <c r="A56" s="86" t="inlineStr">
        <is>
          <t>DeB5-XNet: An explainable ensemble model for ocular disease classification using feature extraction and Grad-CAM</t>
        </is>
      </c>
      <c r="B56" s="86" t="inlineStr">
        <is>
          <t>Kher, G.</t>
        </is>
      </c>
      <c r="C56" s="86" t="n">
        <v>2025</v>
      </c>
      <c r="D56" s="86" t="inlineStr">
        <is>
          <t>Included</t>
        </is>
      </c>
      <c r="E56" s="5" t="inlineStr">
        <is>
          <t>Outcome not related to interest Outcome not related to interest Outcome not related to interest Outcome not related to interest Retrospective study</t>
        </is>
      </c>
      <c r="F56" s="5" t="inlineStr">
        <is>
          <t>Outcome not related to interest</t>
        </is>
      </c>
      <c r="G56" s="5" t="inlineStr">
        <is>
          <t>Outcome not related to interest</t>
        </is>
      </c>
      <c r="H56" s="5" t="inlineStr">
        <is>
          <t>Outcome not related to interest</t>
        </is>
      </c>
      <c r="I56" s="5" t="inlineStr">
        <is>
          <t>Retrospective study</t>
        </is>
      </c>
      <c r="J56" s="86" t="n">
        <v>49</v>
      </c>
    </row>
    <row r="57">
      <c r="A57" s="86" t="inlineStr">
        <is>
          <t>Detection of diabetic retinopathy severity from fundus images: DCNN</t>
        </is>
      </c>
      <c r="B57" s="86" t="inlineStr">
        <is>
          <t>Kumar, T.S.</t>
        </is>
      </c>
      <c r="C57" s="86" t="n">
        <v>2025</v>
      </c>
      <c r="D57" s="86" t="inlineStr">
        <is>
          <t>Included</t>
        </is>
      </c>
      <c r="E57" s="5" t="inlineStr">
        <is>
          <t>Outcome not related to interest Outcome not related to interest Outcome not related to interest Outcome not related to interest Retrospective study</t>
        </is>
      </c>
      <c r="F57" s="5" t="inlineStr">
        <is>
          <t>Outcome not related to interest</t>
        </is>
      </c>
      <c r="G57" s="5" t="inlineStr">
        <is>
          <t>Outcome not related to interest</t>
        </is>
      </c>
      <c r="H57" s="5" t="inlineStr">
        <is>
          <t>Outcome not related to interest</t>
        </is>
      </c>
      <c r="I57" s="5" t="inlineStr">
        <is>
          <t>Retrospective study</t>
        </is>
      </c>
      <c r="J57" s="86" t="n">
        <v>50</v>
      </c>
    </row>
    <row r="58">
      <c r="A58" s="86" t="inlineStr">
        <is>
          <t>Enhanced Diabetic Retinopathy Detection: An Explainable Semi-Supervised Approach Using Contrastive Learning</t>
        </is>
      </c>
      <c r="B58" s="86" t="inlineStr">
        <is>
          <t>Ali, R.</t>
        </is>
      </c>
      <c r="C58" s="86" t="n">
        <v>2025</v>
      </c>
      <c r="D58" s="86" t="inlineStr">
        <is>
          <t>Included</t>
        </is>
      </c>
      <c r="E58" s="86" t="inlineStr">
        <is>
          <t>Insufficient to constrct confusion matrix</t>
        </is>
      </c>
      <c r="F58" s="86" t="inlineStr">
        <is>
          <t>Insufficient to constrct confusion matrix</t>
        </is>
      </c>
      <c r="G58" s="86" t="inlineStr">
        <is>
          <t>Insufficient to constrct confusion matrix</t>
        </is>
      </c>
      <c r="H58" s="86" t="inlineStr">
        <is>
          <t>Insufficient to constrct confusion matrix</t>
        </is>
      </c>
      <c r="I58" s="86" t="inlineStr">
        <is>
          <t>Insufficient to constrct confusion matrix</t>
        </is>
      </c>
      <c r="J58" s="86" t="inlineStr">
        <is>
          <t>Insufficient to constrct confusion matrix</t>
        </is>
      </c>
    </row>
    <row r="59">
      <c r="A59" s="18" t="inlineStr">
        <is>
          <t>HYBRID DEEP SPIKING NEURAL PRINCIPAL COMPONENT ANALYSIS NETWORK FOR DIABETIC RETINOPATHY DETECTION USING RETINAL FUNDUS IMAGE</t>
        </is>
      </c>
      <c r="B59" s="86" t="inlineStr">
        <is>
          <t>Rathod-Jadhav, K.T.</t>
        </is>
      </c>
      <c r="C59" s="86" t="n">
        <v>2025</v>
      </c>
      <c r="D59" s="86" t="inlineStr">
        <is>
          <t>Included</t>
        </is>
      </c>
      <c r="E59" s="5" t="inlineStr">
        <is>
          <t>Outcome not related to interest Outcome not related to interest Outcome not related to interest Outcome not related to interest Retrospective study</t>
        </is>
      </c>
      <c r="F59" s="5" t="inlineStr">
        <is>
          <t>Outcome not related to interest</t>
        </is>
      </c>
      <c r="G59" s="5" t="inlineStr">
        <is>
          <t>Outcome not related to interest</t>
        </is>
      </c>
      <c r="H59" s="5" t="inlineStr">
        <is>
          <t>Outcome not related to interest</t>
        </is>
      </c>
      <c r="I59" s="5" t="inlineStr">
        <is>
          <t>Retrospective study</t>
        </is>
      </c>
      <c r="J59" s="86" t="n">
        <v>51</v>
      </c>
    </row>
    <row r="60">
      <c r="A60" s="86" t="inlineStr">
        <is>
          <t>Validation of a deep learning system for the detection of diabetic retinopathy in Indigenous Australians.</t>
        </is>
      </c>
      <c r="B60" s="86" t="inlineStr">
        <is>
          <t>Chia, Mark A</t>
        </is>
      </c>
      <c r="C60" s="86" t="n">
        <v>2024</v>
      </c>
      <c r="D60" s="86" t="inlineStr">
        <is>
          <t>Included</t>
        </is>
      </c>
      <c r="E60" s="5" t="inlineStr">
        <is>
          <t>Outcome not related to interest Outcome not related to interest Outcome not related to interest Outcome not related to interest Retrospective study</t>
        </is>
      </c>
      <c r="F60" s="86" t="n">
        <v>7</v>
      </c>
      <c r="G60" s="86" t="inlineStr">
        <is>
          <t>Outcome not related to interest</t>
        </is>
      </c>
      <c r="H60" s="86" t="n">
        <v>4</v>
      </c>
      <c r="I60" s="5" t="inlineStr">
        <is>
          <t>Retrospective study</t>
        </is>
      </c>
      <c r="J60" s="86" t="n">
        <v>52</v>
      </c>
    </row>
    <row r="61">
      <c r="A61" s="86" t="inlineStr">
        <is>
          <t>Ensemble of deep convolutional neural networks is more accurate and reliable than board-certified ophthalmologists at detecting multiple diseases in retinal fundus photographs.</t>
        </is>
      </c>
      <c r="B61" s="86" t="inlineStr">
        <is>
          <t>Pandey, Prashant U</t>
        </is>
      </c>
      <c r="C61" s="86" t="n">
        <v>2024</v>
      </c>
      <c r="D61" s="86" t="inlineStr">
        <is>
          <t>Included</t>
        </is>
      </c>
      <c r="E61" s="5" t="inlineStr">
        <is>
          <t>Outcome not related to interest</t>
        </is>
      </c>
      <c r="F61" s="5" t="inlineStr">
        <is>
          <t>Outcome not related to interest</t>
        </is>
      </c>
      <c r="G61" s="86" t="inlineStr">
        <is>
          <t>Outcome not related to interest</t>
        </is>
      </c>
      <c r="H61" s="86" t="n">
        <v>5</v>
      </c>
      <c r="I61" s="5" t="inlineStr">
        <is>
          <t>Retrospective study</t>
        </is>
      </c>
      <c r="J61" s="86" t="n">
        <v>53</v>
      </c>
    </row>
    <row r="62">
      <c r="A62" s="86" t="inlineStr">
        <is>
          <t>Implementation of deep learning artificial intelligence in vision-threatening disease screenings for an underserved community during COVID-19.</t>
        </is>
      </c>
      <c r="B62" s="86" t="inlineStr">
        <is>
          <t>Zhu, Aretha</t>
        </is>
      </c>
      <c r="C62" s="86" t="n">
        <v>2024</v>
      </c>
      <c r="D62" s="86" t="inlineStr">
        <is>
          <t>Included</t>
        </is>
      </c>
      <c r="E62" s="5" t="inlineStr">
        <is>
          <t>Outcome not related to interest</t>
        </is>
      </c>
      <c r="F62" s="86" t="n">
        <v>8</v>
      </c>
      <c r="G62" s="5" t="inlineStr">
        <is>
          <t>Outcome not related to interest</t>
        </is>
      </c>
      <c r="H62" s="5" t="inlineStr">
        <is>
          <t>Outcome not related to interest</t>
        </is>
      </c>
      <c r="I62" s="86" t="n">
        <v>6</v>
      </c>
      <c r="J62" s="86" t="n">
        <v>54</v>
      </c>
    </row>
    <row r="63">
      <c r="A63" s="86" t="inlineStr">
        <is>
          <t>Application of artificial intelligence system for screening multiple fundus diseases in Chinese primary healthcare settings: a real-world, multicentre and cross-sectional study of 4795 cases.</t>
        </is>
      </c>
      <c r="B63" s="86" t="inlineStr">
        <is>
          <t>Gu, Chufeng</t>
        </is>
      </c>
      <c r="C63" s="86" t="n">
        <v>2024</v>
      </c>
      <c r="D63" s="86" t="inlineStr">
        <is>
          <t>Included</t>
        </is>
      </c>
      <c r="E63" s="5" t="inlineStr">
        <is>
          <t>Outcome not related to interest</t>
        </is>
      </c>
      <c r="F63" s="5" t="inlineStr">
        <is>
          <t>Outcome not related to interest</t>
        </is>
      </c>
      <c r="G63" s="5" t="inlineStr">
        <is>
          <t>Outcome not related to interest</t>
        </is>
      </c>
      <c r="H63" s="5" t="inlineStr">
        <is>
          <t>Outcome not related to interest</t>
        </is>
      </c>
      <c r="I63" s="5" t="inlineStr">
        <is>
          <t>Retrospective study</t>
        </is>
      </c>
      <c r="J63" s="86" t="n">
        <v>55</v>
      </c>
    </row>
    <row r="64">
      <c r="A64" s="86" t="inlineStr">
        <is>
          <t>Deep learning detection of diabetic retinopathy in Scotland's diabetic eye screening programme.</t>
        </is>
      </c>
      <c r="B64" s="86" t="inlineStr">
        <is>
          <t>Fleming, Alan D</t>
        </is>
      </c>
      <c r="C64" s="86" t="n">
        <v>2024</v>
      </c>
      <c r="D64" s="86" t="inlineStr">
        <is>
          <t>Included</t>
        </is>
      </c>
      <c r="E64" s="5" t="inlineStr">
        <is>
          <t>Outcome not related to interest</t>
        </is>
      </c>
      <c r="F64" s="5" t="inlineStr">
        <is>
          <t>Outcome not related to interest</t>
        </is>
      </c>
      <c r="G64" s="5" t="inlineStr">
        <is>
          <t>Outcome not related to interest</t>
        </is>
      </c>
      <c r="H64" s="86" t="n">
        <v>6</v>
      </c>
      <c r="I64" s="5" t="inlineStr">
        <is>
          <t>Retrospective study</t>
        </is>
      </c>
      <c r="J64" s="86" t="n">
        <v>56</v>
      </c>
    </row>
    <row r="65">
      <c r="A65" s="86" t="inlineStr">
        <is>
          <t>Feasibility and accuracy of the screening for diabetic retinopathy using a fundus camera and an artificial intelligence pre-evaluation application.</t>
        </is>
      </c>
      <c r="B65" s="86" t="inlineStr">
        <is>
          <t>Piatti, A</t>
        </is>
      </c>
      <c r="C65" s="86" t="n">
        <v>2024</v>
      </c>
      <c r="D65" s="86" t="inlineStr">
        <is>
          <t>Included</t>
        </is>
      </c>
      <c r="E65" s="5" t="inlineStr">
        <is>
          <t>Outcome not related to interest</t>
        </is>
      </c>
      <c r="F65" s="86" t="n">
        <v>9</v>
      </c>
      <c r="G65" s="5" t="inlineStr">
        <is>
          <t>Outcome not related to interest</t>
        </is>
      </c>
      <c r="H65" s="5" t="inlineStr">
        <is>
          <t>Outcome not related to interest</t>
        </is>
      </c>
      <c r="I65" s="5" t="inlineStr">
        <is>
          <t>Retrospective study</t>
        </is>
      </c>
      <c r="J65" s="86" t="n">
        <v>57</v>
      </c>
    </row>
    <row r="66">
      <c r="A66" s="86" t="inlineStr">
        <is>
          <t>An advanced deep learning method to detect and classify diabetic retinopathy based on color fundus images.</t>
        </is>
      </c>
      <c r="B66" s="86" t="inlineStr">
        <is>
          <t>Akella, Prasanna Lakshmi</t>
        </is>
      </c>
      <c r="C66" s="86" t="n">
        <v>2024</v>
      </c>
      <c r="D66" s="86" t="inlineStr">
        <is>
          <t>Included</t>
        </is>
      </c>
      <c r="E66" s="5" t="inlineStr">
        <is>
          <t>Outcome not related to interest</t>
        </is>
      </c>
      <c r="F66" s="5" t="inlineStr">
        <is>
          <t>Outcome not related to interest</t>
        </is>
      </c>
      <c r="G66" s="5" t="inlineStr">
        <is>
          <t>Outcome not related to interest</t>
        </is>
      </c>
      <c r="H66" s="5" t="inlineStr">
        <is>
          <t>Outcome not related to interest</t>
        </is>
      </c>
      <c r="I66" s="5" t="inlineStr">
        <is>
          <t>Retrospective study</t>
        </is>
      </c>
      <c r="J66" s="86" t="n">
        <v>58</v>
      </c>
    </row>
    <row r="67">
      <c r="A67" s="17" t="inlineStr">
        <is>
          <t>Feasibility and acceptance of artificial intelligence-based diabetic retinopathy screening in Rwanda.</t>
        </is>
      </c>
      <c r="B67" s="86" t="inlineStr">
        <is>
          <t>Whitestone, Noelle</t>
        </is>
      </c>
      <c r="C67" s="86" t="n">
        <v>2024</v>
      </c>
      <c r="D67" s="86" t="inlineStr">
        <is>
          <t>Included</t>
        </is>
      </c>
      <c r="E67" s="5" t="inlineStr">
        <is>
          <t>Outcome not related to interest</t>
        </is>
      </c>
      <c r="F67" s="5" t="inlineStr">
        <is>
          <t>Outcome not related to interest</t>
        </is>
      </c>
      <c r="G67" s="5" t="inlineStr">
        <is>
          <t>Outcome not related to interest</t>
        </is>
      </c>
      <c r="H67" s="5" t="inlineStr">
        <is>
          <t>Outcome not related to interest</t>
        </is>
      </c>
      <c r="I67" s="5" t="inlineStr">
        <is>
          <t>Retrospective study</t>
        </is>
      </c>
      <c r="J67" s="86" t="n">
        <v>59</v>
      </c>
    </row>
    <row r="68">
      <c r="A68" s="86" t="inlineStr">
        <is>
          <t>A double-blinded study for quantifiable assessment of the diagnostic accuracy of AI tool "ADVEN-i" in identifying diseased fundus images including diabetic retinopathy on a retrospective data.</t>
        </is>
      </c>
      <c r="B68" s="86" t="inlineStr">
        <is>
          <t>Acharyya, Mausumi</t>
        </is>
      </c>
      <c r="C68" s="86" t="n">
        <v>2024</v>
      </c>
      <c r="D68" s="86" t="inlineStr">
        <is>
          <t>Included</t>
        </is>
      </c>
      <c r="E68" s="5" t="inlineStr">
        <is>
          <t>Outcome not related to interest</t>
        </is>
      </c>
      <c r="F68" s="5" t="inlineStr">
        <is>
          <t>Outcome not related to interest</t>
        </is>
      </c>
      <c r="G68" s="5" t="inlineStr">
        <is>
          <t>Outcome not related to interest</t>
        </is>
      </c>
      <c r="H68" s="5" t="inlineStr">
        <is>
          <t>Outcome not related to interest</t>
        </is>
      </c>
      <c r="I68" s="5" t="inlineStr">
        <is>
          <t>Retrospective study</t>
        </is>
      </c>
      <c r="J68" s="86" t="n">
        <v>60</v>
      </c>
    </row>
    <row r="69">
      <c r="A69" s="86" t="inlineStr">
        <is>
          <t>Effect of simulated cataract on the accuracy of artificial intelligence in detecting diabetic retinopathy in color fundus photos.</t>
        </is>
      </c>
      <c r="B69" s="86" t="inlineStr">
        <is>
          <t>Crane, Alexander B</t>
        </is>
      </c>
      <c r="C69" s="86" t="n">
        <v>2024</v>
      </c>
      <c r="D69" s="86" t="inlineStr">
        <is>
          <t>Included</t>
        </is>
      </c>
      <c r="E69" s="5" t="inlineStr">
        <is>
          <t>Outcome not related to interest</t>
        </is>
      </c>
      <c r="F69" s="5" t="inlineStr">
        <is>
          <t>Outcome not related to interest</t>
        </is>
      </c>
      <c r="G69" s="5" t="inlineStr">
        <is>
          <t>Outcome not related to interest</t>
        </is>
      </c>
      <c r="H69" s="5" t="inlineStr">
        <is>
          <t>Outcome not related to interest</t>
        </is>
      </c>
      <c r="I69" s="5" t="inlineStr">
        <is>
          <t>Outcome not related to interest</t>
        </is>
      </c>
      <c r="J69" s="5" t="inlineStr">
        <is>
          <t>Outcome not related to interest</t>
        </is>
      </c>
    </row>
    <row r="70">
      <c r="A70" s="86" t="inlineStr">
        <is>
          <t>Diabetic Retinopathy Diagnosis based on Convolutional Neural Network in the Russian Population: A Multicenter Prospective Study.</t>
        </is>
      </c>
      <c r="B70" s="86" t="inlineStr">
        <is>
          <t>Gognieva, Daria</t>
        </is>
      </c>
      <c r="C70" s="86" t="n">
        <v>2024</v>
      </c>
      <c r="D70" s="86" t="inlineStr">
        <is>
          <t>Included</t>
        </is>
      </c>
      <c r="E70" s="5" t="inlineStr">
        <is>
          <t>Outcome not related to interest</t>
        </is>
      </c>
      <c r="F70" s="5" t="inlineStr">
        <is>
          <t>Outcome not related to interest</t>
        </is>
      </c>
      <c r="G70" s="5" t="inlineStr">
        <is>
          <t>Outcome not related to interest</t>
        </is>
      </c>
      <c r="H70" s="5" t="inlineStr">
        <is>
          <t>Outcome not related to interest</t>
        </is>
      </c>
      <c r="I70" s="86" t="n">
        <v>7</v>
      </c>
      <c r="J70" s="86" t="n">
        <v>61</v>
      </c>
    </row>
    <row r="71">
      <c r="A71" s="86" t="inlineStr">
        <is>
          <t>Implementing and evaluating a fully functional AI-enabled model for chronic eye disease screening in a real clinical environment.</t>
        </is>
      </c>
      <c r="B71" s="86" t="inlineStr">
        <is>
          <t>Skevas, Christos</t>
        </is>
      </c>
      <c r="C71" s="86" t="n">
        <v>2024</v>
      </c>
      <c r="D71" s="86" t="inlineStr">
        <is>
          <t>Included</t>
        </is>
      </c>
      <c r="E71" s="5" t="inlineStr">
        <is>
          <t>Outcome not related to interest</t>
        </is>
      </c>
      <c r="F71" s="5" t="inlineStr">
        <is>
          <t>Outcome not related to interest</t>
        </is>
      </c>
      <c r="G71" s="5" t="inlineStr">
        <is>
          <t>Outcome not related to interest</t>
        </is>
      </c>
      <c r="H71" s="5" t="inlineStr">
        <is>
          <t>Outcome not related to interest</t>
        </is>
      </c>
      <c r="I71" s="86" t="n">
        <v>8</v>
      </c>
      <c r="J71" s="86" t="n">
        <v>62</v>
      </c>
    </row>
    <row r="72">
      <c r="A72" s="86" t="inlineStr">
        <is>
          <t>UC-stack: a deep learning computer automatic detection system for diabetic retinopathy classification.</t>
        </is>
      </c>
      <c r="B72" s="86" t="inlineStr">
        <is>
          <t>Fu, Yong</t>
        </is>
      </c>
      <c r="C72" s="86" t="n">
        <v>2024</v>
      </c>
      <c r="D72" s="86" t="inlineStr">
        <is>
          <t>Included</t>
        </is>
      </c>
      <c r="E72" s="5" t="inlineStr">
        <is>
          <t>Outcome not related to interest</t>
        </is>
      </c>
      <c r="F72" s="5" t="inlineStr">
        <is>
          <t>Outcome not related to interest</t>
        </is>
      </c>
      <c r="G72" s="5" t="inlineStr">
        <is>
          <t>Outcome not related to interest</t>
        </is>
      </c>
      <c r="H72" s="5" t="inlineStr">
        <is>
          <t>Outcome not related to interest</t>
        </is>
      </c>
      <c r="I72" s="5" t="inlineStr">
        <is>
          <t>Retrospective study</t>
        </is>
      </c>
      <c r="J72" s="86" t="n">
        <v>63</v>
      </c>
    </row>
    <row r="73">
      <c r="A73" s="86" t="inlineStr">
        <is>
          <t>Automated Diabetic Retinopathy Diagnosis for Improved Clinical Decision Support.</t>
        </is>
      </c>
      <c r="B73" s="86" t="inlineStr">
        <is>
          <t>Boyle, Justin</t>
        </is>
      </c>
      <c r="C73" s="86" t="n">
        <v>2024</v>
      </c>
      <c r="D73" s="86" t="inlineStr">
        <is>
          <t>Included</t>
        </is>
      </c>
      <c r="E73" s="5" t="inlineStr">
        <is>
          <t>Outcome not related to interest</t>
        </is>
      </c>
      <c r="F73" s="5" t="inlineStr">
        <is>
          <t>Outcome not related to interest</t>
        </is>
      </c>
      <c r="G73" s="5" t="inlineStr">
        <is>
          <t>Outcome not related to interest</t>
        </is>
      </c>
      <c r="H73" s="5" t="inlineStr">
        <is>
          <t>Outcome not related to interest</t>
        </is>
      </c>
      <c r="I73" s="5" t="inlineStr">
        <is>
          <t>Retrospective study</t>
        </is>
      </c>
      <c r="J73" s="86" t="n">
        <v>64</v>
      </c>
    </row>
    <row r="74">
      <c r="A74" s="86" t="inlineStr">
        <is>
          <t>A hybrid neural network approach for classifying diabetic retinopathy subtypes.</t>
        </is>
      </c>
      <c r="B74" s="86" t="inlineStr">
        <is>
          <t>Xu, Huanqing</t>
        </is>
      </c>
      <c r="C74" s="86" t="n">
        <v>2024</v>
      </c>
      <c r="D74" s="86" t="inlineStr">
        <is>
          <t>Included</t>
        </is>
      </c>
      <c r="E74" s="5" t="inlineStr">
        <is>
          <t>Outcome not related to interest</t>
        </is>
      </c>
      <c r="F74" s="5" t="inlineStr">
        <is>
          <t>Outcome not related to interest</t>
        </is>
      </c>
      <c r="G74" s="5" t="inlineStr">
        <is>
          <t>Outcome not related to interest</t>
        </is>
      </c>
      <c r="H74" s="5" t="inlineStr">
        <is>
          <t>Outcome not related to interest</t>
        </is>
      </c>
      <c r="I74" s="5" t="inlineStr">
        <is>
          <t>Retrospective study</t>
        </is>
      </c>
      <c r="J74" s="86" t="n">
        <v>65</v>
      </c>
    </row>
    <row r="75">
      <c r="A75" s="86" t="inlineStr">
        <is>
          <t>Multi-Branching Temporal Convolutional Network With Tensor Data Completion for Diabetic Retinopathy Prediction.</t>
        </is>
      </c>
      <c r="B75" s="86" t="inlineStr">
        <is>
          <t>Wang, Zekai</t>
        </is>
      </c>
      <c r="C75" s="86" t="n">
        <v>2024</v>
      </c>
      <c r="D75" s="86" t="inlineStr">
        <is>
          <t>Included</t>
        </is>
      </c>
      <c r="E75" s="86" t="inlineStr">
        <is>
          <t>Insufficient to constrct confusion matrix</t>
        </is>
      </c>
      <c r="F75" s="86" t="inlineStr">
        <is>
          <t>Insufficient to constrct confusion matrix</t>
        </is>
      </c>
      <c r="G75" s="86" t="inlineStr">
        <is>
          <t>Insufficient to constrct confusion matrix</t>
        </is>
      </c>
      <c r="H75" s="86" t="inlineStr">
        <is>
          <t>Insufficient to constrct confusion matrix</t>
        </is>
      </c>
      <c r="I75" s="86" t="inlineStr">
        <is>
          <t>Insufficient to constrct confusion matrix</t>
        </is>
      </c>
      <c r="J75" s="86" t="inlineStr">
        <is>
          <t>Insufficient to constrct confusion matrix</t>
        </is>
      </c>
    </row>
    <row r="76">
      <c r="A76" s="86" t="inlineStr">
        <is>
          <t>Improved Support Vector Machine based on CNN-SVD for vision-threatening diabetic retinopathy detection and classification.</t>
        </is>
      </c>
      <c r="B76" s="86" t="inlineStr">
        <is>
          <t>Bilal, Anas</t>
        </is>
      </c>
      <c r="C76" s="86" t="n">
        <v>2024</v>
      </c>
      <c r="D76" s="86" t="inlineStr">
        <is>
          <t>Included</t>
        </is>
      </c>
      <c r="E76" s="5" t="inlineStr">
        <is>
          <t>Outcome not related to interest</t>
        </is>
      </c>
      <c r="F76" s="5" t="inlineStr">
        <is>
          <t>Outcome not related to interest</t>
        </is>
      </c>
      <c r="G76" s="5" t="inlineStr">
        <is>
          <t>Outcome not related to interest</t>
        </is>
      </c>
      <c r="H76" s="5" t="inlineStr">
        <is>
          <t>Outcome not related to interest</t>
        </is>
      </c>
      <c r="I76" s="5" t="inlineStr">
        <is>
          <t>Retrospective study</t>
        </is>
      </c>
      <c r="J76" s="86" t="n">
        <v>66</v>
      </c>
    </row>
    <row r="77">
      <c r="A77" s="86" t="inlineStr">
        <is>
          <t>Deep learning innovations in diagnosing diabetic retinopathy: The potential of transfer learning and the DiaCNN model.</t>
        </is>
      </c>
      <c r="B77" s="86" t="inlineStr">
        <is>
          <t>Shoaib, Mohamed R</t>
        </is>
      </c>
      <c r="C77" s="86" t="n">
        <v>2024</v>
      </c>
      <c r="D77" s="86" t="inlineStr">
        <is>
          <t>Included</t>
        </is>
      </c>
      <c r="E77" s="5" t="inlineStr">
        <is>
          <t>Outcome not related to interest</t>
        </is>
      </c>
      <c r="F77" s="5" t="inlineStr">
        <is>
          <t>Outcome not related to interest</t>
        </is>
      </c>
      <c r="G77" s="5" t="inlineStr">
        <is>
          <t>Outcome not related to interest</t>
        </is>
      </c>
      <c r="H77" s="5" t="inlineStr">
        <is>
          <t>Outcome not related to interest</t>
        </is>
      </c>
      <c r="I77" s="5" t="inlineStr">
        <is>
          <t>Retrospective study</t>
        </is>
      </c>
      <c r="J77" s="86" t="n">
        <v>67</v>
      </c>
    </row>
    <row r="78">
      <c r="A78" s="86" t="inlineStr">
        <is>
          <t>Head to head comparison of diagnostic performance of three non-mydriatic cameras for diabetic retinopathy screening with artificial intelligence.</t>
        </is>
      </c>
      <c r="B78" s="86" t="inlineStr">
        <is>
          <t>Doan, Mehmet Erkan</t>
        </is>
      </c>
      <c r="C78" s="86" t="n">
        <v>2024</v>
      </c>
      <c r="D78" s="86" t="inlineStr">
        <is>
          <t>Included</t>
        </is>
      </c>
      <c r="E78" s="5" t="inlineStr">
        <is>
          <t>Outcome not related to interest</t>
        </is>
      </c>
      <c r="F78" s="86" t="n">
        <v>10</v>
      </c>
      <c r="G78" s="5" t="inlineStr">
        <is>
          <t>Outcome not related to interest</t>
        </is>
      </c>
      <c r="H78" s="5" t="inlineStr">
        <is>
          <t>Outcome not related to interest</t>
        </is>
      </c>
      <c r="I78" s="86" t="n">
        <v>9</v>
      </c>
      <c r="J78" s="86" t="n">
        <v>68</v>
      </c>
    </row>
    <row r="79">
      <c r="A79" s="86" t="inlineStr">
        <is>
          <t>An interpretable dual attention network for diabetic retinopathy grading: IDANet.</t>
        </is>
      </c>
      <c r="B79" s="86" t="inlineStr">
        <is>
          <t>Bhati, Amit</t>
        </is>
      </c>
      <c r="C79" s="86" t="n">
        <v>2024</v>
      </c>
      <c r="D79" s="86" t="inlineStr">
        <is>
          <t>Included</t>
        </is>
      </c>
      <c r="E79" s="5" t="inlineStr">
        <is>
          <t>Outcome not related to interest</t>
        </is>
      </c>
      <c r="F79" s="5" t="inlineStr">
        <is>
          <t>Outcome not related to interest</t>
        </is>
      </c>
      <c r="G79" s="5" t="inlineStr">
        <is>
          <t>Outcome not related to interest</t>
        </is>
      </c>
      <c r="H79" s="5" t="inlineStr">
        <is>
          <t>Outcome not related to interest</t>
        </is>
      </c>
      <c r="I79" s="5" t="inlineStr">
        <is>
          <t>Retrospective study</t>
        </is>
      </c>
      <c r="J79" s="86" t="n">
        <v>69</v>
      </c>
    </row>
    <row r="80">
      <c r="A80" s="86" t="inlineStr">
        <is>
          <t>A graph convolutional network with dynamic weight fusion of multi-scale local features for diabetic retinopathy grading.</t>
        </is>
      </c>
      <c r="B80" s="86" t="inlineStr">
        <is>
          <t>Wang, Yipeng</t>
        </is>
      </c>
      <c r="C80" s="86" t="n">
        <v>2024</v>
      </c>
      <c r="D80" s="86" t="inlineStr">
        <is>
          <t>Included</t>
        </is>
      </c>
      <c r="E80" s="5" t="inlineStr">
        <is>
          <t>Outcome not related to interest</t>
        </is>
      </c>
      <c r="F80" s="5" t="inlineStr">
        <is>
          <t>Outcome not related to interest</t>
        </is>
      </c>
      <c r="G80" s="5" t="inlineStr">
        <is>
          <t>Outcome not related to interest</t>
        </is>
      </c>
      <c r="H80" s="5" t="inlineStr">
        <is>
          <t>Outcome not related to interest</t>
        </is>
      </c>
      <c r="I80" s="5" t="inlineStr">
        <is>
          <t>Retrospective study</t>
        </is>
      </c>
      <c r="J80" s="86" t="n">
        <v>70</v>
      </c>
    </row>
    <row r="81">
      <c r="A81" s="86" t="inlineStr">
        <is>
          <t>Vision transformer with masked autoencoders for referable diabetic retinopathy classification based on large-size retina image.</t>
        </is>
      </c>
      <c r="B81" s="86" t="inlineStr">
        <is>
          <t>Yang, Yaoming</t>
        </is>
      </c>
      <c r="C81" s="86" t="n">
        <v>2024</v>
      </c>
      <c r="D81" s="86" t="inlineStr">
        <is>
          <t>Included</t>
        </is>
      </c>
      <c r="E81" s="5" t="inlineStr">
        <is>
          <t>Outcome not related to interest</t>
        </is>
      </c>
      <c r="F81" s="5" t="inlineStr">
        <is>
          <t>Outcome not related to interest</t>
        </is>
      </c>
      <c r="G81" s="5" t="inlineStr">
        <is>
          <t>Outcome not related to interest</t>
        </is>
      </c>
      <c r="H81" s="5" t="inlineStr">
        <is>
          <t>Outcome not related to interest</t>
        </is>
      </c>
      <c r="I81" s="5" t="inlineStr">
        <is>
          <t>Retrospective study</t>
        </is>
      </c>
      <c r="J81" s="86" t="n">
        <v>71</v>
      </c>
    </row>
    <row r="82">
      <c r="A82" s="86" t="inlineStr">
        <is>
          <t>An enumerative pre-processing approach for retinopathy severity grading using an interpretable classifier: a comparative study.</t>
        </is>
      </c>
      <c r="B82" s="86" t="inlineStr">
        <is>
          <t>Vasireddi, Hemanth Kumar</t>
        </is>
      </c>
      <c r="C82" s="86" t="n">
        <v>2024</v>
      </c>
      <c r="D82" s="86" t="inlineStr">
        <is>
          <t>Included</t>
        </is>
      </c>
      <c r="E82" s="5" t="inlineStr">
        <is>
          <t>Outcome not related to interest</t>
        </is>
      </c>
      <c r="F82" s="5" t="inlineStr">
        <is>
          <t>Outcome not related to interest</t>
        </is>
      </c>
      <c r="G82" s="5" t="inlineStr">
        <is>
          <t>Outcome not related to interest</t>
        </is>
      </c>
      <c r="H82" s="5" t="inlineStr">
        <is>
          <t>Outcome not related to interest</t>
        </is>
      </c>
      <c r="I82" s="5" t="inlineStr">
        <is>
          <t>Retrospective study</t>
        </is>
      </c>
      <c r="J82" s="86" t="n">
        <v>72</v>
      </c>
    </row>
    <row r="83">
      <c r="A83" s="86" t="inlineStr">
        <is>
          <t>Identifying Diabetic Retinopathy in the Human Eye: A Hybrid Approach Based on a Computer-Aided Diagnosis System Combined with Deep Learning.</t>
        </is>
      </c>
      <c r="B83" s="86" t="inlineStr">
        <is>
          <t>Atc覺, 羹kran Yaman</t>
        </is>
      </c>
      <c r="C83" s="86" t="n">
        <v>2024</v>
      </c>
      <c r="D83" s="86" t="inlineStr">
        <is>
          <t>Included</t>
        </is>
      </c>
      <c r="E83" s="5" t="inlineStr">
        <is>
          <t>Outcome not related to interest</t>
        </is>
      </c>
      <c r="F83" s="5" t="inlineStr">
        <is>
          <t>Outcome not related to interest</t>
        </is>
      </c>
      <c r="G83" s="5" t="inlineStr">
        <is>
          <t>Outcome not related to interest</t>
        </is>
      </c>
      <c r="H83" s="5" t="inlineStr">
        <is>
          <t>Outcome not related to interest</t>
        </is>
      </c>
      <c r="I83" s="5" t="inlineStr">
        <is>
          <t>Retrospective study</t>
        </is>
      </c>
      <c r="J83" s="86" t="n">
        <v>73</v>
      </c>
    </row>
    <row r="84">
      <c r="A84" s="86" t="inlineStr">
        <is>
          <t>A novel deep learning model for diabetic retinopathy detection in retinal fundus images using pre-trained CNN and HWBLSTM.</t>
        </is>
      </c>
      <c r="B84" s="86" t="inlineStr">
        <is>
          <t>Hemanth, S V</t>
        </is>
      </c>
      <c r="C84" s="86" t="n">
        <v>2024</v>
      </c>
      <c r="D84" s="86" t="inlineStr">
        <is>
          <t>Included</t>
        </is>
      </c>
      <c r="E84" s="5" t="inlineStr">
        <is>
          <t>Outcome not related to interest</t>
        </is>
      </c>
      <c r="F84" s="5" t="inlineStr">
        <is>
          <t>Outcome not related to interest</t>
        </is>
      </c>
      <c r="G84" s="5" t="inlineStr">
        <is>
          <t>Outcome not related to interest</t>
        </is>
      </c>
      <c r="H84" s="5" t="inlineStr">
        <is>
          <t>Outcome not related to interest</t>
        </is>
      </c>
      <c r="I84" s="5" t="inlineStr">
        <is>
          <t>Retrospective study</t>
        </is>
      </c>
      <c r="J84" s="86" t="n">
        <v>74</v>
      </c>
    </row>
    <row r="85">
      <c r="A85" s="86" t="inlineStr">
        <is>
          <t>Exploration of AI-powered DenseNet121 for effective diabetic retinopathy detection.</t>
        </is>
      </c>
      <c r="B85" s="86" t="inlineStr">
        <is>
          <t>Lakshmi, K Santhiya</t>
        </is>
      </c>
      <c r="C85" s="86" t="n">
        <v>2024</v>
      </c>
      <c r="D85" s="86" t="inlineStr">
        <is>
          <t>Included</t>
        </is>
      </c>
      <c r="E85" s="5" t="inlineStr">
        <is>
          <t>Outcome not related to interest</t>
        </is>
      </c>
      <c r="F85" s="5" t="inlineStr">
        <is>
          <t>Outcome not related to interest</t>
        </is>
      </c>
      <c r="G85" s="5" t="inlineStr">
        <is>
          <t>Outcome not related to interest</t>
        </is>
      </c>
      <c r="H85" s="5" t="inlineStr">
        <is>
          <t>Outcome not related to interest</t>
        </is>
      </c>
      <c r="I85" s="5" t="inlineStr">
        <is>
          <t>Retrospective study</t>
        </is>
      </c>
      <c r="J85" s="86" t="n">
        <v>75</v>
      </c>
    </row>
    <row r="86">
      <c r="A86" s="86" t="inlineStr">
        <is>
          <t>The use of artificial intelligence to assess diabetic eye disease among the Greenlandic population.</t>
        </is>
      </c>
      <c r="B86" s="86" t="inlineStr">
        <is>
          <t>Larsen, Trine Jul</t>
        </is>
      </c>
      <c r="C86" s="86" t="n">
        <v>2024</v>
      </c>
      <c r="D86" s="86" t="inlineStr">
        <is>
          <t>Included</t>
        </is>
      </c>
      <c r="E86" s="5" t="inlineStr">
        <is>
          <t>Outcome not related to interest</t>
        </is>
      </c>
      <c r="F86" s="5" t="inlineStr">
        <is>
          <t>Outcome not related to interest</t>
        </is>
      </c>
      <c r="G86" s="5" t="inlineStr">
        <is>
          <t>Outcome not related to interest</t>
        </is>
      </c>
      <c r="H86" s="5" t="inlineStr">
        <is>
          <t>Outcome not related to interest</t>
        </is>
      </c>
      <c r="I86" s="5" t="inlineStr">
        <is>
          <t>Retrospective study</t>
        </is>
      </c>
      <c r="J86" s="86" t="n">
        <v>76</v>
      </c>
    </row>
    <row r="87">
      <c r="A87" s="86" t="inlineStr">
        <is>
          <t>Computational Model for the Detection of Diabetic Retinopathy in 2-D Color Fundus Retina Scan.</t>
        </is>
      </c>
      <c r="B87" s="86" t="inlineStr">
        <is>
          <t>Aggarwal, Akshit</t>
        </is>
      </c>
      <c r="C87" s="86" t="n">
        <v>2024</v>
      </c>
      <c r="D87" s="86" t="inlineStr">
        <is>
          <t>Included</t>
        </is>
      </c>
      <c r="E87" s="5" t="inlineStr">
        <is>
          <t>Outcome not related to interest</t>
        </is>
      </c>
      <c r="F87" s="5" t="inlineStr">
        <is>
          <t>Outcome not related to interest</t>
        </is>
      </c>
      <c r="G87" s="5" t="inlineStr">
        <is>
          <t>Outcome not related to interest</t>
        </is>
      </c>
      <c r="H87" s="5" t="inlineStr">
        <is>
          <t>Outcome not related to interest</t>
        </is>
      </c>
      <c r="I87" s="5" t="inlineStr">
        <is>
          <t>Retrospective study</t>
        </is>
      </c>
      <c r="J87" s="86" t="n">
        <v>77</v>
      </c>
    </row>
    <row r="88">
      <c r="A88" s="86" t="inlineStr">
        <is>
          <t>Automated Machine Learning for Predicting Diabetic Retinopathy Progression From Ultra-Widefield Retinal Images.</t>
        </is>
      </c>
      <c r="B88" s="86" t="inlineStr">
        <is>
          <t>Silva, Paolo S</t>
        </is>
      </c>
      <c r="C88" s="86" t="n">
        <v>2024</v>
      </c>
      <c r="D88" s="86" t="inlineStr">
        <is>
          <t>Included</t>
        </is>
      </c>
      <c r="E88" s="5" t="inlineStr">
        <is>
          <t>Outcome not related to interest</t>
        </is>
      </c>
      <c r="F88" s="5" t="inlineStr">
        <is>
          <t>Outcome not related to interest</t>
        </is>
      </c>
      <c r="G88" s="5" t="inlineStr">
        <is>
          <t>Outcome not related to interest</t>
        </is>
      </c>
      <c r="H88" s="5" t="inlineStr">
        <is>
          <t>Outcome not related to interest</t>
        </is>
      </c>
      <c r="I88" s="86" t="n">
        <v>10</v>
      </c>
      <c r="J88" s="86" t="n">
        <v>78</v>
      </c>
    </row>
    <row r="89">
      <c r="A89" s="86" t="inlineStr">
        <is>
          <t>Automated Identification of Different Severity Levels of Diabetic Retinopathy Using a Handheld Fundus Camera and Single-Image Protocol.</t>
        </is>
      </c>
      <c r="B89" s="86" t="inlineStr">
        <is>
          <t>Malerbi, Fernando K</t>
        </is>
      </c>
      <c r="C89" s="86" t="n">
        <v>2024</v>
      </c>
      <c r="D89" s="86" t="inlineStr">
        <is>
          <t>Included</t>
        </is>
      </c>
      <c r="E89" s="5" t="inlineStr">
        <is>
          <t>Outcome not related to interest</t>
        </is>
      </c>
      <c r="F89" s="5" t="inlineStr">
        <is>
          <t>Outcome not related to interest</t>
        </is>
      </c>
      <c r="G89" s="5" t="inlineStr">
        <is>
          <t>Outcome not related to interest</t>
        </is>
      </c>
      <c r="H89" s="5" t="inlineStr">
        <is>
          <t>Outcome not related to interest</t>
        </is>
      </c>
      <c r="I89" s="86" t="n">
        <v>11</v>
      </c>
      <c r="J89" s="86" t="n">
        <v>79</v>
      </c>
    </row>
    <row r="90">
      <c r="A90" s="86" t="inlineStr">
        <is>
          <t>A User-friendly Approach for the Diagnosis of Diabetic Retinopathy Using ChatGPT and Automated Machine Learning.</t>
        </is>
      </c>
      <c r="B90" s="86" t="inlineStr">
        <is>
          <t>Mohammadi, S Saeed</t>
        </is>
      </c>
      <c r="C90" s="86" t="n">
        <v>2024</v>
      </c>
      <c r="D90" s="86" t="inlineStr">
        <is>
          <t>Included</t>
        </is>
      </c>
      <c r="E90" s="5" t="inlineStr">
        <is>
          <t>Outcome not related to interest</t>
        </is>
      </c>
      <c r="F90" s="5" t="inlineStr">
        <is>
          <t>Outcome not related to interest</t>
        </is>
      </c>
      <c r="G90" s="5" t="inlineStr">
        <is>
          <t>Outcome not related to interest</t>
        </is>
      </c>
      <c r="H90" s="5" t="inlineStr">
        <is>
          <t>Outcome not related to interest</t>
        </is>
      </c>
      <c r="I90" s="5" t="inlineStr">
        <is>
          <t>Retrospective study</t>
        </is>
      </c>
      <c r="J90" s="86" t="n">
        <v>80</v>
      </c>
    </row>
    <row r="91">
      <c r="A91" s="86" t="inlineStr">
        <is>
          <t>Recognition of diabetic retinopathy and macular edema using deep learning.</t>
        </is>
      </c>
      <c r="B91" s="86" t="inlineStr">
        <is>
          <t>Jeribi, Fathe</t>
        </is>
      </c>
      <c r="C91" s="86" t="n">
        <v>2024</v>
      </c>
      <c r="D91" s="86" t="inlineStr">
        <is>
          <t>Included</t>
        </is>
      </c>
      <c r="E91" s="5" t="inlineStr">
        <is>
          <t>Outcome not related to interest</t>
        </is>
      </c>
      <c r="F91" s="5" t="inlineStr">
        <is>
          <t>Outcome not related to interest</t>
        </is>
      </c>
      <c r="G91" s="5" t="inlineStr">
        <is>
          <t>Outcome not related to interest</t>
        </is>
      </c>
      <c r="H91" s="5" t="inlineStr">
        <is>
          <t>Outcome not related to interest</t>
        </is>
      </c>
      <c r="I91" s="5" t="inlineStr">
        <is>
          <t>Outcome not related to interest</t>
        </is>
      </c>
      <c r="J91" s="5" t="inlineStr">
        <is>
          <t>Outcome not related to interest</t>
        </is>
      </c>
    </row>
    <row r="92">
      <c r="A92" s="86" t="inlineStr">
        <is>
          <t>Enhancing deep learning pre-trained networks on diabetic retinopathy fundus photographs with SLIC-G.</t>
        </is>
      </c>
      <c r="B92" s="86" t="inlineStr">
        <is>
          <t>Lim, Wei Xiang</t>
        </is>
      </c>
      <c r="C92" s="86" t="n">
        <v>2024</v>
      </c>
      <c r="D92" s="86" t="inlineStr">
        <is>
          <t>Included</t>
        </is>
      </c>
      <c r="E92" s="5" t="inlineStr">
        <is>
          <t>Outcome not related to interest</t>
        </is>
      </c>
      <c r="F92" s="5" t="inlineStr">
        <is>
          <t>Outcome not related to interest</t>
        </is>
      </c>
      <c r="G92" s="5" t="inlineStr">
        <is>
          <t>Outcome not related to interest</t>
        </is>
      </c>
      <c r="H92" s="5" t="inlineStr">
        <is>
          <t>Outcome not related to interest</t>
        </is>
      </c>
      <c r="I92" s="5" t="inlineStr">
        <is>
          <t>Retrospective study</t>
        </is>
      </c>
      <c r="J92" s="86" t="n">
        <v>81</v>
      </c>
    </row>
    <row r="93">
      <c r="A93" s="86" t="inlineStr">
        <is>
          <t>Diabetic retinopathy detection using Bilayered Neural Network classification model with resubstitution validation.</t>
        </is>
      </c>
      <c r="B93" s="86" t="inlineStr">
        <is>
          <t>Omer, Herman Khalid</t>
        </is>
      </c>
      <c r="C93" s="86" t="n">
        <v>2024</v>
      </c>
      <c r="D93" s="86" t="inlineStr">
        <is>
          <t>Included</t>
        </is>
      </c>
      <c r="E93" s="5" t="inlineStr">
        <is>
          <t>Outcome not related to interest</t>
        </is>
      </c>
      <c r="F93" s="5" t="inlineStr">
        <is>
          <t>Outcome not related to interest</t>
        </is>
      </c>
      <c r="G93" s="5" t="inlineStr">
        <is>
          <t>Outcome not related to interest</t>
        </is>
      </c>
      <c r="H93" s="5" t="inlineStr">
        <is>
          <t>Outcome not related to interest</t>
        </is>
      </c>
      <c r="I93" s="5" t="inlineStr">
        <is>
          <t>Retrospective study</t>
        </is>
      </c>
      <c r="J93" s="86" t="n">
        <v>82</v>
      </c>
    </row>
    <row r="94">
      <c r="A94" s="86" t="inlineStr">
        <is>
          <t>Computer aided diagnosis of diabetic retinopathy based on multi-view joint learning.</t>
        </is>
      </c>
      <c r="B94" s="86" t="inlineStr">
        <is>
          <t>Xu, Xuebin</t>
        </is>
      </c>
      <c r="C94" s="86" t="n">
        <v>2024</v>
      </c>
      <c r="D94" s="86" t="inlineStr">
        <is>
          <t>Included</t>
        </is>
      </c>
      <c r="E94" s="5" t="inlineStr">
        <is>
          <t>Outcome not related to interest</t>
        </is>
      </c>
      <c r="F94" s="5" t="inlineStr">
        <is>
          <t>Outcome not related to interest</t>
        </is>
      </c>
      <c r="G94" s="5" t="inlineStr">
        <is>
          <t>Outcome not related to interest</t>
        </is>
      </c>
      <c r="H94" s="5" t="inlineStr">
        <is>
          <t>Outcome not related to interest</t>
        </is>
      </c>
      <c r="I94" s="5" t="inlineStr">
        <is>
          <t>Retrospective study</t>
        </is>
      </c>
      <c r="J94" s="86" t="n">
        <v>83</v>
      </c>
    </row>
    <row r="95">
      <c r="A95" s="86" t="inlineStr">
        <is>
          <t>Attention-based deep learning framework for automatic fundus image processing to aid in diabetic retinopathy grading.</t>
        </is>
      </c>
      <c r="B95" s="86" t="inlineStr">
        <is>
          <t>Romero-Ora獺, Roberto</t>
        </is>
      </c>
      <c r="C95" s="86" t="n">
        <v>2024</v>
      </c>
      <c r="D95" s="86" t="inlineStr">
        <is>
          <t>Included</t>
        </is>
      </c>
      <c r="E95" s="5" t="inlineStr">
        <is>
          <t>Outcome not related to interest</t>
        </is>
      </c>
      <c r="F95" s="5" t="inlineStr">
        <is>
          <t>Outcome not related to interest</t>
        </is>
      </c>
      <c r="G95" s="5" t="inlineStr">
        <is>
          <t>Outcome not related to interest</t>
        </is>
      </c>
      <c r="H95" s="5" t="inlineStr">
        <is>
          <t>Outcome not related to interest</t>
        </is>
      </c>
      <c r="I95" s="5" t="inlineStr">
        <is>
          <t>Retrospective study</t>
        </is>
      </c>
      <c r="J95" s="86" t="n">
        <v>84</v>
      </c>
    </row>
    <row r="96">
      <c r="A96" s="86" t="inlineStr">
        <is>
          <t>A Lesion-Fusion Neural Network for Multi-View Diabetic Retinopathy Grading.</t>
        </is>
      </c>
      <c r="B96" s="86" t="inlineStr">
        <is>
          <t>Luo, Xiaoling</t>
        </is>
      </c>
      <c r="C96" s="86" t="n">
        <v>2024</v>
      </c>
      <c r="D96" s="86" t="inlineStr">
        <is>
          <t>Included</t>
        </is>
      </c>
      <c r="E96" s="5" t="inlineStr">
        <is>
          <t>Outcome not related to interest</t>
        </is>
      </c>
      <c r="F96" s="5" t="inlineStr">
        <is>
          <t>Outcome not related to interest</t>
        </is>
      </c>
      <c r="G96" s="5" t="inlineStr">
        <is>
          <t>Outcome not related to interest</t>
        </is>
      </c>
      <c r="H96" s="5" t="inlineStr">
        <is>
          <t>Outcome not related to interest</t>
        </is>
      </c>
      <c r="I96" s="5" t="inlineStr">
        <is>
          <t>Retrospective study</t>
        </is>
      </c>
      <c r="J96" s="86" t="n">
        <v>85</v>
      </c>
    </row>
    <row r="97">
      <c r="A97" s="86" t="inlineStr">
        <is>
          <t>Artificial intelligence based glaucoma and diabetic retinopathy detection using MATLAB - retrained AlexNet convolutional neural network.</t>
        </is>
      </c>
      <c r="B97" s="86" t="inlineStr">
        <is>
          <t>Arias-Serrano, Isaac</t>
        </is>
      </c>
      <c r="C97" s="86" t="n">
        <v>2024</v>
      </c>
      <c r="D97" s="86" t="inlineStr">
        <is>
          <t>Included</t>
        </is>
      </c>
      <c r="E97" s="5" t="inlineStr">
        <is>
          <t>Outcome not related to interest</t>
        </is>
      </c>
      <c r="F97" s="5" t="inlineStr">
        <is>
          <t>Outcome not related to interest</t>
        </is>
      </c>
      <c r="G97" s="5" t="inlineStr">
        <is>
          <t>Outcome not related to interest</t>
        </is>
      </c>
      <c r="H97" s="5" t="inlineStr">
        <is>
          <t>Outcome not related to interest</t>
        </is>
      </c>
      <c r="I97" s="5" t="inlineStr">
        <is>
          <t>Retrospective study</t>
        </is>
      </c>
      <c r="J97" s="86" t="n">
        <v>86</v>
      </c>
    </row>
    <row r="98">
      <c r="A98" s="86" t="inlineStr">
        <is>
          <t>MediDRNet: Tackling category imbalance in diabetic retinopathy classification with dual-branch learning and prototypical contrastive learning.</t>
        </is>
      </c>
      <c r="B98" s="86" t="inlineStr">
        <is>
          <t>Teng, Siying</t>
        </is>
      </c>
      <c r="C98" s="86" t="n">
        <v>2024</v>
      </c>
      <c r="D98" s="86" t="inlineStr">
        <is>
          <t>Included</t>
        </is>
      </c>
      <c r="E98" s="5" t="inlineStr">
        <is>
          <t>Outcome not related to interest</t>
        </is>
      </c>
      <c r="F98" s="5" t="inlineStr">
        <is>
          <t>Outcome not related to interest</t>
        </is>
      </c>
      <c r="G98" s="5" t="inlineStr">
        <is>
          <t>Outcome not related to interest</t>
        </is>
      </c>
      <c r="H98" s="5" t="inlineStr">
        <is>
          <t>Outcome not related to interest</t>
        </is>
      </c>
      <c r="I98" s="5" t="inlineStr">
        <is>
          <t>Retrospective study</t>
        </is>
      </c>
      <c r="J98" s="86" t="n">
        <v>87</v>
      </c>
    </row>
    <row r="99">
      <c r="A99" s="86" t="inlineStr">
        <is>
          <t>A pilot cost-analysis study comparing AI-based EyeArt簧 and ophthalmologist assessment of diabetic retinopathy in minority women in Oslo, Norway.</t>
        </is>
      </c>
      <c r="B99" s="86" t="inlineStr">
        <is>
          <t>Karabeg, Mia</t>
        </is>
      </c>
      <c r="C99" s="86" t="n">
        <v>2024</v>
      </c>
      <c r="D99" s="86" t="inlineStr">
        <is>
          <t>Included</t>
        </is>
      </c>
      <c r="E99" s="86" t="n">
        <v>4</v>
      </c>
      <c r="F99" s="86" t="n">
        <v>11</v>
      </c>
      <c r="G99" s="5" t="inlineStr">
        <is>
          <t>Outcome not related to interest</t>
        </is>
      </c>
      <c r="H99" s="5" t="inlineStr">
        <is>
          <t>Outcome not related to interest</t>
        </is>
      </c>
      <c r="I99" s="86" t="n">
        <v>12</v>
      </c>
      <c r="J99" s="86" t="n">
        <v>88</v>
      </c>
    </row>
    <row r="100">
      <c r="A100" s="86" t="inlineStr">
        <is>
          <t>Localization and grading of NPDR lesions using ResNet-18-YOLOv8 model and informative features selection for DR classification based on transfer learning.</t>
        </is>
      </c>
      <c r="B100" s="86" t="inlineStr">
        <is>
          <t>Amin, Javaria</t>
        </is>
      </c>
      <c r="C100" s="86" t="n">
        <v>2024</v>
      </c>
      <c r="D100" s="86" t="inlineStr">
        <is>
          <t>Included</t>
        </is>
      </c>
      <c r="E100" s="5" t="inlineStr">
        <is>
          <t>Outcome not related to interest</t>
        </is>
      </c>
      <c r="F100" s="5" t="inlineStr">
        <is>
          <t>Outcome not related to interest</t>
        </is>
      </c>
      <c r="G100" s="5" t="inlineStr">
        <is>
          <t>Outcome not related to interest</t>
        </is>
      </c>
      <c r="H100" s="5" t="inlineStr">
        <is>
          <t>Outcome not related to interest</t>
        </is>
      </c>
      <c r="I100" s="5" t="inlineStr">
        <is>
          <t>Retrospective study</t>
        </is>
      </c>
      <c r="J100" s="86" t="n">
        <v>89</v>
      </c>
    </row>
    <row r="101">
      <c r="A101" s="86" t="inlineStr">
        <is>
          <t>Synchronous Diagnosis of Diabetic Retinopathy by a Handheld Retinal Camera, Artificial Intelligence, and Simultaneous Specialist Confirmation.</t>
        </is>
      </c>
      <c r="B101" s="86" t="inlineStr">
        <is>
          <t>Melo, Gustavo Barreto</t>
        </is>
      </c>
      <c r="C101" s="86" t="n">
        <v>2024</v>
      </c>
      <c r="D101" s="86" t="inlineStr">
        <is>
          <t>Included</t>
        </is>
      </c>
      <c r="E101" s="5" t="inlineStr">
        <is>
          <t>Outcome not related to interest</t>
        </is>
      </c>
      <c r="F101" s="5" t="inlineStr">
        <is>
          <t>Outcome not related to interest</t>
        </is>
      </c>
      <c r="G101" s="5" t="inlineStr">
        <is>
          <t>Outcome not related to interest</t>
        </is>
      </c>
      <c r="H101" s="5" t="inlineStr">
        <is>
          <t>Outcome not related to interest</t>
        </is>
      </c>
      <c r="I101" s="5" t="inlineStr">
        <is>
          <t>Retrospective study</t>
        </is>
      </c>
      <c r="J101" s="86" t="n">
        <v>90</v>
      </c>
    </row>
    <row r="102">
      <c r="A102" s="86" t="inlineStr">
        <is>
          <t>Comparison of 21 artificial intelligence algorithms in automated diabetic retinopathy screening using handheld fundus camera.</t>
        </is>
      </c>
      <c r="B102" s="86" t="inlineStr">
        <is>
          <t>Kubin, Anna-Maria</t>
        </is>
      </c>
      <c r="C102" s="86" t="n">
        <v>2024</v>
      </c>
      <c r="D102" s="86" t="inlineStr">
        <is>
          <t>Included</t>
        </is>
      </c>
      <c r="E102" s="5" t="inlineStr">
        <is>
          <t>Outcome not related to interest</t>
        </is>
      </c>
      <c r="F102" s="86" t="inlineStr">
        <is>
          <t>Provider name masked</t>
        </is>
      </c>
      <c r="G102" s="86" t="inlineStr">
        <is>
          <t>Provider name masked</t>
        </is>
      </c>
      <c r="H102" s="5" t="inlineStr">
        <is>
          <t>Outcome not related to interest</t>
        </is>
      </c>
      <c r="I102" s="86" t="n">
        <v>13</v>
      </c>
      <c r="J102" s="86" t="n">
        <v>91</v>
      </c>
    </row>
    <row r="103">
      <c r="A103" s="86" t="inlineStr">
        <is>
          <t>An Artificial Intelligence Driven Approach for Classification of Ophthalmic Images using Convolutional Neural Network: An Experimental Study.</t>
        </is>
      </c>
      <c r="B103" s="86" t="inlineStr">
        <is>
          <t>Singh, Shagundeep</t>
        </is>
      </c>
      <c r="C103" s="86" t="n">
        <v>2024</v>
      </c>
      <c r="D103" s="86" t="inlineStr">
        <is>
          <t>Included</t>
        </is>
      </c>
      <c r="E103" s="5" t="inlineStr">
        <is>
          <t>Outcome not related to interest</t>
        </is>
      </c>
      <c r="F103" s="5" t="inlineStr">
        <is>
          <t>Outcome not related to interest</t>
        </is>
      </c>
      <c r="G103" s="5" t="inlineStr">
        <is>
          <t>Outcome not related to interest</t>
        </is>
      </c>
      <c r="H103" s="5" t="inlineStr">
        <is>
          <t>Outcome not related to interest</t>
        </is>
      </c>
      <c r="I103" s="5" t="inlineStr">
        <is>
          <t>Retrospective study</t>
        </is>
      </c>
      <c r="J103" s="86" t="n">
        <v>92</v>
      </c>
    </row>
    <row r="104">
      <c r="A104" s="86" t="inlineStr">
        <is>
          <t>DEC-DRR: deep ensemble of classification model for diabetic retinopathy recognition.</t>
        </is>
      </c>
      <c r="B104" s="86" t="inlineStr">
        <is>
          <t>Lisha, L B</t>
        </is>
      </c>
      <c r="C104" s="86" t="n">
        <v>2024</v>
      </c>
      <c r="D104" s="86" t="inlineStr">
        <is>
          <t>Included</t>
        </is>
      </c>
      <c r="E104" s="5" t="inlineStr">
        <is>
          <t>Outcome not related to interest</t>
        </is>
      </c>
      <c r="F104" s="5" t="inlineStr">
        <is>
          <t>Outcome not related to interest</t>
        </is>
      </c>
      <c r="G104" s="5" t="inlineStr">
        <is>
          <t>Outcome not related to interest</t>
        </is>
      </c>
      <c r="H104" s="5" t="inlineStr">
        <is>
          <t>Outcome not related to interest</t>
        </is>
      </c>
      <c r="I104" s="5" t="inlineStr">
        <is>
          <t>Retrospective study</t>
        </is>
      </c>
      <c r="J104" s="86" t="n">
        <v>93</v>
      </c>
    </row>
    <row r="105">
      <c r="A105" s="86" t="inlineStr">
        <is>
          <t>Automated machine learning model for fundus image classification by health-care professionals with no coding experience.</t>
        </is>
      </c>
      <c r="B105" s="86" t="inlineStr">
        <is>
          <t>Zago Ribeiro, Lucas</t>
        </is>
      </c>
      <c r="C105" s="86" t="n">
        <v>2024</v>
      </c>
      <c r="D105" s="86" t="inlineStr">
        <is>
          <t>Included</t>
        </is>
      </c>
      <c r="E105" s="5" t="inlineStr">
        <is>
          <t>Outcome not related to interest</t>
        </is>
      </c>
      <c r="F105" s="5" t="inlineStr">
        <is>
          <t>Outcome not related to interest</t>
        </is>
      </c>
      <c r="G105" s="5" t="inlineStr">
        <is>
          <t>Outcome not related to interest</t>
        </is>
      </c>
      <c r="H105" s="5" t="inlineStr">
        <is>
          <t>Outcome not related to interest</t>
        </is>
      </c>
      <c r="I105" s="5" t="inlineStr">
        <is>
          <t>Retrospective study</t>
        </is>
      </c>
      <c r="J105" s="86" t="n">
        <v>94</v>
      </c>
    </row>
    <row r="106">
      <c r="A106" s="86" t="inlineStr">
        <is>
          <t>Diabetic retinopathy prediction based on vision transformer and modified capsule network.</t>
        </is>
      </c>
      <c r="B106" s="86" t="inlineStr">
        <is>
          <t>Oulhadj, Mohammed</t>
        </is>
      </c>
      <c r="C106" s="86" t="n">
        <v>2024</v>
      </c>
      <c r="D106" s="86" t="inlineStr">
        <is>
          <t>Included</t>
        </is>
      </c>
      <c r="E106" s="5" t="inlineStr">
        <is>
          <t>Outcome not related to interest</t>
        </is>
      </c>
      <c r="F106" s="5" t="inlineStr">
        <is>
          <t>Outcome not related to interest</t>
        </is>
      </c>
      <c r="G106" s="5" t="inlineStr">
        <is>
          <t>Outcome not related to interest</t>
        </is>
      </c>
      <c r="H106" s="5" t="inlineStr">
        <is>
          <t>Outcome not related to interest</t>
        </is>
      </c>
      <c r="I106" s="5" t="inlineStr">
        <is>
          <t>Retrospective study</t>
        </is>
      </c>
      <c r="J106" s="86" t="n">
        <v>95</v>
      </c>
    </row>
    <row r="107">
      <c r="A107" s="86" t="inlineStr">
        <is>
          <t>Smart grading of diabetic retinopathy: an intelligent recommendation-based fine-tuned EfficientNetB0 framework.</t>
        </is>
      </c>
      <c r="B107" s="86" t="inlineStr">
        <is>
          <t>Anand, Vatsala</t>
        </is>
      </c>
      <c r="C107" s="86" t="n">
        <v>2024</v>
      </c>
      <c r="D107" s="86" t="inlineStr">
        <is>
          <t>Included</t>
        </is>
      </c>
      <c r="E107" s="5" t="inlineStr">
        <is>
          <t>Outcome not related to interest</t>
        </is>
      </c>
      <c r="F107" s="5" t="inlineStr">
        <is>
          <t>Outcome not related to interest</t>
        </is>
      </c>
      <c r="G107" s="5" t="inlineStr">
        <is>
          <t>Outcome not related to interest</t>
        </is>
      </c>
      <c r="H107" s="5" t="inlineStr">
        <is>
          <t>Outcome not related to interest</t>
        </is>
      </c>
      <c r="I107" s="5" t="inlineStr">
        <is>
          <t>Retrospective study</t>
        </is>
      </c>
      <c r="J107" s="86" t="n">
        <v>96</v>
      </c>
    </row>
    <row r="108">
      <c r="A108" s="86" t="inlineStr">
        <is>
          <t>Screening for diabetic retinopathy with artificial intelligence: a real world evaluation.</t>
        </is>
      </c>
      <c r="B108" s="86" t="inlineStr">
        <is>
          <t>Burlina, Silvia</t>
        </is>
      </c>
      <c r="C108" s="86" t="n">
        <v>2024</v>
      </c>
      <c r="D108" s="86" t="inlineStr">
        <is>
          <t>Included</t>
        </is>
      </c>
      <c r="E108" s="5" t="inlineStr">
        <is>
          <t>Outcome not related to interest</t>
        </is>
      </c>
      <c r="F108" s="86" t="n">
        <v>12</v>
      </c>
      <c r="G108" s="5" t="inlineStr">
        <is>
          <t>Outcome not related to interest</t>
        </is>
      </c>
      <c r="H108" s="5" t="inlineStr">
        <is>
          <t>Outcome not related to interest</t>
        </is>
      </c>
      <c r="I108" s="5" t="inlineStr">
        <is>
          <t>Retrospective study</t>
        </is>
      </c>
      <c r="J108" s="86" t="n">
        <v>97</v>
      </c>
    </row>
    <row r="109">
      <c r="A109" s="86" t="inlineStr">
        <is>
          <t>Artificial intelligence in diabetic retinopathy screening: from idea to a medical device in clinical practice.</t>
        </is>
      </c>
      <c r="B109" s="86" t="inlineStr">
        <is>
          <t>Va躂kov獺, Jozef穩na</t>
        </is>
      </c>
      <c r="C109" s="86" t="n">
        <v>2024</v>
      </c>
      <c r="D109" s="86" t="inlineStr">
        <is>
          <t>Included</t>
        </is>
      </c>
      <c r="E109" s="86" t="inlineStr">
        <is>
          <t>Review</t>
        </is>
      </c>
      <c r="F109" s="86" t="inlineStr">
        <is>
          <t>Review</t>
        </is>
      </c>
      <c r="G109" s="86" t="inlineStr">
        <is>
          <t>Review</t>
        </is>
      </c>
      <c r="H109" s="86" t="inlineStr">
        <is>
          <t>Review</t>
        </is>
      </c>
      <c r="I109" s="86" t="inlineStr">
        <is>
          <t>Review</t>
        </is>
      </c>
      <c r="J109" s="86" t="inlineStr">
        <is>
          <t>Review</t>
        </is>
      </c>
    </row>
    <row r="110">
      <c r="A110" s="86" t="inlineStr">
        <is>
          <t>Classification of Diabetic Retinopathy Disease Levels by Extracting Spectral Features Using Wavelet CNN.</t>
        </is>
      </c>
      <c r="B110" s="86" t="inlineStr">
        <is>
          <t>Sundar, Sumod</t>
        </is>
      </c>
      <c r="C110" s="86" t="n">
        <v>2024</v>
      </c>
      <c r="D110" s="86" t="inlineStr">
        <is>
          <t>Included</t>
        </is>
      </c>
      <c r="E110" s="5" t="inlineStr">
        <is>
          <t>Outcome not related to interest</t>
        </is>
      </c>
      <c r="F110" s="5" t="inlineStr">
        <is>
          <t>Outcome not related to interest</t>
        </is>
      </c>
      <c r="G110" s="5" t="inlineStr">
        <is>
          <t>Outcome not related to interest</t>
        </is>
      </c>
      <c r="H110" s="5" t="inlineStr">
        <is>
          <t>Outcome not related to interest</t>
        </is>
      </c>
      <c r="I110" s="5" t="inlineStr">
        <is>
          <t>Retrospective study</t>
        </is>
      </c>
      <c r="J110" s="86" t="n">
        <v>98</v>
      </c>
    </row>
    <row r="111">
      <c r="A111" s="86" t="inlineStr">
        <is>
          <t>Multi-label classification of retinal diseases based on fundus images using Resnet and Transformer.</t>
        </is>
      </c>
      <c r="B111" s="86" t="inlineStr">
        <is>
          <t>Zhao, Jiaqing</t>
        </is>
      </c>
      <c r="C111" s="86" t="n">
        <v>2024</v>
      </c>
      <c r="D111" s="86" t="inlineStr">
        <is>
          <t>Included</t>
        </is>
      </c>
      <c r="E111" s="86" t="inlineStr">
        <is>
          <t>Insufficient to constrct confusion matrix</t>
        </is>
      </c>
      <c r="F111" s="86" t="inlineStr">
        <is>
          <t>Insufficient to constrct confusion matrix</t>
        </is>
      </c>
      <c r="G111" s="86" t="inlineStr">
        <is>
          <t>Insufficient to constrct confusion matrix</t>
        </is>
      </c>
      <c r="H111" s="86" t="inlineStr">
        <is>
          <t>Insufficient to constrct confusion matrix</t>
        </is>
      </c>
      <c r="I111" s="86" t="inlineStr">
        <is>
          <t>Insufficient to constrct confusion matrix</t>
        </is>
      </c>
      <c r="J111" s="86" t="inlineStr">
        <is>
          <t>Insufficient to constrct confusion matrix</t>
        </is>
      </c>
    </row>
    <row r="112">
      <c r="A112" s="86" t="inlineStr">
        <is>
          <t>Advancing healthcare with artificial intelligence: diagnostic accuracy of machine learning algorithm in diagnosis of diabetic retinopathy in the Brazilian population.</t>
        </is>
      </c>
      <c r="B112" s="86" t="inlineStr">
        <is>
          <t>Dos Reis, Mateus A</t>
        </is>
      </c>
      <c r="C112" s="86" t="n">
        <v>2024</v>
      </c>
      <c r="D112" s="86" t="inlineStr">
        <is>
          <t>Included</t>
        </is>
      </c>
      <c r="E112" s="5" t="inlineStr">
        <is>
          <t>Outcome not related to interest</t>
        </is>
      </c>
      <c r="F112" s="5" t="inlineStr">
        <is>
          <t>Outcome not related to interest</t>
        </is>
      </c>
      <c r="G112" s="5" t="inlineStr">
        <is>
          <t>Outcome not related to interest</t>
        </is>
      </c>
      <c r="H112" s="5" t="inlineStr">
        <is>
          <t>Outcome not related to interest</t>
        </is>
      </c>
      <c r="I112" s="86" t="n">
        <v>14</v>
      </c>
      <c r="J112" s="86" t="n">
        <v>99</v>
      </c>
    </row>
    <row r="113">
      <c r="A113" s="86" t="inlineStr">
        <is>
          <t>Accuracy of Autonomous Artificial Intelligence-Based Diabetic Retinopathy Screening in Real-Life Clinical Practice.</t>
        </is>
      </c>
      <c r="B113" s="86" t="inlineStr">
        <is>
          <t>Riotto, Eleonora</t>
        </is>
      </c>
      <c r="C113" s="86" t="n">
        <v>2024</v>
      </c>
      <c r="D113" s="86" t="inlineStr">
        <is>
          <t>Included</t>
        </is>
      </c>
      <c r="E113" s="86" t="n">
        <v>5</v>
      </c>
      <c r="F113" s="86" t="n">
        <v>13</v>
      </c>
      <c r="G113" s="5" t="inlineStr">
        <is>
          <t>Outcome not related to interest</t>
        </is>
      </c>
      <c r="H113" s="5" t="inlineStr">
        <is>
          <t>Outcome not related to interest</t>
        </is>
      </c>
      <c r="I113" s="5" t="inlineStr">
        <is>
          <t>Retrospective study</t>
        </is>
      </c>
      <c r="J113" s="86" t="n">
        <v>100</v>
      </c>
    </row>
    <row r="114">
      <c r="A114" s="86" t="inlineStr">
        <is>
          <t>Optimized deep CNN for detection and classification of diabetic retinopathy and diabetic macular edema.</t>
        </is>
      </c>
      <c r="B114" s="86" t="inlineStr">
        <is>
          <t>Thanikachalam, V</t>
        </is>
      </c>
      <c r="C114" s="86" t="n">
        <v>2024</v>
      </c>
      <c r="D114" s="86" t="inlineStr">
        <is>
          <t>Included</t>
        </is>
      </c>
      <c r="E114" s="5" t="inlineStr">
        <is>
          <t>Outcome not related to interest</t>
        </is>
      </c>
      <c r="F114" s="5" t="inlineStr">
        <is>
          <t>Outcome not related to interest</t>
        </is>
      </c>
      <c r="G114" s="5" t="inlineStr">
        <is>
          <t>Outcome not related to interest</t>
        </is>
      </c>
      <c r="H114" s="5" t="inlineStr">
        <is>
          <t>Outcome not related to interest</t>
        </is>
      </c>
      <c r="I114" s="5" t="inlineStr">
        <is>
          <t>Retrospective study</t>
        </is>
      </c>
      <c r="J114" s="86" t="n">
        <v>101</v>
      </c>
    </row>
    <row r="115">
      <c r="A115" s="86" t="inlineStr">
        <is>
          <t>Comparative Analysis of Vision Transformers and Conventional Convolutional Neural Networks in Detecting Referable Diabetic Retinopathy.</t>
        </is>
      </c>
      <c r="B115" s="86" t="inlineStr">
        <is>
          <t>Goh, Jocelyn Hui Lin</t>
        </is>
      </c>
      <c r="C115" s="86" t="n">
        <v>2024</v>
      </c>
      <c r="D115" s="86" t="inlineStr">
        <is>
          <t>Included</t>
        </is>
      </c>
      <c r="E115" s="5" t="inlineStr">
        <is>
          <t>Outcome not related to interest</t>
        </is>
      </c>
      <c r="F115" s="5" t="inlineStr">
        <is>
          <t>Outcome not related to interest</t>
        </is>
      </c>
      <c r="G115" s="5" t="inlineStr">
        <is>
          <t>Outcome not related to interest</t>
        </is>
      </c>
      <c r="H115" s="5" t="inlineStr">
        <is>
          <t>Outcome not related to interest</t>
        </is>
      </c>
      <c r="I115" s="5" t="inlineStr">
        <is>
          <t>Retrospective study</t>
        </is>
      </c>
      <c r="J115" s="86" t="n">
        <v>102</v>
      </c>
    </row>
    <row r="116">
      <c r="A116" s="86" t="inlineStr">
        <is>
          <t>Impact of Gold-Standard Label Errors on Evaluating Performance of Deep Learning Models in Diabetic Retinopathy Screening: Nationwide Real-World Validation Study.</t>
        </is>
      </c>
      <c r="B116" s="86" t="inlineStr">
        <is>
          <t>Wang, Yueye</t>
        </is>
      </c>
      <c r="C116" s="86" t="n">
        <v>2024</v>
      </c>
      <c r="D116" s="86" t="inlineStr">
        <is>
          <t>Included</t>
        </is>
      </c>
      <c r="E116" s="5" t="inlineStr">
        <is>
          <t>Outcome not related to interest</t>
        </is>
      </c>
      <c r="F116" s="5" t="inlineStr">
        <is>
          <t>Outcome not related to interest</t>
        </is>
      </c>
      <c r="G116" s="5" t="inlineStr">
        <is>
          <t>Outcome not related to interest</t>
        </is>
      </c>
      <c r="H116" s="5" t="inlineStr">
        <is>
          <t>Outcome not related to interest</t>
        </is>
      </c>
      <c r="I116" s="5" t="inlineStr">
        <is>
          <t>Retrospective study</t>
        </is>
      </c>
      <c r="J116" s="86" t="n">
        <v>103</v>
      </c>
    </row>
    <row r="117">
      <c r="A117" s="86" t="inlineStr">
        <is>
          <t>Real-world evaluation of RetCAD deep-learning system for the detection of referable diabetic retinopathy and age-related macular degeneration.</t>
        </is>
      </c>
      <c r="B117" s="86" t="inlineStr">
        <is>
          <t>Taylor, Joshua R</t>
        </is>
      </c>
      <c r="C117" s="86" t="n">
        <v>2024</v>
      </c>
      <c r="D117" s="86" t="inlineStr">
        <is>
          <t>Included</t>
        </is>
      </c>
      <c r="E117" s="5" t="inlineStr">
        <is>
          <t>Outcome not related to interest</t>
        </is>
      </c>
      <c r="F117" s="5" t="inlineStr">
        <is>
          <t>Outcome not related to interest</t>
        </is>
      </c>
      <c r="G117" s="5" t="inlineStr">
        <is>
          <t>Outcome not related to interest</t>
        </is>
      </c>
      <c r="H117" s="5" t="inlineStr">
        <is>
          <t>Outcome not related to interest</t>
        </is>
      </c>
      <c r="I117" s="5" t="inlineStr">
        <is>
          <t>Retrospective study</t>
        </is>
      </c>
      <c r="J117" s="86" t="n">
        <v>104</v>
      </c>
    </row>
    <row r="118">
      <c r="A118" s="86" t="inlineStr">
        <is>
          <t>Evaluation of an AI algorithm trained on an ethnically diverse dataset to screen a previously unseen population for diabetic retinopathy.</t>
        </is>
      </c>
      <c r="B118" s="86" t="inlineStr">
        <is>
          <t>Rao, Divya P</t>
        </is>
      </c>
      <c r="C118" s="86" t="n">
        <v>2024</v>
      </c>
      <c r="D118" s="86" t="inlineStr">
        <is>
          <t>Included</t>
        </is>
      </c>
      <c r="E118" s="5" t="inlineStr">
        <is>
          <t>Outcome not related to interest</t>
        </is>
      </c>
      <c r="F118" s="86" t="n">
        <v>14</v>
      </c>
      <c r="G118" s="5" t="inlineStr">
        <is>
          <t>Outcome not related to interest</t>
        </is>
      </c>
      <c r="H118" s="5" t="inlineStr">
        <is>
          <t>Outcome not related to interest</t>
        </is>
      </c>
      <c r="I118" s="5" t="inlineStr">
        <is>
          <t>Retrospective study</t>
        </is>
      </c>
      <c r="J118" s="86" t="n">
        <v>105</v>
      </c>
    </row>
    <row r="119">
      <c r="A119" s="86" t="inlineStr">
        <is>
          <t>A deep learning framework for the early detection of multi-retinal diseases.</t>
        </is>
      </c>
      <c r="B119" s="86" t="inlineStr">
        <is>
          <t>Ejaz, Sara</t>
        </is>
      </c>
      <c r="C119" s="86" t="n">
        <v>2024</v>
      </c>
      <c r="D119" s="86" t="inlineStr">
        <is>
          <t>Included</t>
        </is>
      </c>
      <c r="E119" s="5" t="inlineStr">
        <is>
          <t>Outcome not related to interest</t>
        </is>
      </c>
      <c r="F119" s="5" t="inlineStr">
        <is>
          <t>Outcome not related to interest</t>
        </is>
      </c>
      <c r="G119" s="5" t="inlineStr">
        <is>
          <t>Outcome not related to interest</t>
        </is>
      </c>
      <c r="H119" s="5" t="inlineStr">
        <is>
          <t>Outcome not related to interest</t>
        </is>
      </c>
      <c r="I119" s="5" t="inlineStr">
        <is>
          <t>Retrospective study</t>
        </is>
      </c>
      <c r="J119" s="86" t="n">
        <v>106</v>
      </c>
    </row>
    <row r="120">
      <c r="A120" s="86" t="inlineStr">
        <is>
          <t>Detection and diagnosis of diabetic eye diseases using two phase transfer learning approach.</t>
        </is>
      </c>
      <c r="B120" s="86" t="inlineStr">
        <is>
          <t>Madduri, Vamsi Krishna</t>
        </is>
      </c>
      <c r="C120" s="86" t="n">
        <v>2024</v>
      </c>
      <c r="D120" s="86" t="inlineStr">
        <is>
          <t>Included</t>
        </is>
      </c>
      <c r="E120" s="5" t="inlineStr">
        <is>
          <t>Outcome not related to interest</t>
        </is>
      </c>
      <c r="F120" s="5" t="inlineStr">
        <is>
          <t>Outcome not related to interest</t>
        </is>
      </c>
      <c r="G120" s="5" t="inlineStr">
        <is>
          <t>Outcome not related to interest</t>
        </is>
      </c>
      <c r="H120" s="5" t="inlineStr">
        <is>
          <t>Outcome not related to interest</t>
        </is>
      </c>
      <c r="I120" s="5" t="inlineStr">
        <is>
          <t>Retrospective study</t>
        </is>
      </c>
      <c r="J120" s="86" t="n">
        <v>107</v>
      </c>
    </row>
    <row r="121">
      <c r="A121" s="86" t="inlineStr">
        <is>
          <t>A Self-Supervised Equivariant Refinement Classification Network for Diabetic Retinopathy Classification.</t>
        </is>
      </c>
      <c r="B121" s="86" t="inlineStr">
        <is>
          <t>Fan, Jiacheng</t>
        </is>
      </c>
      <c r="C121" s="86" t="n">
        <v>2024</v>
      </c>
      <c r="D121" s="86" t="inlineStr">
        <is>
          <t>Included</t>
        </is>
      </c>
      <c r="E121" s="5" t="inlineStr">
        <is>
          <t>Outcome not related to interest</t>
        </is>
      </c>
      <c r="F121" s="5" t="inlineStr">
        <is>
          <t>Outcome not related to interest</t>
        </is>
      </c>
      <c r="G121" s="5" t="inlineStr">
        <is>
          <t>Outcome not related to interest</t>
        </is>
      </c>
      <c r="H121" s="5" t="inlineStr">
        <is>
          <t>Outcome not related to interest</t>
        </is>
      </c>
      <c r="I121" s="5" t="inlineStr">
        <is>
          <t>Retrospective study</t>
        </is>
      </c>
      <c r="J121" s="86" t="n">
        <v>108</v>
      </c>
    </row>
    <row r="122">
      <c r="A122" s="86" t="inlineStr">
        <is>
          <t>MobileNet-V2 /IFHO model for Accurate Detection of early-stage diabetic retinopathy.</t>
        </is>
      </c>
      <c r="B122" s="86" t="inlineStr">
        <is>
          <t>Huang, Chunjuan</t>
        </is>
      </c>
      <c r="C122" s="86" t="n">
        <v>2024</v>
      </c>
      <c r="D122" s="86" t="inlineStr">
        <is>
          <t>Included</t>
        </is>
      </c>
      <c r="E122" s="5" t="inlineStr">
        <is>
          <t>Outcome not related to interest</t>
        </is>
      </c>
      <c r="F122" s="5" t="inlineStr">
        <is>
          <t>Outcome not related to interest</t>
        </is>
      </c>
      <c r="G122" s="5" t="inlineStr">
        <is>
          <t>Outcome not related to interest</t>
        </is>
      </c>
      <c r="H122" s="5" t="inlineStr">
        <is>
          <t>Outcome not related to interest</t>
        </is>
      </c>
      <c r="I122" s="5" t="inlineStr">
        <is>
          <t>Retrospective study</t>
        </is>
      </c>
      <c r="J122" s="86" t="n">
        <v>109</v>
      </c>
    </row>
    <row r="123">
      <c r="A123" s="86" t="inlineStr">
        <is>
          <t>Assessment of Clinical Metadata on the Accuracy of Retinal Fundus Image Labels in Diabetic Retinopathy in Uganda: Case-Crossover Study Using the Multimodal Database of Retinal Images in Africa.</t>
        </is>
      </c>
      <c r="B123" s="86" t="inlineStr">
        <is>
          <t>Arunga, Simon</t>
        </is>
      </c>
      <c r="C123" s="86" t="n">
        <v>2024</v>
      </c>
      <c r="D123" s="86" t="inlineStr">
        <is>
          <t>Included</t>
        </is>
      </c>
      <c r="E123" s="5" t="inlineStr">
        <is>
          <t>Outcome not related to interest</t>
        </is>
      </c>
      <c r="F123" s="5" t="inlineStr">
        <is>
          <t>Outcome not related to interest</t>
        </is>
      </c>
      <c r="G123" s="5" t="inlineStr">
        <is>
          <t>Outcome not related to interest</t>
        </is>
      </c>
      <c r="H123" s="5" t="inlineStr">
        <is>
          <t>Outcome not related to interest</t>
        </is>
      </c>
      <c r="I123" s="5" t="inlineStr">
        <is>
          <t>Outcome not related to interest</t>
        </is>
      </c>
      <c r="J123" s="5" t="inlineStr">
        <is>
          <t>Outcome not related to interest</t>
        </is>
      </c>
    </row>
    <row r="124">
      <c r="A124" s="86" t="inlineStr">
        <is>
          <t>Artificial Intelligence-Based Screening System for Diabetic Retinopathy in Primary Care.</t>
        </is>
      </c>
      <c r="B124" s="86" t="inlineStr">
        <is>
          <t>Baget-Bernaldiz, Marc</t>
        </is>
      </c>
      <c r="C124" s="86" t="n">
        <v>2024</v>
      </c>
      <c r="D124" s="86" t="inlineStr">
        <is>
          <t>Included</t>
        </is>
      </c>
      <c r="E124" s="5" t="inlineStr">
        <is>
          <t>Outcome not related to interest</t>
        </is>
      </c>
      <c r="F124" s="5" t="inlineStr">
        <is>
          <t>Outcome not related to interest</t>
        </is>
      </c>
      <c r="G124" s="5" t="inlineStr">
        <is>
          <t>Outcome not related to interest</t>
        </is>
      </c>
      <c r="H124" s="5" t="inlineStr">
        <is>
          <t>Outcome not related to interest</t>
        </is>
      </c>
      <c r="I124" s="5" t="inlineStr">
        <is>
          <t>Retrospective study</t>
        </is>
      </c>
      <c r="J124" s="86" t="n">
        <v>110</v>
      </c>
    </row>
    <row r="125">
      <c r="A125" s="86" t="inlineStr">
        <is>
          <t>Diabetes detection from non-diabetic retinopathy fundus images using deep learning methodology.</t>
        </is>
      </c>
      <c r="B125" s="86" t="inlineStr">
        <is>
          <t>Rom, Yovel</t>
        </is>
      </c>
      <c r="C125" s="86" t="n">
        <v>2024</v>
      </c>
      <c r="D125" s="86" t="inlineStr">
        <is>
          <t>Included</t>
        </is>
      </c>
      <c r="E125" s="5" t="inlineStr">
        <is>
          <t>Outcome not related to interest</t>
        </is>
      </c>
      <c r="F125" s="5" t="inlineStr">
        <is>
          <t>Outcome not related to interest</t>
        </is>
      </c>
      <c r="G125" s="5" t="inlineStr">
        <is>
          <t>Outcome not related to interest</t>
        </is>
      </c>
      <c r="H125" s="5" t="inlineStr">
        <is>
          <t>Outcome not related to interest</t>
        </is>
      </c>
      <c r="I125" s="5" t="inlineStr">
        <is>
          <t>Retrospective study</t>
        </is>
      </c>
      <c r="J125" s="86" t="n">
        <v>111</v>
      </c>
    </row>
    <row r="126">
      <c r="A126" s="86" t="inlineStr">
        <is>
          <t>Evaluation of AI-enhanced non-mydriatic fundus photography for diabetic retinopathy screening.</t>
        </is>
      </c>
      <c r="B126" s="86" t="inlineStr">
        <is>
          <t>Hu, Chen-Liang</t>
        </is>
      </c>
      <c r="C126" s="86" t="n">
        <v>2024</v>
      </c>
      <c r="D126" s="86" t="inlineStr">
        <is>
          <t>Included</t>
        </is>
      </c>
      <c r="E126" s="5" t="inlineStr">
        <is>
          <t>Outcome not related to interest</t>
        </is>
      </c>
      <c r="F126" s="5" t="inlineStr">
        <is>
          <t>Outcome not related to interest</t>
        </is>
      </c>
      <c r="G126" s="5" t="inlineStr">
        <is>
          <t>Outcome not related to interest</t>
        </is>
      </c>
      <c r="H126" s="86" t="n">
        <v>7</v>
      </c>
      <c r="I126" s="5" t="inlineStr">
        <is>
          <t>Retrospective study</t>
        </is>
      </c>
      <c r="J126" s="86" t="n">
        <v>112</v>
      </c>
    </row>
    <row r="127">
      <c r="A127" s="86" t="inlineStr">
        <is>
          <t>Implementation of Artificial Intelligence-Based Diabetic Retinopathy Screening in a Tertiary Care Hospital in Quebec: Prospective Validation Study.</t>
        </is>
      </c>
      <c r="B127" s="86" t="inlineStr">
        <is>
          <t>Antaki, Fares</t>
        </is>
      </c>
      <c r="C127" s="86" t="n">
        <v>2024</v>
      </c>
      <c r="D127" s="86" t="inlineStr">
        <is>
          <t>Included</t>
        </is>
      </c>
      <c r="E127" s="86" t="inlineStr">
        <is>
          <t>Not deep learning</t>
        </is>
      </c>
      <c r="F127" s="86" t="inlineStr">
        <is>
          <t>Not deep learning</t>
        </is>
      </c>
      <c r="G127" s="86" t="inlineStr">
        <is>
          <t>Not deep learning</t>
        </is>
      </c>
      <c r="H127" s="86" t="inlineStr">
        <is>
          <t>Not deep learning</t>
        </is>
      </c>
      <c r="I127" s="86" t="inlineStr">
        <is>
          <t>Not deep learning</t>
        </is>
      </c>
      <c r="J127" s="86" t="inlineStr">
        <is>
          <t>Not deep learning</t>
        </is>
      </c>
    </row>
    <row r="128">
      <c r="A128" s="86" t="inlineStr">
        <is>
          <t>Heatmap analysis for artificial intelligence explainability in diabetic retinopathy detection: illuminating the rationale of deep learning decisions.</t>
        </is>
      </c>
      <c r="B128" s="86" t="inlineStr">
        <is>
          <t>Malerbi, Fernando Korn</t>
        </is>
      </c>
      <c r="C128" s="86" t="n">
        <v>2024</v>
      </c>
      <c r="D128" s="86" t="inlineStr">
        <is>
          <t>Included</t>
        </is>
      </c>
      <c r="E128" s="5" t="inlineStr">
        <is>
          <t>Outcome not related to interest</t>
        </is>
      </c>
      <c r="F128" s="5" t="inlineStr">
        <is>
          <t>Outcome not related to interest</t>
        </is>
      </c>
      <c r="G128" s="5" t="inlineStr">
        <is>
          <t>Outcome not related to interest</t>
        </is>
      </c>
      <c r="H128" s="5" t="inlineStr">
        <is>
          <t>Outcome not related to interest</t>
        </is>
      </c>
      <c r="I128" s="5" t="inlineStr">
        <is>
          <t>Retrospective study</t>
        </is>
      </c>
      <c r="J128" s="86" t="n">
        <v>113</v>
      </c>
    </row>
    <row r="129">
      <c r="A129" s="86" t="inlineStr">
        <is>
          <t>Multi-lesion segmentation guided deep attention network for automated detection of diabetic retinopathy.</t>
        </is>
      </c>
      <c r="B129" s="86" t="inlineStr">
        <is>
          <t>Li, Feng</t>
        </is>
      </c>
      <c r="C129" s="86" t="n">
        <v>2024</v>
      </c>
      <c r="D129" s="86" t="inlineStr">
        <is>
          <t>Included</t>
        </is>
      </c>
      <c r="E129" s="5" t="inlineStr">
        <is>
          <t>Outcome not related to interest</t>
        </is>
      </c>
      <c r="F129" s="5" t="inlineStr">
        <is>
          <t>Outcome not related to interest</t>
        </is>
      </c>
      <c r="G129" s="5" t="inlineStr">
        <is>
          <t>Outcome not related to interest</t>
        </is>
      </c>
      <c r="H129" s="5" t="inlineStr">
        <is>
          <t>Outcome not related to interest</t>
        </is>
      </c>
      <c r="I129" s="5" t="inlineStr">
        <is>
          <t>Retrospective study</t>
        </is>
      </c>
      <c r="J129" s="86" t="n">
        <v>114</v>
      </c>
    </row>
    <row r="130">
      <c r="A130" s="86" t="inlineStr">
        <is>
          <t>[Small-scale cross-layer fusion network for classification of diabetic retinopathy].</t>
        </is>
      </c>
      <c r="B130" s="86" t="inlineStr">
        <is>
          <t>Guo, Ying</t>
        </is>
      </c>
      <c r="C130" s="86" t="n">
        <v>2024</v>
      </c>
      <c r="D130" s="86" t="inlineStr">
        <is>
          <t>Included</t>
        </is>
      </c>
      <c r="E130" s="5" t="inlineStr">
        <is>
          <t>Outcome not related to interest</t>
        </is>
      </c>
      <c r="F130" s="5" t="inlineStr">
        <is>
          <t>Outcome not related to interest</t>
        </is>
      </c>
      <c r="G130" s="5" t="inlineStr">
        <is>
          <t>Outcome not related to interest</t>
        </is>
      </c>
      <c r="H130" s="5" t="inlineStr">
        <is>
          <t>Outcome not related to interest</t>
        </is>
      </c>
      <c r="I130" s="5" t="inlineStr">
        <is>
          <t>Retrospective study</t>
        </is>
      </c>
      <c r="J130" s="86" t="n">
        <v>115</v>
      </c>
    </row>
    <row r="131">
      <c r="A131" s="86" t="inlineStr">
        <is>
          <t>Clinical Utility of Deep Learning Assistance for Detecting Various Abnormal Findings in Color Retinal Fundus Images: A Reader Study.</t>
        </is>
      </c>
      <c r="B131" s="86" t="inlineStr">
        <is>
          <t>Shin, Joo Young</t>
        </is>
      </c>
      <c r="C131" s="86" t="n">
        <v>2024</v>
      </c>
      <c r="D131" s="86" t="inlineStr">
        <is>
          <t>Included</t>
        </is>
      </c>
      <c r="E131" s="5" t="inlineStr">
        <is>
          <t>Outcome not related to interest</t>
        </is>
      </c>
      <c r="F131" s="86" t="n">
        <v>15</v>
      </c>
      <c r="G131" s="5" t="inlineStr">
        <is>
          <t>Outcome not related to interest</t>
        </is>
      </c>
      <c r="H131" s="86" t="n">
        <v>8</v>
      </c>
      <c r="I131" s="5" t="inlineStr">
        <is>
          <t>Retrospective study</t>
        </is>
      </c>
      <c r="J131" s="86" t="n">
        <v>116</v>
      </c>
    </row>
    <row r="132">
      <c r="A132" s="86" t="inlineStr">
        <is>
          <t>Effectiveness of artificial intelligence for diabetic retinopathy screening in community in Binh Dinh Province, Vietnam.</t>
        </is>
      </c>
      <c r="B132" s="86" t="inlineStr">
        <is>
          <t>Van, Thanh Nguyen</t>
        </is>
      </c>
      <c r="C132" s="86" t="n">
        <v>2024</v>
      </c>
      <c r="D132" s="86" t="inlineStr">
        <is>
          <t>Included</t>
        </is>
      </c>
      <c r="E132" s="86" t="n">
        <v>6</v>
      </c>
      <c r="F132" s="86" t="n">
        <v>16</v>
      </c>
      <c r="G132" s="5" t="inlineStr">
        <is>
          <t>Outcome not related to interest</t>
        </is>
      </c>
      <c r="H132" s="5" t="inlineStr">
        <is>
          <t>Outcome not related to interest</t>
        </is>
      </c>
      <c r="I132" s="5" t="inlineStr">
        <is>
          <t>Retrospective study</t>
        </is>
      </c>
      <c r="J132" s="86" t="n">
        <v>117</v>
      </c>
    </row>
    <row r="133">
      <c r="A133" s="86" t="inlineStr">
        <is>
          <t>A multi-class fundus disease classification system based on an adaptive scale discriminator and hybrid loss.</t>
        </is>
      </c>
      <c r="B133" s="86" t="inlineStr">
        <is>
          <t>Zhou, Shiyu</t>
        </is>
      </c>
      <c r="C133" s="86" t="n">
        <v>2024</v>
      </c>
      <c r="D133" s="86" t="inlineStr">
        <is>
          <t>Included</t>
        </is>
      </c>
      <c r="E133" s="5" t="inlineStr">
        <is>
          <t>Outcome not related to interest</t>
        </is>
      </c>
      <c r="F133" s="5" t="inlineStr">
        <is>
          <t>Outcome not related to interest</t>
        </is>
      </c>
      <c r="G133" s="5" t="inlineStr">
        <is>
          <t>Outcome not related to interest</t>
        </is>
      </c>
      <c r="H133" s="5" t="inlineStr">
        <is>
          <t>Outcome not related to interest</t>
        </is>
      </c>
      <c r="I133" s="5" t="inlineStr">
        <is>
          <t>Retrospective study</t>
        </is>
      </c>
      <c r="J133" s="86" t="n">
        <v>118</v>
      </c>
    </row>
    <row r="134">
      <c r="A134" s="86" t="inlineStr">
        <is>
          <t>CAD-EYE: An Automated System for Multi-Eye Disease Classification Using Feature Fusion with Deep Learning Models and Fluorescence Imaging for Enhanced Interpretability.</t>
        </is>
      </c>
      <c r="B134" s="86" t="inlineStr">
        <is>
          <t>Khalid, Maimoona</t>
        </is>
      </c>
      <c r="C134" s="86" t="n">
        <v>2024</v>
      </c>
      <c r="D134" s="86" t="inlineStr">
        <is>
          <t>Included</t>
        </is>
      </c>
      <c r="E134" s="86" t="inlineStr">
        <is>
          <t>Not fundus image</t>
        </is>
      </c>
      <c r="F134" s="86" t="inlineStr">
        <is>
          <t>Not fundus image</t>
        </is>
      </c>
      <c r="G134" s="86" t="inlineStr">
        <is>
          <t>Not fundus image</t>
        </is>
      </c>
      <c r="H134" s="86" t="inlineStr">
        <is>
          <t>Not fundus image</t>
        </is>
      </c>
      <c r="I134" s="86" t="inlineStr">
        <is>
          <t>Not fundus image</t>
        </is>
      </c>
      <c r="J134" s="86" t="inlineStr">
        <is>
          <t>Not fundus image</t>
        </is>
      </c>
    </row>
    <row r="135">
      <c r="A135" s="86" t="inlineStr">
        <is>
          <t>Screening and evaluation of diabetic retinopathy via a deep learning network model: A prospective study.</t>
        </is>
      </c>
      <c r="B135" s="86" t="inlineStr">
        <is>
          <t>Yao, Li</t>
        </is>
      </c>
      <c r="C135" s="86" t="n">
        <v>2024</v>
      </c>
      <c r="D135" s="86" t="inlineStr">
        <is>
          <t>Included</t>
        </is>
      </c>
      <c r="E135" s="5" t="inlineStr">
        <is>
          <t>Outcome not related to interest</t>
        </is>
      </c>
      <c r="F135" s="5" t="inlineStr">
        <is>
          <t>Outcome not related to interest</t>
        </is>
      </c>
      <c r="G135" s="5" t="inlineStr">
        <is>
          <t>Outcome not related to interest</t>
        </is>
      </c>
      <c r="H135" s="5" t="inlineStr">
        <is>
          <t>Outcome not related to interest</t>
        </is>
      </c>
      <c r="I135" s="5" t="n">
        <v>15</v>
      </c>
      <c r="J135" s="86" t="n">
        <v>119</v>
      </c>
    </row>
    <row r="136">
      <c r="A136" s="86" t="inlineStr">
        <is>
          <t>Evaluating the efficacy of AI systems in diabetic retinopathy detection: A comparative analysis of Mona DR and IDx-DR.</t>
        </is>
      </c>
      <c r="B136" s="86" t="inlineStr">
        <is>
          <t>Grzybowski, Andrzej</t>
        </is>
      </c>
      <c r="C136" s="86" t="n">
        <v>2024</v>
      </c>
      <c r="D136" s="86" t="inlineStr">
        <is>
          <t>Included</t>
        </is>
      </c>
      <c r="E136" s="86" t="n">
        <v>7</v>
      </c>
      <c r="F136" s="86" t="n">
        <v>17</v>
      </c>
      <c r="G136" s="86" t="n">
        <v>4</v>
      </c>
      <c r="H136" s="5" t="inlineStr">
        <is>
          <t>Outcome not related to interest</t>
        </is>
      </c>
      <c r="I136" s="5" t="inlineStr">
        <is>
          <t>Retrospective study</t>
        </is>
      </c>
      <c r="J136" s="86" t="n">
        <v>120</v>
      </c>
    </row>
    <row r="137">
      <c r="A137" s="86" t="inlineStr">
        <is>
          <t>Revolutionizing diabetic eye disease detection: retinal image analysis with cutting-edge deep learning techniques.</t>
        </is>
      </c>
      <c r="B137" s="86" t="inlineStr">
        <is>
          <t>D, Banumathy</t>
        </is>
      </c>
      <c r="C137" s="86" t="n">
        <v>2024</v>
      </c>
      <c r="D137" s="86" t="inlineStr">
        <is>
          <t>Included</t>
        </is>
      </c>
      <c r="E137" s="5" t="inlineStr">
        <is>
          <t>Outcome not related to interest</t>
        </is>
      </c>
      <c r="F137" s="5" t="inlineStr">
        <is>
          <t>Outcome not related to interest</t>
        </is>
      </c>
      <c r="G137" s="5" t="inlineStr">
        <is>
          <t>Outcome not related to interest</t>
        </is>
      </c>
      <c r="H137" s="5" t="inlineStr">
        <is>
          <t>Outcome not related to interest</t>
        </is>
      </c>
      <c r="I137" s="5" t="inlineStr">
        <is>
          <t>Outcome not related to interest</t>
        </is>
      </c>
      <c r="J137" s="5" t="inlineStr">
        <is>
          <t>Outcome not related to interest</t>
        </is>
      </c>
    </row>
    <row r="138">
      <c r="A138" s="86" t="inlineStr">
        <is>
          <t>DRSegNet: A cutting-edge approach to Diabetic Retinopathy segmentation and classification using parameter-aware Nature-Inspired optimization.</t>
        </is>
      </c>
      <c r="B138" s="86" t="inlineStr">
        <is>
          <t>Kamal, Sundreen Asad</t>
        </is>
      </c>
      <c r="C138" s="86" t="n">
        <v>2024</v>
      </c>
      <c r="D138" s="86" t="inlineStr">
        <is>
          <t>Included</t>
        </is>
      </c>
      <c r="E138" s="5" t="inlineStr">
        <is>
          <t>Outcome not related to interest</t>
        </is>
      </c>
      <c r="F138" s="5" t="inlineStr">
        <is>
          <t>Outcome not related to interest</t>
        </is>
      </c>
      <c r="G138" s="5" t="inlineStr">
        <is>
          <t>Outcome not related to interest</t>
        </is>
      </c>
      <c r="H138" s="5" t="inlineStr">
        <is>
          <t>Outcome not related to interest</t>
        </is>
      </c>
      <c r="I138" s="5" t="inlineStr">
        <is>
          <t>Retrospective study</t>
        </is>
      </c>
      <c r="J138" s="86" t="n">
        <v>121</v>
      </c>
    </row>
    <row r="139">
      <c r="A139" s="18" t="inlineStr">
        <is>
          <t>Deep learning based binary classification of diabetic retinopathy images using transfer learning approach.</t>
        </is>
      </c>
      <c r="B139" s="86" t="inlineStr">
        <is>
          <t>Saproo, Dimple</t>
        </is>
      </c>
      <c r="C139" s="86" t="n">
        <v>2024</v>
      </c>
      <c r="D139" s="86" t="inlineStr">
        <is>
          <t>Included</t>
        </is>
      </c>
      <c r="E139" s="86" t="inlineStr">
        <is>
          <t>Insufficient to constrct confusion matrix</t>
        </is>
      </c>
      <c r="F139" s="86" t="inlineStr">
        <is>
          <t>Insufficient to constrct confusion matrix</t>
        </is>
      </c>
      <c r="G139" s="86" t="inlineStr">
        <is>
          <t>Insufficient to constrct confusion matrix</t>
        </is>
      </c>
      <c r="H139" s="86" t="inlineStr">
        <is>
          <t>Insufficient to constrct confusion matrix</t>
        </is>
      </c>
      <c r="I139" s="86" t="inlineStr">
        <is>
          <t>Insufficient to constrct confusion matrix</t>
        </is>
      </c>
      <c r="J139" s="86" t="inlineStr">
        <is>
          <t>Insufficient to constrct confusion matrix</t>
        </is>
      </c>
    </row>
    <row r="140">
      <c r="A140" s="86" t="inlineStr">
        <is>
          <t>Two Handheld Retinograph Devices Evaluated by Ophthalmologists and an Artificial Intelligence Algorithm.</t>
        </is>
      </c>
      <c r="B140" s="86" t="inlineStr">
        <is>
          <t>Romero-Aroca, Pedro</t>
        </is>
      </c>
      <c r="C140" s="86" t="n">
        <v>2024</v>
      </c>
      <c r="D140" s="86" t="inlineStr">
        <is>
          <t>Included</t>
        </is>
      </c>
      <c r="E140" s="5" t="inlineStr">
        <is>
          <t>Outcome not related to interest</t>
        </is>
      </c>
      <c r="F140" s="5" t="inlineStr">
        <is>
          <t>Outcome not related to interest</t>
        </is>
      </c>
      <c r="G140" s="5" t="inlineStr">
        <is>
          <t>Outcome not related to interest</t>
        </is>
      </c>
      <c r="H140" s="5" t="inlineStr">
        <is>
          <t>Outcome not related to interest</t>
        </is>
      </c>
      <c r="I140" s="5" t="n">
        <v>16</v>
      </c>
      <c r="J140" s="86" t="n">
        <v>122</v>
      </c>
    </row>
    <row r="141">
      <c r="A141" s="86" t="inlineStr">
        <is>
          <t>FedDL: personalized federated deep learning for enhanced detection and classification of diabetic retinopathy.</t>
        </is>
      </c>
      <c r="B141" s="86" t="inlineStr">
        <is>
          <t>Bhulakshmi, Dasari</t>
        </is>
      </c>
      <c r="C141" s="86" t="n">
        <v>2024</v>
      </c>
      <c r="D141" s="86" t="inlineStr">
        <is>
          <t>Included</t>
        </is>
      </c>
      <c r="E141" s="5" t="inlineStr">
        <is>
          <t>Outcome not related to interest</t>
        </is>
      </c>
      <c r="F141" s="5" t="inlineStr">
        <is>
          <t>Outcome not related to interest</t>
        </is>
      </c>
      <c r="G141" s="5" t="inlineStr">
        <is>
          <t>Outcome not related to interest</t>
        </is>
      </c>
      <c r="H141" s="5" t="inlineStr">
        <is>
          <t>Outcome not related to interest</t>
        </is>
      </c>
      <c r="I141" s="5" t="inlineStr">
        <is>
          <t>Retrospective study</t>
        </is>
      </c>
      <c r="J141" s="86" t="n">
        <v>123</v>
      </c>
    </row>
    <row r="142">
      <c r="A142" s="86" t="inlineStr">
        <is>
          <t>Enhanced diabetic retinopathy detection using U-shaped network and capsule network-driven deep learning.</t>
        </is>
      </c>
      <c r="B142" s="86" t="inlineStr">
        <is>
          <t>I, Govindharaj</t>
        </is>
      </c>
      <c r="C142" s="86" t="n">
        <v>2024</v>
      </c>
      <c r="D142" s="86" t="inlineStr">
        <is>
          <t>Included</t>
        </is>
      </c>
      <c r="E142" s="5" t="inlineStr">
        <is>
          <t>Outcome not related to interest</t>
        </is>
      </c>
      <c r="F142" s="5" t="inlineStr">
        <is>
          <t>Outcome not related to interest</t>
        </is>
      </c>
      <c r="G142" s="5" t="inlineStr">
        <is>
          <t>Outcome not related to interest</t>
        </is>
      </c>
      <c r="H142" s="5" t="inlineStr">
        <is>
          <t>Outcome not related to interest</t>
        </is>
      </c>
      <c r="I142" s="5" t="inlineStr">
        <is>
          <t>Retrospective study</t>
        </is>
      </c>
      <c r="J142" s="86" t="n">
        <v>124</v>
      </c>
    </row>
    <row r="143">
      <c r="A143" s="86" t="inlineStr">
        <is>
          <t>[Use of Artificial Intelligence in Diabetic Retinopathy Screening: Experience in a Health Service in Santiago, Chile].</t>
        </is>
      </c>
      <c r="B143" s="86" t="inlineStr">
        <is>
          <t>Iba簽ez-Bruron, Mar穩a C</t>
        </is>
      </c>
      <c r="C143" s="86" t="n">
        <v>2024</v>
      </c>
      <c r="D143" s="86" t="inlineStr">
        <is>
          <t>Included</t>
        </is>
      </c>
      <c r="E143" s="86" t="n">
        <v>8</v>
      </c>
      <c r="F143" s="86" t="n">
        <v>18</v>
      </c>
      <c r="G143" s="5" t="inlineStr">
        <is>
          <t>Outcome not related to interest</t>
        </is>
      </c>
      <c r="H143" s="5" t="inlineStr">
        <is>
          <t>Outcome not related to interest</t>
        </is>
      </c>
      <c r="I143" s="5" t="inlineStr">
        <is>
          <t>Retrospective study</t>
        </is>
      </c>
      <c r="J143" s="86" t="n">
        <v>125</v>
      </c>
    </row>
    <row r="144">
      <c r="A144" s="86" t="inlineStr">
        <is>
          <t>Dr-Hydranet: Enhancing Diabetic Retinopathy Diagnosis by Integrating Hydra Attention and Removing Inefficient Heads</t>
        </is>
      </c>
      <c r="B144" s="86" t="inlineStr">
        <is>
          <t>Ali, M.S.</t>
        </is>
      </c>
      <c r="C144" s="86" t="n">
        <v>2024</v>
      </c>
      <c r="D144" s="86" t="inlineStr">
        <is>
          <t>Included</t>
        </is>
      </c>
      <c r="E144" s="5" t="inlineStr">
        <is>
          <t>Outcome not related to interest</t>
        </is>
      </c>
      <c r="F144" s="5" t="inlineStr">
        <is>
          <t>Outcome not related to interest</t>
        </is>
      </c>
      <c r="G144" s="5" t="inlineStr">
        <is>
          <t>Outcome not related to interest</t>
        </is>
      </c>
      <c r="H144" s="5" t="inlineStr">
        <is>
          <t>Outcome not related to interest</t>
        </is>
      </c>
      <c r="I144" s="5" t="inlineStr">
        <is>
          <t>Retrospective study</t>
        </is>
      </c>
      <c r="J144" s="86" t="n">
        <v>126</v>
      </c>
    </row>
    <row r="145">
      <c r="A145" s="86" t="inlineStr">
        <is>
          <t>Quantumnet: An Enhanced Diabetic Retinopathy Detection Model Using Classical Deep Learning-Quantum Transfer Learning</t>
        </is>
      </c>
      <c r="B145" s="86" t="inlineStr">
        <is>
          <t>Bali, M.</t>
        </is>
      </c>
      <c r="C145" s="86" t="n">
        <v>2024</v>
      </c>
      <c r="D145" s="86" t="inlineStr">
        <is>
          <t>Included</t>
        </is>
      </c>
      <c r="E145" s="5" t="inlineStr">
        <is>
          <t>Outcome not related to interest</t>
        </is>
      </c>
      <c r="F145" s="5" t="inlineStr">
        <is>
          <t>Outcome not related to interest</t>
        </is>
      </c>
      <c r="G145" s="5" t="inlineStr">
        <is>
          <t>Outcome not related to interest</t>
        </is>
      </c>
      <c r="H145" s="5" t="inlineStr">
        <is>
          <t>Outcome not related to interest</t>
        </is>
      </c>
      <c r="I145" s="5" t="inlineStr">
        <is>
          <t>Retrospective study</t>
        </is>
      </c>
      <c r="J145" s="86" t="n">
        <v>127</v>
      </c>
    </row>
    <row r="146">
      <c r="A146" s="86" t="inlineStr">
        <is>
          <t>Discriminative analysis of diabetic retinopathy using cascaded network with Atrous convolution and fundus biomarkers</t>
        </is>
      </c>
      <c r="B146" s="86" t="inlineStr">
        <is>
          <t>Pandey, A.</t>
        </is>
      </c>
      <c r="C146" s="86" t="n">
        <v>2024</v>
      </c>
      <c r="D146" s="86" t="inlineStr">
        <is>
          <t>Included</t>
        </is>
      </c>
      <c r="E146" s="5" t="inlineStr">
        <is>
          <t>Outcome not related to interest</t>
        </is>
      </c>
      <c r="F146" s="5" t="inlineStr">
        <is>
          <t>Outcome not related to interest</t>
        </is>
      </c>
      <c r="G146" s="5" t="inlineStr">
        <is>
          <t>Outcome not related to interest</t>
        </is>
      </c>
      <c r="H146" s="5" t="inlineStr">
        <is>
          <t>Outcome not related to interest</t>
        </is>
      </c>
      <c r="I146" s="5" t="inlineStr">
        <is>
          <t>Retrospective study</t>
        </is>
      </c>
      <c r="J146" s="86" t="n">
        <v>128</v>
      </c>
    </row>
    <row r="147">
      <c r="A147" s="86" t="inlineStr">
        <is>
          <t>MSEF-Net: A multi-scale EfficientNet Fusion for Diabetic Retinopathy grading</t>
        </is>
      </c>
      <c r="B147" s="86" t="inlineStr">
        <is>
          <t>Fu, Y.</t>
        </is>
      </c>
      <c r="C147" s="86" t="n">
        <v>2024</v>
      </c>
      <c r="D147" s="86" t="inlineStr">
        <is>
          <t>Included</t>
        </is>
      </c>
      <c r="E147" s="5" t="inlineStr">
        <is>
          <t>Outcome not related to interest</t>
        </is>
      </c>
      <c r="F147" s="5" t="inlineStr">
        <is>
          <t>Outcome not related to interest</t>
        </is>
      </c>
      <c r="G147" s="5" t="inlineStr">
        <is>
          <t>Outcome not related to interest</t>
        </is>
      </c>
      <c r="H147" s="5" t="inlineStr">
        <is>
          <t>Outcome not related to interest</t>
        </is>
      </c>
      <c r="I147" s="5" t="inlineStr">
        <is>
          <t>Retrospective study</t>
        </is>
      </c>
      <c r="J147" s="86" t="n">
        <v>129</v>
      </c>
    </row>
    <row r="148">
      <c r="A148" s="86" t="inlineStr">
        <is>
          <t>Automatic grading diabetic retinopathy in color fundus image: Cascaded hybrid attention network</t>
        </is>
      </c>
      <c r="B148" s="86" t="inlineStr">
        <is>
          <t>Liu, Y.</t>
        </is>
      </c>
      <c r="C148" s="86" t="n">
        <v>2024</v>
      </c>
      <c r="D148" s="86" t="inlineStr">
        <is>
          <t>Included</t>
        </is>
      </c>
      <c r="E148" s="5" t="inlineStr">
        <is>
          <t>Outcome not related to interest</t>
        </is>
      </c>
      <c r="F148" s="5" t="inlineStr">
        <is>
          <t>Outcome not related to interest</t>
        </is>
      </c>
      <c r="G148" s="5" t="inlineStr">
        <is>
          <t>Outcome not related to interest</t>
        </is>
      </c>
      <c r="H148" s="5" t="inlineStr">
        <is>
          <t>Outcome not related to interest</t>
        </is>
      </c>
      <c r="I148" s="5" t="inlineStr">
        <is>
          <t>Retrospective study</t>
        </is>
      </c>
      <c r="J148" s="86" t="n">
        <v>130</v>
      </c>
    </row>
    <row r="149">
      <c r="A149" s="86" t="inlineStr">
        <is>
          <t>ViT-HHO: Optimized vision transformer for diabetic retinopathy detection using Harris Hawk optimization</t>
        </is>
      </c>
      <c r="B149" s="86" t="inlineStr">
        <is>
          <t>Awasthi, V.</t>
        </is>
      </c>
      <c r="C149" s="86" t="n">
        <v>2024</v>
      </c>
      <c r="D149" s="86" t="inlineStr">
        <is>
          <t>Included</t>
        </is>
      </c>
      <c r="E149" s="5" t="inlineStr">
        <is>
          <t>Outcome not related to interest</t>
        </is>
      </c>
      <c r="F149" s="5" t="inlineStr">
        <is>
          <t>Outcome not related to interest</t>
        </is>
      </c>
      <c r="G149" s="5" t="inlineStr">
        <is>
          <t>Outcome not related to interest</t>
        </is>
      </c>
      <c r="H149" s="5" t="inlineStr">
        <is>
          <t>Outcome not related to interest</t>
        </is>
      </c>
      <c r="I149" s="5" t="inlineStr">
        <is>
          <t>Retrospective study</t>
        </is>
      </c>
      <c r="J149" s="86" t="n">
        <v>131</v>
      </c>
    </row>
    <row r="150">
      <c r="A150" s="86" t="inlineStr">
        <is>
          <t>Deep learning CS-ResNet-101 model for diabetic retinopathy classification</t>
        </is>
      </c>
      <c r="B150" s="86" t="inlineStr">
        <is>
          <t>Suo, Y.</t>
        </is>
      </c>
      <c r="C150" s="86" t="n">
        <v>2024</v>
      </c>
      <c r="D150" s="86" t="inlineStr">
        <is>
          <t>Included</t>
        </is>
      </c>
      <c r="E150" s="5" t="inlineStr">
        <is>
          <t>Outcome not related to interest</t>
        </is>
      </c>
      <c r="F150" s="5" t="inlineStr">
        <is>
          <t>Outcome not related to interest</t>
        </is>
      </c>
      <c r="G150" s="5" t="inlineStr">
        <is>
          <t>Outcome not related to interest</t>
        </is>
      </c>
      <c r="H150" s="5" t="inlineStr">
        <is>
          <t>Outcome not related to interest</t>
        </is>
      </c>
      <c r="I150" s="5" t="inlineStr">
        <is>
          <t>Retrospective study</t>
        </is>
      </c>
      <c r="J150" s="86" t="n">
        <v>132</v>
      </c>
    </row>
    <row r="151">
      <c r="A151" s="86" t="inlineStr">
        <is>
          <t>Optimizing diabetic retinopathy detection with inception-V4 and dynamic version of snow leopard optimization algorithm</t>
        </is>
      </c>
      <c r="B151" s="86" t="inlineStr">
        <is>
          <t>Yang, J.</t>
        </is>
      </c>
      <c r="C151" s="86" t="n">
        <v>2024</v>
      </c>
      <c r="D151" s="86" t="inlineStr">
        <is>
          <t>Included</t>
        </is>
      </c>
      <c r="E151" s="5" t="inlineStr">
        <is>
          <t>Outcome not related to interest</t>
        </is>
      </c>
      <c r="F151" s="5" t="inlineStr">
        <is>
          <t>Outcome not related to interest</t>
        </is>
      </c>
      <c r="G151" s="5" t="inlineStr">
        <is>
          <t>Outcome not related to interest</t>
        </is>
      </c>
      <c r="H151" s="5" t="inlineStr">
        <is>
          <t>Outcome not related to interest</t>
        </is>
      </c>
      <c r="I151" s="5" t="inlineStr">
        <is>
          <t>Retrospective study</t>
        </is>
      </c>
      <c r="J151" s="86" t="n">
        <v>133</v>
      </c>
    </row>
    <row r="152">
      <c r="A152" s="86" t="inlineStr">
        <is>
          <t>DFCAFNet: Dual-feature co-attentive fusion network for diabetic retinopathy grading</t>
        </is>
      </c>
      <c r="B152" s="86" t="inlineStr">
        <is>
          <t>Madarapu, S.</t>
        </is>
      </c>
      <c r="C152" s="86" t="n">
        <v>2024</v>
      </c>
      <c r="D152" s="86" t="inlineStr">
        <is>
          <t>Included</t>
        </is>
      </c>
      <c r="E152" s="5" t="inlineStr">
        <is>
          <t>Outcome not related to interest</t>
        </is>
      </c>
      <c r="F152" s="5" t="inlineStr">
        <is>
          <t>Outcome not related to interest</t>
        </is>
      </c>
      <c r="G152" s="5" t="inlineStr">
        <is>
          <t>Outcome not related to interest</t>
        </is>
      </c>
      <c r="H152" s="5" t="inlineStr">
        <is>
          <t>Outcome not related to interest</t>
        </is>
      </c>
      <c r="I152" s="5" t="inlineStr">
        <is>
          <t>Retrospective study</t>
        </is>
      </c>
      <c r="J152" s="86" t="n">
        <v>134</v>
      </c>
    </row>
    <row r="153">
      <c r="A153" s="86" t="inlineStr">
        <is>
          <t>Re-training and fine-tuning a deep learning artificial intelligence model for the detection of referable diabetic retinopathy in children and young people with diabetes</t>
        </is>
      </c>
      <c r="B153" s="86" t="inlineStr">
        <is>
          <t>Lim, G.</t>
        </is>
      </c>
      <c r="C153" s="86" t="n">
        <v>2024</v>
      </c>
      <c r="D153" s="86" t="inlineStr">
        <is>
          <t>Included</t>
        </is>
      </c>
      <c r="E153" s="86" t="inlineStr">
        <is>
          <t>Not adult</t>
        </is>
      </c>
      <c r="F153" s="86" t="inlineStr">
        <is>
          <t>Not adult</t>
        </is>
      </c>
      <c r="G153" s="86" t="inlineStr">
        <is>
          <t>Not adult</t>
        </is>
      </c>
      <c r="H153" s="86" t="inlineStr">
        <is>
          <t>Not adult</t>
        </is>
      </c>
      <c r="I153" s="86" t="inlineStr">
        <is>
          <t>Not adult</t>
        </is>
      </c>
      <c r="J153" s="86" t="inlineStr">
        <is>
          <t>Not adult</t>
        </is>
      </c>
    </row>
    <row r="154">
      <c r="A154" s="86" t="inlineStr">
        <is>
          <t>RP squeeze U-SegNet model for lesion segmentation and optimization enabled ShuffleNet based multi-level severity diabetic retinopathy classification</t>
        </is>
      </c>
      <c r="B154" s="86" t="inlineStr">
        <is>
          <t>Sulaiman, Z.B.</t>
        </is>
      </c>
      <c r="C154" s="86" t="n">
        <v>2024</v>
      </c>
      <c r="D154" s="86" t="inlineStr">
        <is>
          <t>Included</t>
        </is>
      </c>
      <c r="E154" s="5" t="inlineStr">
        <is>
          <t>Outcome not related to interest</t>
        </is>
      </c>
      <c r="F154" s="5" t="inlineStr">
        <is>
          <t>Outcome not related to interest</t>
        </is>
      </c>
      <c r="G154" s="5" t="inlineStr">
        <is>
          <t>Outcome not related to interest</t>
        </is>
      </c>
      <c r="H154" s="5" t="inlineStr">
        <is>
          <t>Outcome not related to interest</t>
        </is>
      </c>
      <c r="I154" s="5" t="inlineStr">
        <is>
          <t>Retrospective study</t>
        </is>
      </c>
      <c r="J154" s="86" t="n">
        <v>135</v>
      </c>
    </row>
    <row r="155">
      <c r="A155" s="86" t="inlineStr">
        <is>
          <t>Classification of diabetic retinopathy severity level using deep learning</t>
        </is>
      </c>
      <c r="B155" s="86" t="inlineStr">
        <is>
          <t>Durairaj, S.</t>
        </is>
      </c>
      <c r="C155" s="86" t="n">
        <v>2024</v>
      </c>
      <c r="D155" s="86" t="inlineStr">
        <is>
          <t>Included</t>
        </is>
      </c>
      <c r="E155" s="5" t="inlineStr">
        <is>
          <t>Outcome not related to interest</t>
        </is>
      </c>
      <c r="F155" s="5" t="inlineStr">
        <is>
          <t>Outcome not related to interest</t>
        </is>
      </c>
      <c r="G155" s="5" t="inlineStr">
        <is>
          <t>Outcome not related to interest</t>
        </is>
      </c>
      <c r="H155" s="5" t="inlineStr">
        <is>
          <t>Outcome not related to interest</t>
        </is>
      </c>
      <c r="I155" s="5" t="inlineStr">
        <is>
          <t>Retrospective study</t>
        </is>
      </c>
      <c r="J155" s="86" t="n">
        <v>136</v>
      </c>
    </row>
    <row r="156">
      <c r="A156" s="86" t="inlineStr">
        <is>
          <t>Optimized Deep Learning based Approach for Enhanced frame work of Automated Diagnosis of Diabetic Retinopathy</t>
        </is>
      </c>
      <c r="B156" s="86" t="inlineStr">
        <is>
          <t>Ravala, L.</t>
        </is>
      </c>
      <c r="C156" s="86" t="n">
        <v>2024</v>
      </c>
      <c r="D156" s="86" t="inlineStr">
        <is>
          <t>Included</t>
        </is>
      </c>
      <c r="E156" s="5" t="inlineStr">
        <is>
          <t>Outcome not related to interest</t>
        </is>
      </c>
      <c r="F156" s="5" t="inlineStr">
        <is>
          <t>Outcome not related to interest</t>
        </is>
      </c>
      <c r="G156" s="5" t="inlineStr">
        <is>
          <t>Outcome not related to interest</t>
        </is>
      </c>
      <c r="H156" s="5" t="inlineStr">
        <is>
          <t>Outcome not related to interest</t>
        </is>
      </c>
      <c r="I156" s="5" t="inlineStr">
        <is>
          <t>Retrospective study</t>
        </is>
      </c>
      <c r="J156" s="86" t="n">
        <v>137</v>
      </c>
    </row>
    <row r="157">
      <c r="A157" s="86" t="inlineStr">
        <is>
          <t>Classification of diabetic retinopathy based on Functional Linked Neural network utilizing segmented fundus image features</t>
        </is>
      </c>
      <c r="B157" s="86" t="inlineStr">
        <is>
          <t>Sasikala, D.</t>
        </is>
      </c>
      <c r="C157" s="86" t="n">
        <v>2024</v>
      </c>
      <c r="D157" s="86" t="inlineStr">
        <is>
          <t>Included</t>
        </is>
      </c>
      <c r="E157" s="5" t="inlineStr">
        <is>
          <t>Outcome not related to interest</t>
        </is>
      </c>
      <c r="F157" s="5" t="inlineStr">
        <is>
          <t>Outcome not related to interest</t>
        </is>
      </c>
      <c r="G157" s="5" t="inlineStr">
        <is>
          <t>Outcome not related to interest</t>
        </is>
      </c>
      <c r="H157" s="5" t="inlineStr">
        <is>
          <t>Outcome not related to interest</t>
        </is>
      </c>
      <c r="I157" s="5" t="inlineStr">
        <is>
          <t>Retrospective study</t>
        </is>
      </c>
      <c r="J157" s="86" t="n">
        <v>138</v>
      </c>
    </row>
    <row r="158">
      <c r="A158" s="86" t="inlineStr">
        <is>
          <t>Arithmetic Optimization for Coinciding Diabetic Retinopathy and Diabetic Macular Edema Grading based on Self-Attention Convolutional Neural Network</t>
        </is>
      </c>
      <c r="B158" s="86" t="inlineStr">
        <is>
          <t>Devi, T.M.</t>
        </is>
      </c>
      <c r="C158" s="86" t="n">
        <v>2024</v>
      </c>
      <c r="D158" s="86" t="inlineStr">
        <is>
          <t>Included</t>
        </is>
      </c>
      <c r="E158" s="5" t="inlineStr">
        <is>
          <t>Outcome not related to interest</t>
        </is>
      </c>
      <c r="F158" s="5" t="inlineStr">
        <is>
          <t>Outcome not related to interest</t>
        </is>
      </c>
      <c r="G158" s="5" t="inlineStr">
        <is>
          <t>Outcome not related to interest</t>
        </is>
      </c>
      <c r="H158" s="5" t="inlineStr">
        <is>
          <t>Outcome not related to interest</t>
        </is>
      </c>
      <c r="I158" s="5" t="inlineStr">
        <is>
          <t>Retrospective study</t>
        </is>
      </c>
      <c r="J158" s="86" t="n">
        <v>139</v>
      </c>
    </row>
    <row r="159">
      <c r="A159" s="86" t="inlineStr">
        <is>
          <t>Hybrid hunter-prey ladybug beetle optimization enabled deep learning for diabetic retinopathy classification</t>
        </is>
      </c>
      <c r="B159" s="86" t="inlineStr">
        <is>
          <t>Sagvekar, V.</t>
        </is>
      </c>
      <c r="C159" s="86" t="n">
        <v>2024</v>
      </c>
      <c r="D159" s="86" t="inlineStr">
        <is>
          <t>Included</t>
        </is>
      </c>
      <c r="E159" s="5" t="inlineStr">
        <is>
          <t>Outcome not related to interest</t>
        </is>
      </c>
      <c r="F159" s="5" t="inlineStr">
        <is>
          <t>Outcome not related to interest</t>
        </is>
      </c>
      <c r="G159" s="5" t="inlineStr">
        <is>
          <t>Outcome not related to interest</t>
        </is>
      </c>
      <c r="H159" s="5" t="inlineStr">
        <is>
          <t>Outcome not related to interest</t>
        </is>
      </c>
      <c r="I159" s="5" t="inlineStr">
        <is>
          <t>Retrospective study</t>
        </is>
      </c>
      <c r="J159" s="86" t="n">
        <v>140</v>
      </c>
    </row>
    <row r="160">
      <c r="A160" s="86" t="inlineStr">
        <is>
          <t>BathNet: A network to classification of fundus and contrast images using label transfer and multi-branch transformer</t>
        </is>
      </c>
      <c r="B160" s="86" t="inlineStr">
        <is>
          <t>Wang, Y.</t>
        </is>
      </c>
      <c r="C160" s="86" t="n">
        <v>2024</v>
      </c>
      <c r="D160" s="86" t="inlineStr">
        <is>
          <t>Included</t>
        </is>
      </c>
      <c r="E160" s="5" t="inlineStr">
        <is>
          <t>Outcome not related to interest</t>
        </is>
      </c>
      <c r="F160" s="5" t="inlineStr">
        <is>
          <t>Outcome not related to interest</t>
        </is>
      </c>
      <c r="G160" s="5" t="inlineStr">
        <is>
          <t>Outcome not related to interest</t>
        </is>
      </c>
      <c r="H160" s="5" t="inlineStr">
        <is>
          <t>Outcome not related to interest</t>
        </is>
      </c>
      <c r="I160" s="5" t="inlineStr">
        <is>
          <t>Retrospective study</t>
        </is>
      </c>
      <c r="J160" s="86" t="n">
        <v>141</v>
      </c>
    </row>
    <row r="161">
      <c r="A161" s="86" t="inlineStr">
        <is>
          <t>Graph-based multi-level feature fusion network for diabetic retinopathy grading using ultra-wide-field images</t>
        </is>
      </c>
      <c r="B161" s="86" t="inlineStr">
        <is>
          <t>Zhang, D.</t>
        </is>
      </c>
      <c r="C161" s="86" t="n">
        <v>2024</v>
      </c>
      <c r="D161" s="86" t="inlineStr">
        <is>
          <t>Included</t>
        </is>
      </c>
      <c r="E161" s="86" t="inlineStr">
        <is>
          <t>Fundus Fluorescein Angiography</t>
        </is>
      </c>
      <c r="F161" s="86" t="inlineStr">
        <is>
          <t>Fundus Fluorescein Angiography</t>
        </is>
      </c>
      <c r="G161" s="86" t="inlineStr">
        <is>
          <t>Fundus Fluorescein Angiography</t>
        </is>
      </c>
      <c r="H161" s="86" t="inlineStr">
        <is>
          <t>Fundus Fluorescein Angiography</t>
        </is>
      </c>
      <c r="I161" s="86" t="inlineStr">
        <is>
          <t>Fundus Fluorescein Angiography</t>
        </is>
      </c>
      <c r="J161" s="86" t="inlineStr">
        <is>
          <t>Fundus Fluorescein Angiography</t>
        </is>
      </c>
    </row>
    <row r="162">
      <c r="A162" s="86" t="inlineStr">
        <is>
          <t>Dual branch deep learning network for detection and stage grading of diabetic retinopathy</t>
        </is>
      </c>
      <c r="B162" s="86" t="inlineStr">
        <is>
          <t>Shakibania, H.</t>
        </is>
      </c>
      <c r="C162" s="86" t="n">
        <v>2024</v>
      </c>
      <c r="D162" s="86" t="inlineStr">
        <is>
          <t>Included</t>
        </is>
      </c>
      <c r="E162" s="5" t="inlineStr">
        <is>
          <t>Outcome not related to interest</t>
        </is>
      </c>
      <c r="F162" s="5" t="inlineStr">
        <is>
          <t>Outcome not related to interest</t>
        </is>
      </c>
      <c r="G162" s="5" t="inlineStr">
        <is>
          <t>Outcome not related to interest</t>
        </is>
      </c>
      <c r="H162" s="5" t="inlineStr">
        <is>
          <t>Outcome not related to interest</t>
        </is>
      </c>
      <c r="I162" s="5" t="inlineStr">
        <is>
          <t>Retrospective study</t>
        </is>
      </c>
      <c r="J162" s="86" t="n">
        <v>142</v>
      </c>
    </row>
    <row r="163">
      <c r="A163" s="86" t="inlineStr">
        <is>
          <t>An advanced deep neural network for fundus image analysis and enhancing diabetic retinopathy detection</t>
        </is>
      </c>
      <c r="B163" s="86" t="inlineStr">
        <is>
          <t>Mehedi Shamrat, F.M.J.</t>
        </is>
      </c>
      <c r="C163" s="86" t="n">
        <v>2024</v>
      </c>
      <c r="D163" s="86" t="inlineStr">
        <is>
          <t>Included</t>
        </is>
      </c>
      <c r="E163" s="5" t="inlineStr">
        <is>
          <t>Outcome not related to interest</t>
        </is>
      </c>
      <c r="F163" s="5" t="inlineStr">
        <is>
          <t>Outcome not related to interest</t>
        </is>
      </c>
      <c r="G163" s="5" t="inlineStr">
        <is>
          <t>Outcome not related to interest</t>
        </is>
      </c>
      <c r="H163" s="5" t="inlineStr">
        <is>
          <t>Outcome not related to interest</t>
        </is>
      </c>
      <c r="I163" s="5" t="inlineStr">
        <is>
          <t>Retrospective study</t>
        </is>
      </c>
      <c r="J163" s="86" t="n">
        <v>143</v>
      </c>
    </row>
    <row r="164">
      <c r="A164" s="86" t="inlineStr">
        <is>
          <t>A hybrid approach with customized machine learning classifiers and multiple feature extractors for enhancing diabetic retinopathy detection</t>
        </is>
      </c>
      <c r="B164" s="86" t="inlineStr">
        <is>
          <t>Taifa, I.A.</t>
        </is>
      </c>
      <c r="C164" s="86" t="n">
        <v>2024</v>
      </c>
      <c r="D164" s="86" t="inlineStr">
        <is>
          <t>Included</t>
        </is>
      </c>
      <c r="E164" s="5" t="inlineStr">
        <is>
          <t>Outcome not related to interest</t>
        </is>
      </c>
      <c r="F164" s="5" t="inlineStr">
        <is>
          <t>Outcome not related to interest</t>
        </is>
      </c>
      <c r="G164" s="5" t="inlineStr">
        <is>
          <t>Outcome not related to interest</t>
        </is>
      </c>
      <c r="H164" s="5" t="inlineStr">
        <is>
          <t>Outcome not related to interest</t>
        </is>
      </c>
      <c r="I164" s="5" t="inlineStr">
        <is>
          <t>Retrospective study</t>
        </is>
      </c>
      <c r="J164" s="86" t="n">
        <v>144</v>
      </c>
    </row>
    <row r="165">
      <c r="A165" s="86" t="inlineStr">
        <is>
          <t>Cross-Device Al Fusion: Enhancing Diabetic Retinopathy Diagnosis with Combined Clarus and Optos Images</t>
        </is>
      </c>
      <c r="B165" s="86" t="inlineStr">
        <is>
          <t>El Habib Daho, M.</t>
        </is>
      </c>
      <c r="C165" s="86" t="n">
        <v>2024</v>
      </c>
      <c r="D165" s="86" t="inlineStr">
        <is>
          <t>Included</t>
        </is>
      </c>
      <c r="E165" s="86" t="inlineStr">
        <is>
          <t>Insufficient to constrct confusion matrix</t>
        </is>
      </c>
      <c r="F165" s="86" t="inlineStr">
        <is>
          <t>Insufficient to constrct confusion matrix</t>
        </is>
      </c>
      <c r="G165" s="86" t="inlineStr">
        <is>
          <t>Insufficient to constrct confusion matrix</t>
        </is>
      </c>
      <c r="H165" s="86" t="inlineStr">
        <is>
          <t>Insufficient to constrct confusion matrix</t>
        </is>
      </c>
      <c r="I165" s="86" t="inlineStr">
        <is>
          <t>Insufficient to constrct confusion matrix</t>
        </is>
      </c>
      <c r="J165" s="86" t="inlineStr">
        <is>
          <t>Insufficient to constrct confusion matrix</t>
        </is>
      </c>
    </row>
    <row r="166">
      <c r="A166" s="86" t="inlineStr">
        <is>
          <t>Diagnostic accuracy and feasibility of artificial intelligence-based diabetic retinopathy screening in primary care settings: a real-world assessment</t>
        </is>
      </c>
      <c r="B166" s="86" t="inlineStr">
        <is>
          <t>Joseph, S.</t>
        </is>
      </c>
      <c r="C166" s="86" t="n">
        <v>2024</v>
      </c>
      <c r="D166" s="86" t="inlineStr">
        <is>
          <t>Included</t>
        </is>
      </c>
      <c r="E166" s="5" t="inlineStr">
        <is>
          <t>Outcome not related to interest</t>
        </is>
      </c>
      <c r="F166" s="5" t="inlineStr">
        <is>
          <t>Outcome not related to interest</t>
        </is>
      </c>
      <c r="G166" s="5" t="inlineStr">
        <is>
          <t>Outcome not related to interest</t>
        </is>
      </c>
      <c r="H166" s="5" t="inlineStr">
        <is>
          <t>Outcome not related to interest</t>
        </is>
      </c>
      <c r="I166" s="86" t="n">
        <v>17</v>
      </c>
      <c r="J166" s="86" t="n">
        <v>145</v>
      </c>
    </row>
    <row r="167">
      <c r="A167" s="86" t="inlineStr">
        <is>
          <t>Evaluation of a novel artificial intelligence (AI) algorithm to screen for retinopathy among diabetics in India</t>
        </is>
      </c>
      <c r="B167" s="86" t="inlineStr">
        <is>
          <t>Doshi, M.</t>
        </is>
      </c>
      <c r="C167" s="86" t="n">
        <v>2024</v>
      </c>
      <c r="D167" s="86" t="inlineStr">
        <is>
          <t>Included</t>
        </is>
      </c>
      <c r="E167" s="5" t="inlineStr">
        <is>
          <t>Outcome not related to interest</t>
        </is>
      </c>
      <c r="F167" s="5" t="inlineStr">
        <is>
          <t>Outcome not related to interest</t>
        </is>
      </c>
      <c r="G167" s="5" t="inlineStr">
        <is>
          <t>Outcome not related to interest</t>
        </is>
      </c>
      <c r="H167" s="5" t="inlineStr">
        <is>
          <t>Outcome not related to interest</t>
        </is>
      </c>
      <c r="I167" s="5" t="inlineStr">
        <is>
          <t>Retrospective study</t>
        </is>
      </c>
      <c r="J167" s="86" t="n">
        <v>146</v>
      </c>
    </row>
    <row r="168">
      <c r="A168" s="86" t="inlineStr">
        <is>
          <t>Validating a Deep Learning based Diabetic Retinopathy Model among Patients with Young-onset diabetes</t>
        </is>
      </c>
      <c r="B168" s="86" t="inlineStr">
        <is>
          <t>Tan-Torres, A.</t>
        </is>
      </c>
      <c r="C168" s="86" t="n">
        <v>2024</v>
      </c>
      <c r="D168" s="86" t="inlineStr">
        <is>
          <t>Included</t>
        </is>
      </c>
      <c r="E168" s="5" t="inlineStr">
        <is>
          <t>Outcome not related to interest</t>
        </is>
      </c>
      <c r="F168" s="5" t="inlineStr">
        <is>
          <t>Outcome not related to interest</t>
        </is>
      </c>
      <c r="G168" s="5" t="inlineStr">
        <is>
          <t>Outcome not related to interest</t>
        </is>
      </c>
      <c r="H168" s="5" t="inlineStr">
        <is>
          <t>Outcome not related to interest</t>
        </is>
      </c>
      <c r="I168" s="86" t="n">
        <v>18</v>
      </c>
      <c r="J168" s="86" t="n">
        <v>147</v>
      </c>
    </row>
    <row r="169">
      <c r="A169" s="86" t="inlineStr">
        <is>
          <t>Real-World Performance of a Deep Learning Diabetic Retinopathy Algorithm</t>
        </is>
      </c>
      <c r="B169" s="86" t="inlineStr">
        <is>
          <t>Kim, R.</t>
        </is>
      </c>
      <c r="C169" s="86" t="n">
        <v>2024</v>
      </c>
      <c r="D169" s="86" t="inlineStr">
        <is>
          <t>Included</t>
        </is>
      </c>
      <c r="E169" s="5" t="inlineStr">
        <is>
          <t>Outcome not related to interest</t>
        </is>
      </c>
      <c r="F169" s="86" t="n">
        <v>19</v>
      </c>
      <c r="G169" s="5" t="inlineStr">
        <is>
          <t>Outcome not related to interest</t>
        </is>
      </c>
      <c r="H169" s="5" t="inlineStr">
        <is>
          <t>Outcome not related to interest</t>
        </is>
      </c>
      <c r="I169" s="5" t="inlineStr">
        <is>
          <t>Retrospective study</t>
        </is>
      </c>
      <c r="J169" s="86" t="n">
        <v>148</v>
      </c>
    </row>
    <row r="170">
      <c r="A170" s="86" t="inlineStr">
        <is>
          <t>An interpretable deep learning model for detection of referable/non-referable diabetic retinopathy: a retrospective, multicenter study</t>
        </is>
      </c>
      <c r="B170" s="86" t="inlineStr">
        <is>
          <t>Hu, X.</t>
        </is>
      </c>
      <c r="C170" s="86" t="n">
        <v>2024</v>
      </c>
      <c r="D170" s="86" t="inlineStr">
        <is>
          <t>Included</t>
        </is>
      </c>
      <c r="E170" s="5" t="inlineStr">
        <is>
          <t>Outcome not related to interest</t>
        </is>
      </c>
      <c r="F170" s="5" t="inlineStr">
        <is>
          <t>Outcome not related to interest</t>
        </is>
      </c>
      <c r="G170" s="5" t="inlineStr">
        <is>
          <t>Outcome not related to interest</t>
        </is>
      </c>
      <c r="H170" s="5" t="inlineStr">
        <is>
          <t>Outcome not related to interest</t>
        </is>
      </c>
      <c r="I170" s="5" t="inlineStr">
        <is>
          <t>Retrospective study</t>
        </is>
      </c>
      <c r="J170" s="86" t="n">
        <v>149</v>
      </c>
    </row>
    <row r="171">
      <c r="A171" s="86" t="inlineStr">
        <is>
          <t>Evaluating Performance of ResNet-50 and RETFound Image Classification Algorithms on Ultra-widefield Fundus Images</t>
        </is>
      </c>
      <c r="B171" s="86" t="inlineStr">
        <is>
          <t>Gadiraju, N.V.</t>
        </is>
      </c>
      <c r="C171" s="86" t="n">
        <v>2024</v>
      </c>
      <c r="D171" s="86" t="inlineStr">
        <is>
          <t>Included</t>
        </is>
      </c>
      <c r="E171" s="5" t="inlineStr">
        <is>
          <t>Outcome not related to interest</t>
        </is>
      </c>
      <c r="F171" s="5" t="inlineStr">
        <is>
          <t>Outcome not related to interest</t>
        </is>
      </c>
      <c r="G171" s="5" t="inlineStr">
        <is>
          <t>Outcome not related to interest</t>
        </is>
      </c>
      <c r="H171" s="5" t="inlineStr">
        <is>
          <t>Outcome not related to interest</t>
        </is>
      </c>
      <c r="I171" s="5" t="inlineStr">
        <is>
          <t>Retrospective study</t>
        </is>
      </c>
      <c r="J171" s="86" t="n">
        <v>150</v>
      </c>
    </row>
    <row r="172">
      <c r="A172" s="86" t="inlineStr">
        <is>
          <t>Evaluation of a deep learning artificial intelligence model in screening children and young people for diabetic retinopathy</t>
        </is>
      </c>
      <c r="B172" s="86" t="inlineStr">
        <is>
          <t>Zheng, F.</t>
        </is>
      </c>
      <c r="C172" s="86" t="n">
        <v>2024</v>
      </c>
      <c r="D172" s="86" t="inlineStr">
        <is>
          <t>Included</t>
        </is>
      </c>
      <c r="E172" s="86" t="inlineStr">
        <is>
          <t>Not adult</t>
        </is>
      </c>
      <c r="F172" s="86" t="inlineStr">
        <is>
          <t>Not adult</t>
        </is>
      </c>
      <c r="G172" s="86" t="inlineStr">
        <is>
          <t>Not adult</t>
        </is>
      </c>
      <c r="H172" s="86" t="inlineStr">
        <is>
          <t>Not adult</t>
        </is>
      </c>
      <c r="I172" s="86" t="inlineStr">
        <is>
          <t>Not adult</t>
        </is>
      </c>
      <c r="J172" s="86" t="inlineStr">
        <is>
          <t>Not adult</t>
        </is>
      </c>
    </row>
    <row r="173">
      <c r="A173" s="86" t="inlineStr">
        <is>
          <t>The Effect of Disease Prevalence on Performance of a Novel Comparative AI for Diabetic Retinopathy</t>
        </is>
      </c>
      <c r="B173" s="86" t="inlineStr">
        <is>
          <t>Burgess, P.</t>
        </is>
      </c>
      <c r="C173" s="86" t="n">
        <v>2024</v>
      </c>
      <c r="D173" s="86" t="inlineStr">
        <is>
          <t>Included</t>
        </is>
      </c>
      <c r="E173" s="5" t="inlineStr">
        <is>
          <t>Outcome not related to interest</t>
        </is>
      </c>
      <c r="F173" s="5" t="inlineStr">
        <is>
          <t>Outcome not related to interest</t>
        </is>
      </c>
      <c r="G173" s="5" t="inlineStr">
        <is>
          <t>Outcome not related to interest</t>
        </is>
      </c>
      <c r="H173" s="5" t="inlineStr">
        <is>
          <t>Outcome not related to interest</t>
        </is>
      </c>
      <c r="I173" s="5" t="inlineStr">
        <is>
          <t>Retrospective study</t>
        </is>
      </c>
      <c r="J173" s="86" t="n">
        <v>151</v>
      </c>
    </row>
    <row r="174">
      <c r="A174" s="86" t="inlineStr">
        <is>
          <t>A Deep Learning System for Predicting the Progression of Diabetic Retinopathy</t>
        </is>
      </c>
      <c r="B174" s="86" t="inlineStr">
        <is>
          <t>Wang, V.</t>
        </is>
      </c>
      <c r="C174" s="86" t="n">
        <v>2024</v>
      </c>
      <c r="D174" s="86" t="inlineStr">
        <is>
          <t>Included</t>
        </is>
      </c>
      <c r="E174" s="5" t="inlineStr">
        <is>
          <t>Outcome not related to interest</t>
        </is>
      </c>
      <c r="F174" s="5" t="inlineStr">
        <is>
          <t>Outcome not related to interest</t>
        </is>
      </c>
      <c r="G174" s="5" t="inlineStr">
        <is>
          <t>Outcome not related to interest</t>
        </is>
      </c>
      <c r="H174" s="5" t="inlineStr">
        <is>
          <t>Outcome not related to interest</t>
        </is>
      </c>
      <c r="I174" s="5" t="inlineStr">
        <is>
          <t>Retrospective study</t>
        </is>
      </c>
      <c r="J174" s="86" t="n">
        <v>152</v>
      </c>
    </row>
    <row r="175">
      <c r="A175" s="86" t="inlineStr">
        <is>
          <t>An Explainable Artificial Intelligence System for Personalized Diabetic Retinopathy (DR) Screening: DR-PREDICT</t>
        </is>
      </c>
      <c r="B175" s="86" t="inlineStr">
        <is>
          <t>Tan, T.F.</t>
        </is>
      </c>
      <c r="C175" s="86" t="n">
        <v>2024</v>
      </c>
      <c r="D175" s="86" t="inlineStr">
        <is>
          <t>Included</t>
        </is>
      </c>
      <c r="E175" s="5" t="inlineStr">
        <is>
          <t>Outcome not related to interest</t>
        </is>
      </c>
      <c r="F175" s="5" t="inlineStr">
        <is>
          <t>Outcome not related to interest</t>
        </is>
      </c>
      <c r="G175" s="5" t="inlineStr">
        <is>
          <t>Outcome not related to interest</t>
        </is>
      </c>
      <c r="H175" s="5" t="inlineStr">
        <is>
          <t>Outcome not related to interest</t>
        </is>
      </c>
      <c r="I175" s="5" t="inlineStr">
        <is>
          <t>Retrospective study</t>
        </is>
      </c>
      <c r="J175" s="86" t="n">
        <v>153</v>
      </c>
    </row>
    <row r="176">
      <c r="A176" s="86" t="inlineStr">
        <is>
          <t>Diabetic retinopathy detection using developed hybrid cascaded multi-scale DCNN with hybrid heuristic strategy</t>
        </is>
      </c>
      <c r="B176" s="86" t="inlineStr">
        <is>
          <t>Ali Tabtaba, A.</t>
        </is>
      </c>
      <c r="C176" s="86" t="n">
        <v>2024</v>
      </c>
      <c r="D176" s="86" t="inlineStr">
        <is>
          <t>Included</t>
        </is>
      </c>
      <c r="E176" s="5" t="inlineStr">
        <is>
          <t>Outcome not related to interest</t>
        </is>
      </c>
      <c r="F176" s="5" t="inlineStr">
        <is>
          <t>Outcome not related to interest</t>
        </is>
      </c>
      <c r="G176" s="5" t="inlineStr">
        <is>
          <t>Outcome not related to interest</t>
        </is>
      </c>
      <c r="H176" s="5" t="inlineStr">
        <is>
          <t>Outcome not related to interest</t>
        </is>
      </c>
      <c r="I176" s="5" t="inlineStr">
        <is>
          <t>Retrospective study</t>
        </is>
      </c>
      <c r="J176" s="86" t="n">
        <v>154</v>
      </c>
    </row>
    <row r="177">
      <c r="A177" s="86" t="inlineStr">
        <is>
          <t>Triplet-branch network with contrastive prior-knowledge embedding for disease grading</t>
        </is>
      </c>
      <c r="B177" s="86" t="inlineStr">
        <is>
          <t>Li, Y.</t>
        </is>
      </c>
      <c r="C177" s="86" t="n">
        <v>2024</v>
      </c>
      <c r="D177" s="86" t="inlineStr">
        <is>
          <t>Included</t>
        </is>
      </c>
      <c r="E177" s="5" t="inlineStr">
        <is>
          <t>Outcome not related to interest</t>
        </is>
      </c>
      <c r="F177" s="5" t="inlineStr">
        <is>
          <t>Outcome not related to interest</t>
        </is>
      </c>
      <c r="G177" s="5" t="inlineStr">
        <is>
          <t>Outcome not related to interest</t>
        </is>
      </c>
      <c r="H177" s="5" t="inlineStr">
        <is>
          <t>Outcome not related to interest</t>
        </is>
      </c>
      <c r="I177" s="5" t="inlineStr">
        <is>
          <t>Retrospective study</t>
        </is>
      </c>
      <c r="J177" s="86" t="n">
        <v>155</v>
      </c>
    </row>
    <row r="178">
      <c r="A178" s="86" t="inlineStr">
        <is>
          <t>An AI-Assisted System for Classification and Triage of Diabetic Retinopathy (DR) by Using Real-World Fundus Images</t>
        </is>
      </c>
      <c r="B178" s="86" t="inlineStr">
        <is>
          <t>Chakor Dj, H.</t>
        </is>
      </c>
      <c r="C178" s="86" t="n">
        <v>2024</v>
      </c>
      <c r="D178" s="86" t="inlineStr">
        <is>
          <t>Included</t>
        </is>
      </c>
      <c r="E178" s="5" t="inlineStr">
        <is>
          <t>Outcome not related to interest</t>
        </is>
      </c>
      <c r="F178" s="5" t="inlineStr">
        <is>
          <t>Outcome not related to interest</t>
        </is>
      </c>
      <c r="G178" s="5" t="inlineStr">
        <is>
          <t>Outcome not related to interest</t>
        </is>
      </c>
      <c r="H178" s="5" t="inlineStr">
        <is>
          <t>Outcome not related to interest</t>
        </is>
      </c>
      <c r="I178" s="5" t="inlineStr">
        <is>
          <t>Retrospective study</t>
        </is>
      </c>
      <c r="J178" s="86" t="n">
        <v>156</v>
      </c>
    </row>
    <row r="179">
      <c r="A179" s="86" t="inlineStr">
        <is>
          <t>Lesion identification in fundus images via convolutional neural network-vision transformer</t>
        </is>
      </c>
      <c r="B179" s="86" t="inlineStr">
        <is>
          <t>Lian, J.</t>
        </is>
      </c>
      <c r="C179" s="86" t="n">
        <v>2024</v>
      </c>
      <c r="D179" s="86" t="inlineStr">
        <is>
          <t>Included</t>
        </is>
      </c>
      <c r="E179" s="5" t="inlineStr">
        <is>
          <t>Outcome not related to interest</t>
        </is>
      </c>
      <c r="F179" s="5" t="inlineStr">
        <is>
          <t>Outcome not related to interest</t>
        </is>
      </c>
      <c r="G179" s="5" t="inlineStr">
        <is>
          <t>Outcome not related to interest</t>
        </is>
      </c>
      <c r="H179" s="5" t="inlineStr">
        <is>
          <t>Outcome not related to interest</t>
        </is>
      </c>
      <c r="I179" s="5" t="inlineStr">
        <is>
          <t>Retrospective study</t>
        </is>
      </c>
      <c r="J179" s="86" t="n">
        <v>157</v>
      </c>
    </row>
    <row r="180">
      <c r="A180" s="86" t="inlineStr">
        <is>
          <t>Automated diagnostic classification of diabetic retinopathy with microvascular structure of fundus images using deep learning method</t>
        </is>
      </c>
      <c r="B180" s="86" t="inlineStr">
        <is>
          <t>Sivapriya, G.</t>
        </is>
      </c>
      <c r="C180" s="86" t="n">
        <v>2024</v>
      </c>
      <c r="D180" s="86" t="inlineStr">
        <is>
          <t>Included</t>
        </is>
      </c>
      <c r="E180" s="5" t="inlineStr">
        <is>
          <t>Outcome not related to interest</t>
        </is>
      </c>
      <c r="F180" s="5" t="inlineStr">
        <is>
          <t>Outcome not related to interest</t>
        </is>
      </c>
      <c r="G180" s="5" t="inlineStr">
        <is>
          <t>Outcome not related to interest</t>
        </is>
      </c>
      <c r="H180" s="5" t="inlineStr">
        <is>
          <t>Outcome not related to interest</t>
        </is>
      </c>
      <c r="I180" s="5" t="inlineStr">
        <is>
          <t>Retrospective study</t>
        </is>
      </c>
      <c r="J180" s="86" t="n">
        <v>158</v>
      </c>
    </row>
    <row r="181">
      <c r="A181" s="86" t="inlineStr">
        <is>
          <t>A refined ResNet18 architecture with Swish activation function for Diabetic Retinopathy classification</t>
        </is>
      </c>
      <c r="B181" s="86" t="inlineStr">
        <is>
          <t>Sunkari, S.</t>
        </is>
      </c>
      <c r="C181" s="86" t="n">
        <v>2024</v>
      </c>
      <c r="D181" s="86" t="inlineStr">
        <is>
          <t>Included</t>
        </is>
      </c>
      <c r="E181" s="5" t="inlineStr">
        <is>
          <t>Outcome not related to interest</t>
        </is>
      </c>
      <c r="F181" s="5" t="inlineStr">
        <is>
          <t>Outcome not related to interest</t>
        </is>
      </c>
      <c r="G181" s="5" t="inlineStr">
        <is>
          <t>Outcome not related to interest</t>
        </is>
      </c>
      <c r="H181" s="5" t="inlineStr">
        <is>
          <t>Outcome not related to interest</t>
        </is>
      </c>
      <c r="I181" s="5" t="inlineStr">
        <is>
          <t>Retrospective study</t>
        </is>
      </c>
      <c r="J181" s="86" t="n">
        <v>159</v>
      </c>
    </row>
    <row r="182">
      <c r="A182" s="86" t="inlineStr">
        <is>
          <t>Improved ResNet_101 assisted attentional global transformer network for automated detection and classification of diabetic retinopathy disease</t>
        </is>
      </c>
      <c r="B182" s="86" t="inlineStr">
        <is>
          <t>Karthika, S.</t>
        </is>
      </c>
      <c r="C182" s="86" t="n">
        <v>2024</v>
      </c>
      <c r="D182" s="86" t="inlineStr">
        <is>
          <t>Included</t>
        </is>
      </c>
      <c r="E182" s="5" t="inlineStr">
        <is>
          <t>Outcome not related to interest</t>
        </is>
      </c>
      <c r="F182" s="5" t="inlineStr">
        <is>
          <t>Outcome not related to interest</t>
        </is>
      </c>
      <c r="G182" s="5" t="inlineStr">
        <is>
          <t>Outcome not related to interest</t>
        </is>
      </c>
      <c r="H182" s="5" t="inlineStr">
        <is>
          <t>Outcome not related to interest</t>
        </is>
      </c>
      <c r="I182" s="5" t="inlineStr">
        <is>
          <t>Retrospective study</t>
        </is>
      </c>
      <c r="J182" s="86" t="n">
        <v>160</v>
      </c>
    </row>
    <row r="183">
      <c r="A183" s="86" t="inlineStr">
        <is>
          <t>DiaNet v2 deep learning based method for diabetes diagnosis using retinal images</t>
        </is>
      </c>
      <c r="B183" s="86" t="inlineStr">
        <is>
          <t>Al-Absi, H.R.H.</t>
        </is>
      </c>
      <c r="C183" s="86" t="n">
        <v>2024</v>
      </c>
      <c r="D183" s="86" t="inlineStr">
        <is>
          <t>Included</t>
        </is>
      </c>
      <c r="E183" s="5" t="inlineStr">
        <is>
          <t>Outcome not related to interest</t>
        </is>
      </c>
      <c r="F183" s="5" t="inlineStr">
        <is>
          <t>Outcome not related to interest</t>
        </is>
      </c>
      <c r="G183" s="5" t="inlineStr">
        <is>
          <t>Outcome not related to interest</t>
        </is>
      </c>
      <c r="H183" s="5" t="inlineStr">
        <is>
          <t>Outcome not related to interest</t>
        </is>
      </c>
      <c r="I183" s="5" t="inlineStr">
        <is>
          <t>Outcome not related to interest</t>
        </is>
      </c>
      <c r="J183" s="5" t="inlineStr">
        <is>
          <t>Outcome not related to interest</t>
        </is>
      </c>
    </row>
    <row r="184">
      <c r="A184" s="86" t="inlineStr">
        <is>
          <t>Exponential gannet firefly optimization algorithm enabled deep learning for diabetic retinopathy detection</t>
        </is>
      </c>
      <c r="B184" s="86" t="inlineStr">
        <is>
          <t>Prabhakar, T.</t>
        </is>
      </c>
      <c r="C184" s="86" t="n">
        <v>2024</v>
      </c>
      <c r="D184" s="86" t="inlineStr">
        <is>
          <t>Included</t>
        </is>
      </c>
      <c r="E184" s="5" t="inlineStr">
        <is>
          <t>Outcome not related to interest</t>
        </is>
      </c>
      <c r="F184" s="5" t="inlineStr">
        <is>
          <t>Outcome not related to interest</t>
        </is>
      </c>
      <c r="G184" s="5" t="inlineStr">
        <is>
          <t>Outcome not related to interest</t>
        </is>
      </c>
      <c r="H184" s="5" t="inlineStr">
        <is>
          <t>Outcome not related to interest</t>
        </is>
      </c>
      <c r="I184" s="5" t="inlineStr">
        <is>
          <t>Retrospective study</t>
        </is>
      </c>
      <c r="J184" s="86" t="n">
        <v>161</v>
      </c>
    </row>
    <row r="185">
      <c r="A185" s="86" t="inlineStr">
        <is>
          <t>Diabetic eye disease in computerised tomography of feature extraction and classification in hybrid neural network</t>
        </is>
      </c>
      <c r="B185" s="86" t="inlineStr">
        <is>
          <t>Vespa, M.</t>
        </is>
      </c>
      <c r="C185" s="86" t="n">
        <v>2024</v>
      </c>
      <c r="D185" s="86" t="inlineStr">
        <is>
          <t>Included</t>
        </is>
      </c>
      <c r="E185" s="86" t="inlineStr">
        <is>
          <t>Not fundus image</t>
        </is>
      </c>
      <c r="F185" s="86" t="inlineStr">
        <is>
          <t>Not fundus image</t>
        </is>
      </c>
      <c r="G185" s="86" t="inlineStr">
        <is>
          <t>Not fundus image</t>
        </is>
      </c>
      <c r="H185" s="86" t="inlineStr">
        <is>
          <t>Not fundus image</t>
        </is>
      </c>
      <c r="I185" s="86" t="inlineStr">
        <is>
          <t>Not fundus image</t>
        </is>
      </c>
      <c r="J185" s="86" t="inlineStr">
        <is>
          <t>Not fundus image</t>
        </is>
      </c>
    </row>
    <row r="186">
      <c r="A186" s="86" t="inlineStr">
        <is>
          <t>Diabetic retinopathy detection using convolutional neural network with residual blocks</t>
        </is>
      </c>
      <c r="B186" s="86" t="inlineStr">
        <is>
          <t>Kommaraju, R.</t>
        </is>
      </c>
      <c r="C186" s="86" t="n">
        <v>2024</v>
      </c>
      <c r="D186" s="86" t="inlineStr">
        <is>
          <t>Included</t>
        </is>
      </c>
      <c r="E186" s="5" t="inlineStr">
        <is>
          <t>Outcome not related to interest</t>
        </is>
      </c>
      <c r="F186" s="5" t="inlineStr">
        <is>
          <t>Outcome not related to interest</t>
        </is>
      </c>
      <c r="G186" s="5" t="inlineStr">
        <is>
          <t>Outcome not related to interest</t>
        </is>
      </c>
      <c r="H186" s="5" t="inlineStr">
        <is>
          <t>Outcome not related to interest</t>
        </is>
      </c>
      <c r="I186" s="5" t="inlineStr">
        <is>
          <t>Retrospective study</t>
        </is>
      </c>
      <c r="J186" s="86" t="n">
        <v>162</v>
      </c>
    </row>
    <row r="187">
      <c r="A187" s="86" t="inlineStr">
        <is>
          <t>Predicting diabetic retinopathy stage using Siamese Convolutional Neural Network</t>
        </is>
      </c>
      <c r="B187" s="86" t="inlineStr">
        <is>
          <t>Santos, M.S.</t>
        </is>
      </c>
      <c r="C187" s="86" t="n">
        <v>2024</v>
      </c>
      <c r="D187" s="86" t="inlineStr">
        <is>
          <t>Included</t>
        </is>
      </c>
      <c r="E187" s="5" t="inlineStr">
        <is>
          <t>Outcome not related to interest</t>
        </is>
      </c>
      <c r="F187" s="5" t="inlineStr">
        <is>
          <t>Outcome not related to interest</t>
        </is>
      </c>
      <c r="G187" s="5" t="inlineStr">
        <is>
          <t>Outcome not related to interest</t>
        </is>
      </c>
      <c r="H187" s="5" t="inlineStr">
        <is>
          <t>Outcome not related to interest</t>
        </is>
      </c>
      <c r="I187" s="5" t="inlineStr">
        <is>
          <t>Retrospective study</t>
        </is>
      </c>
      <c r="J187" s="86" t="n">
        <v>163</v>
      </c>
    </row>
    <row r="188">
      <c r="A188" s="86" t="inlineStr">
        <is>
          <t>Deep learning-based CNN for multiclassification of ocular diseases using transfer learning</t>
        </is>
      </c>
      <c r="B188" s="86" t="inlineStr">
        <is>
          <t>Deepak, G.D.</t>
        </is>
      </c>
      <c r="C188" s="86" t="n">
        <v>2024</v>
      </c>
      <c r="D188" s="86" t="inlineStr">
        <is>
          <t>Included</t>
        </is>
      </c>
      <c r="E188" s="5" t="inlineStr">
        <is>
          <t>Outcome not related to interest</t>
        </is>
      </c>
      <c r="F188" s="5" t="inlineStr">
        <is>
          <t>Outcome not related to interest</t>
        </is>
      </c>
      <c r="G188" s="5" t="inlineStr">
        <is>
          <t>Outcome not related to interest</t>
        </is>
      </c>
      <c r="H188" s="5" t="inlineStr">
        <is>
          <t>Outcome not related to interest</t>
        </is>
      </c>
      <c r="I188" s="5" t="inlineStr">
        <is>
          <t>Outcome not related to interest</t>
        </is>
      </c>
      <c r="J188" s="5" t="inlineStr">
        <is>
          <t>Outcome not related to interest</t>
        </is>
      </c>
    </row>
    <row r="189">
      <c r="A189" s="86" t="inlineStr">
        <is>
          <t>An Enhancing Diabetic Retinopathy Classification and Segmentation based on TaNet</t>
        </is>
      </c>
      <c r="B189" s="86" t="inlineStr">
        <is>
          <t>Vani, K.S.</t>
        </is>
      </c>
      <c r="C189" s="86" t="n">
        <v>2024</v>
      </c>
      <c r="D189" s="86" t="inlineStr">
        <is>
          <t>Included</t>
        </is>
      </c>
      <c r="E189" s="5" t="inlineStr">
        <is>
          <t>Outcome not related to interest</t>
        </is>
      </c>
      <c r="F189" s="5" t="inlineStr">
        <is>
          <t>Outcome not related to interest</t>
        </is>
      </c>
      <c r="G189" s="5" t="inlineStr">
        <is>
          <t>Outcome not related to interest</t>
        </is>
      </c>
      <c r="H189" s="5" t="inlineStr">
        <is>
          <t>Outcome not related to interest</t>
        </is>
      </c>
      <c r="I189" s="5" t="inlineStr">
        <is>
          <t>Retrospective study</t>
        </is>
      </c>
      <c r="J189" s="86" t="n">
        <v>164</v>
      </c>
    </row>
    <row r="190">
      <c r="A190" s="86" t="inlineStr">
        <is>
          <t>Cross-modality transfer learning with knowledge infusion for diabaetic retinopathy grading</t>
        </is>
      </c>
      <c r="B190" s="86" t="inlineStr">
        <is>
          <t>Chen, T.</t>
        </is>
      </c>
      <c r="C190" s="86" t="n">
        <v>2024</v>
      </c>
      <c r="D190" s="86" t="inlineStr">
        <is>
          <t>Included</t>
        </is>
      </c>
      <c r="E190" s="5" t="inlineStr">
        <is>
          <t>Outcome not related to interest</t>
        </is>
      </c>
      <c r="F190" s="5" t="inlineStr">
        <is>
          <t>Outcome not related to interest</t>
        </is>
      </c>
      <c r="G190" s="5" t="inlineStr">
        <is>
          <t>Outcome not related to interest</t>
        </is>
      </c>
      <c r="H190" s="5" t="inlineStr">
        <is>
          <t>Outcome not related to interest</t>
        </is>
      </c>
      <c r="I190" s="5" t="inlineStr">
        <is>
          <t>Retrospective study</t>
        </is>
      </c>
      <c r="J190" s="86" t="n">
        <v>165</v>
      </c>
    </row>
    <row r="191">
      <c r="A191" s="86" t="inlineStr">
        <is>
          <t>Detection and Classification of Diabetic Retinopathy Using Inception V3 and Xception Architectures</t>
        </is>
      </c>
      <c r="B191" s="86" t="inlineStr">
        <is>
          <t>Sathiya, V.</t>
        </is>
      </c>
      <c r="C191" s="86" t="n">
        <v>2024</v>
      </c>
      <c r="D191" s="86" t="inlineStr">
        <is>
          <t>Included</t>
        </is>
      </c>
      <c r="E191" s="5" t="inlineStr">
        <is>
          <t>Outcome not related to interest</t>
        </is>
      </c>
      <c r="F191" s="5" t="inlineStr">
        <is>
          <t>Outcome not related to interest</t>
        </is>
      </c>
      <c r="G191" s="5" t="inlineStr">
        <is>
          <t>Outcome not related to interest</t>
        </is>
      </c>
      <c r="H191" s="5" t="inlineStr">
        <is>
          <t>Outcome not related to interest</t>
        </is>
      </c>
      <c r="I191" s="5" t="inlineStr">
        <is>
          <t>Retrospective study</t>
        </is>
      </c>
      <c r="J191" s="86" t="n">
        <v>166</v>
      </c>
    </row>
    <row r="192">
      <c r="A192" s="86" t="inlineStr">
        <is>
          <t>An eccentric Iter Netbased Improved Intelligent Water Drop (I2WD) feature selection and Discriminated Multi-Instance Classification (DMIC) models for diabetic retinopathy detection</t>
        </is>
      </c>
      <c r="B192" s="86" t="inlineStr">
        <is>
          <t>Rathinam, V.</t>
        </is>
      </c>
      <c r="C192" s="86" t="n">
        <v>2024</v>
      </c>
      <c r="D192" s="86" t="inlineStr">
        <is>
          <t>Included</t>
        </is>
      </c>
      <c r="E192" s="5" t="inlineStr">
        <is>
          <t>Outcome not related to interest</t>
        </is>
      </c>
      <c r="F192" s="5" t="inlineStr">
        <is>
          <t>Outcome not related to interest</t>
        </is>
      </c>
      <c r="G192" s="5" t="inlineStr">
        <is>
          <t>Outcome not related to interest</t>
        </is>
      </c>
      <c r="H192" s="5" t="inlineStr">
        <is>
          <t>Outcome not related to interest</t>
        </is>
      </c>
      <c r="I192" s="5" t="inlineStr">
        <is>
          <t>Retrospective study</t>
        </is>
      </c>
      <c r="J192" s="86" t="n">
        <v>167</v>
      </c>
    </row>
    <row r="193">
      <c r="A193" s="86" t="inlineStr">
        <is>
          <t>Optimizing Diabetic Retinopathy Detection and Leveraging Advanced Image Quality Enhancement Using Customised light weight Convolutional Neural Network Algorithm</t>
        </is>
      </c>
      <c r="B193" s="86" t="inlineStr">
        <is>
          <t>Srinivasulu, D.</t>
        </is>
      </c>
      <c r="C193" s="86" t="n">
        <v>2024</v>
      </c>
      <c r="D193" s="86" t="inlineStr">
        <is>
          <t>Included</t>
        </is>
      </c>
      <c r="E193" s="5" t="inlineStr">
        <is>
          <t>Outcome not related to interest</t>
        </is>
      </c>
      <c r="F193" s="5" t="inlineStr">
        <is>
          <t>Outcome not related to interest</t>
        </is>
      </c>
      <c r="G193" s="5" t="inlineStr">
        <is>
          <t>Outcome not related to interest</t>
        </is>
      </c>
      <c r="H193" s="5" t="inlineStr">
        <is>
          <t>Outcome not related to interest</t>
        </is>
      </c>
      <c r="I193" s="5" t="inlineStr">
        <is>
          <t>Retrospective study</t>
        </is>
      </c>
      <c r="J193" s="86" t="n">
        <v>168</v>
      </c>
    </row>
    <row r="194">
      <c r="A194" s="86" t="inlineStr">
        <is>
          <t>Enhancing the ophthalmic AI assessment with a fundus image quality classifier using local and global attention mechanisms</t>
        </is>
      </c>
      <c r="B194" s="86" t="inlineStr">
        <is>
          <t>Wang, S.</t>
        </is>
      </c>
      <c r="C194" s="86" t="n">
        <v>2024</v>
      </c>
      <c r="D194" s="86" t="inlineStr">
        <is>
          <t>Included</t>
        </is>
      </c>
      <c r="E194" s="86" t="inlineStr">
        <is>
          <t>Insufficient to constrct confusion matrix</t>
        </is>
      </c>
      <c r="F194" s="86" t="inlineStr">
        <is>
          <t>Insufficient to constrct confusion matrix</t>
        </is>
      </c>
      <c r="G194" s="86" t="inlineStr">
        <is>
          <t>Insufficient to constrct confusion matrix</t>
        </is>
      </c>
      <c r="H194" s="86" t="inlineStr">
        <is>
          <t>Insufficient to constrct confusion matrix</t>
        </is>
      </c>
      <c r="I194" s="86" t="inlineStr">
        <is>
          <t>Insufficient to constrct confusion matrix</t>
        </is>
      </c>
      <c r="J194" s="86" t="inlineStr">
        <is>
          <t>Insufficient to constrct confusion matrix</t>
        </is>
      </c>
    </row>
    <row r="195">
      <c r="A195" s="86" t="inlineStr">
        <is>
          <t>Diagnosis of diabetic retinopathy by artificial intelligence using smartphone</t>
        </is>
      </c>
      <c r="B195" s="86" t="inlineStr">
        <is>
          <t>Oliveira, L.E.S.D.</t>
        </is>
      </c>
      <c r="C195" s="86" t="n">
        <v>2024</v>
      </c>
      <c r="D195" s="86" t="inlineStr">
        <is>
          <t>Included</t>
        </is>
      </c>
      <c r="E195" s="5" t="inlineStr">
        <is>
          <t>Outcome not related to interest</t>
        </is>
      </c>
      <c r="F195" s="5" t="inlineStr">
        <is>
          <t>Outcome not related to interest</t>
        </is>
      </c>
      <c r="G195" s="5" t="inlineStr">
        <is>
          <t>Outcome not related to interest</t>
        </is>
      </c>
      <c r="H195" s="5" t="inlineStr">
        <is>
          <t>Outcome not related to interest</t>
        </is>
      </c>
      <c r="I195" s="5" t="inlineStr">
        <is>
          <t>Retrospective study</t>
        </is>
      </c>
      <c r="J195" s="86" t="n">
        <v>169</v>
      </c>
    </row>
    <row r="196">
      <c r="A196" s="86" t="inlineStr">
        <is>
          <t>Deciphering the impact of diversity in CNN-based ensembles on overcoming data imbalance and scarcity in medical datasets: A case study on diabetic retinopathy</t>
        </is>
      </c>
      <c r="B196" s="86" t="inlineStr">
        <is>
          <t xml:space="preserve">Inamullah, </t>
        </is>
      </c>
      <c r="C196" s="86" t="n">
        <v>2024</v>
      </c>
      <c r="D196" s="86" t="inlineStr">
        <is>
          <t>Included</t>
        </is>
      </c>
      <c r="E196" s="5" t="inlineStr">
        <is>
          <t>Outcome not related to interest</t>
        </is>
      </c>
      <c r="F196" s="5" t="inlineStr">
        <is>
          <t>Outcome not related to interest</t>
        </is>
      </c>
      <c r="G196" s="5" t="inlineStr">
        <is>
          <t>Outcome not related to interest</t>
        </is>
      </c>
      <c r="H196" s="5" t="inlineStr">
        <is>
          <t>Outcome not related to interest</t>
        </is>
      </c>
      <c r="I196" s="5" t="inlineStr">
        <is>
          <t>Retrospective study</t>
        </is>
      </c>
      <c r="J196" s="86" t="n">
        <v>170</v>
      </c>
    </row>
    <row r="197">
      <c r="A197" s="86" t="inlineStr">
        <is>
          <t>Advancements in Diabetic Retinopathy Detection: Analyzing the Efficacy of Supervised Learning Algorithms</t>
        </is>
      </c>
      <c r="B197" s="86" t="inlineStr">
        <is>
          <t>Agrawal, B.</t>
        </is>
      </c>
      <c r="C197" s="86" t="n">
        <v>2024</v>
      </c>
      <c r="D197" s="86" t="inlineStr">
        <is>
          <t>Included</t>
        </is>
      </c>
      <c r="E197" s="5" t="inlineStr">
        <is>
          <t>Outcome not related to interest</t>
        </is>
      </c>
      <c r="F197" s="5" t="inlineStr">
        <is>
          <t>Outcome not related to interest</t>
        </is>
      </c>
      <c r="G197" s="5" t="inlineStr">
        <is>
          <t>Outcome not related to interest</t>
        </is>
      </c>
      <c r="H197" s="5" t="inlineStr">
        <is>
          <t>Outcome not related to interest</t>
        </is>
      </c>
      <c r="I197" s="5" t="inlineStr">
        <is>
          <t>Retrospective study</t>
        </is>
      </c>
      <c r="J197" s="86" t="n">
        <v>171</v>
      </c>
    </row>
    <row r="198">
      <c r="A198" s="86" t="inlineStr">
        <is>
          <t>Role of artificial intelligence-enabled hand-held fundus camera for community-based diabetic retinopathy screening</t>
        </is>
      </c>
      <c r="B198" s="86" t="inlineStr">
        <is>
          <t>Sharma, V.K.</t>
        </is>
      </c>
      <c r="C198" s="86" t="n">
        <v>2024</v>
      </c>
      <c r="D198" s="86" t="inlineStr">
        <is>
          <t>Included</t>
        </is>
      </c>
      <c r="E198" s="5" t="inlineStr">
        <is>
          <t>Outcome not related to interest</t>
        </is>
      </c>
      <c r="F198" s="5" t="inlineStr">
        <is>
          <t>Outcome not related to interest</t>
        </is>
      </c>
      <c r="G198" s="5" t="inlineStr">
        <is>
          <t>Outcome not related to interest</t>
        </is>
      </c>
      <c r="H198" s="5" t="inlineStr">
        <is>
          <t>Outcome not related to interest</t>
        </is>
      </c>
      <c r="I198" s="86" t="n">
        <v>19</v>
      </c>
      <c r="J198" s="86" t="n">
        <v>172</v>
      </c>
    </row>
    <row r="199">
      <c r="A199" s="86" t="inlineStr">
        <is>
          <t>A multi-centre prospective evaluation of THEIA to detect diabetic retinopathy (DR) and diabetic macular oedema (DMO) in the New Zealand screening program.</t>
        </is>
      </c>
      <c r="B199" s="86" t="inlineStr">
        <is>
          <t>Vaghefi, Ehsan</t>
        </is>
      </c>
      <c r="C199" s="86" t="n">
        <v>2023</v>
      </c>
      <c r="D199" s="86" t="inlineStr">
        <is>
          <t>Included</t>
        </is>
      </c>
      <c r="E199" s="5" t="inlineStr">
        <is>
          <t>Outcome not related to interest</t>
        </is>
      </c>
      <c r="F199" s="5" t="inlineStr">
        <is>
          <t>Outcome not related to interest</t>
        </is>
      </c>
      <c r="G199" s="5" t="inlineStr">
        <is>
          <t>Outcome not related to interest</t>
        </is>
      </c>
      <c r="H199" s="5" t="inlineStr">
        <is>
          <t>Outcome not related to interest</t>
        </is>
      </c>
      <c r="I199" s="86" t="n">
        <v>20</v>
      </c>
      <c r="J199" s="86" t="n">
        <v>173</v>
      </c>
    </row>
    <row r="200">
      <c r="A200" s="86" t="inlineStr">
        <is>
          <t>Deep Learning for the Detection of Multiple Fundus Diseases Using Ultra-widefield Images.</t>
        </is>
      </c>
      <c r="B200" s="86" t="inlineStr">
        <is>
          <t>Sun, Gongpeng</t>
        </is>
      </c>
      <c r="C200" s="86" t="n">
        <v>2023</v>
      </c>
      <c r="D200" s="86" t="inlineStr">
        <is>
          <t>Included</t>
        </is>
      </c>
      <c r="E200" s="5" t="inlineStr">
        <is>
          <t>Outcome not related to interest</t>
        </is>
      </c>
      <c r="F200" s="5" t="inlineStr">
        <is>
          <t>Outcome not related to interest</t>
        </is>
      </c>
      <c r="G200" s="5" t="inlineStr">
        <is>
          <t>Outcome not related to interest</t>
        </is>
      </c>
      <c r="H200" s="86" t="n">
        <v>9</v>
      </c>
      <c r="I200" s="5" t="inlineStr">
        <is>
          <t>Retrospective study</t>
        </is>
      </c>
      <c r="J200" s="86" t="n">
        <v>174</v>
      </c>
    </row>
    <row r="201">
      <c r="A201" s="86" t="inlineStr">
        <is>
          <t>Triple-DRNet: A triple-cascade convolution neural network for diabetic retinopathy grading using fundus images.</t>
        </is>
      </c>
      <c r="B201" s="86" t="inlineStr">
        <is>
          <t>Jian, Muwei</t>
        </is>
      </c>
      <c r="C201" s="86" t="n">
        <v>2023</v>
      </c>
      <c r="D201" s="86" t="inlineStr">
        <is>
          <t>Included</t>
        </is>
      </c>
      <c r="E201" s="5" t="inlineStr">
        <is>
          <t>Outcome not related to interest</t>
        </is>
      </c>
      <c r="F201" s="5" t="inlineStr">
        <is>
          <t>Outcome not related to interest</t>
        </is>
      </c>
      <c r="G201" s="5" t="inlineStr">
        <is>
          <t>Outcome not related to interest</t>
        </is>
      </c>
      <c r="H201" s="5" t="inlineStr">
        <is>
          <t>Outcome not related to interest</t>
        </is>
      </c>
      <c r="I201" s="5" t="inlineStr">
        <is>
          <t>Retrospective study</t>
        </is>
      </c>
      <c r="J201" s="86" t="n">
        <v>175</v>
      </c>
    </row>
    <row r="202">
      <c r="A202" s="86" t="inlineStr">
        <is>
          <t>A Prospective Study on Diabetic Retinopathy Detection Based on Modify Convolutional Neural Network Using Fundus Images at Sindh Institute of Ophthalmology &amp; Visual Sciences.</t>
        </is>
      </c>
      <c r="B202" s="86" t="inlineStr">
        <is>
          <t>Bajwa, Awais</t>
        </is>
      </c>
      <c r="C202" s="86" t="n">
        <v>2023</v>
      </c>
      <c r="D202" s="86" t="inlineStr">
        <is>
          <t>Included</t>
        </is>
      </c>
      <c r="E202" s="5" t="inlineStr">
        <is>
          <t>Outcome not related to interest</t>
        </is>
      </c>
      <c r="F202" s="5" t="inlineStr">
        <is>
          <t>Outcome not related to interest</t>
        </is>
      </c>
      <c r="G202" s="5" t="inlineStr">
        <is>
          <t>Outcome not related to interest</t>
        </is>
      </c>
      <c r="H202" s="5" t="inlineStr">
        <is>
          <t>Outcome not related to interest</t>
        </is>
      </c>
      <c r="I202" s="86" t="n">
        <v>21</v>
      </c>
      <c r="J202" s="86" t="n">
        <v>176</v>
      </c>
    </row>
    <row r="203">
      <c r="A203" s="18" t="inlineStr">
        <is>
          <t>Convolutional Neural Networks Accurately Identify Ungradable Images in a Diabetic Retinopathy Telemedicine Screening Program.</t>
        </is>
      </c>
      <c r="B203" s="86" t="inlineStr">
        <is>
          <t>Bryan, John M</t>
        </is>
      </c>
      <c r="C203" s="86" t="n">
        <v>2023</v>
      </c>
      <c r="D203" s="86" t="inlineStr">
        <is>
          <t>Included</t>
        </is>
      </c>
      <c r="E203" s="86" t="inlineStr">
        <is>
          <t>Insufficient to constrct confusion matrix</t>
        </is>
      </c>
      <c r="F203" s="86" t="inlineStr">
        <is>
          <t>Insufficient to constrct confusion matrix</t>
        </is>
      </c>
      <c r="G203" s="86" t="inlineStr">
        <is>
          <t>Insufficient to constrct confusion matrix</t>
        </is>
      </c>
      <c r="H203" s="86" t="inlineStr">
        <is>
          <t>Insufficient to constrct confusion matrix</t>
        </is>
      </c>
      <c r="I203" s="86" t="inlineStr">
        <is>
          <t>Insufficient to constrct confusion matrix</t>
        </is>
      </c>
      <c r="J203" s="86" t="inlineStr">
        <is>
          <t>Insufficient to constrct confusion matrix</t>
        </is>
      </c>
    </row>
    <row r="204">
      <c r="A204" s="86" t="inlineStr">
        <is>
          <t>Performance of an artificial intelligence automated system for diabetic eye screening in a large English population.</t>
        </is>
      </c>
      <c r="B204" s="86" t="inlineStr">
        <is>
          <t>Meredith, Sarah</t>
        </is>
      </c>
      <c r="C204" s="86" t="n">
        <v>2023</v>
      </c>
      <c r="D204" s="86" t="inlineStr">
        <is>
          <t>Included</t>
        </is>
      </c>
      <c r="E204" s="5" t="inlineStr">
        <is>
          <t>Outcome not related to interest</t>
        </is>
      </c>
      <c r="F204" s="86" t="n">
        <v>21</v>
      </c>
      <c r="G204" s="5" t="inlineStr">
        <is>
          <t>Outcome not related to interest</t>
        </is>
      </c>
      <c r="H204" s="5" t="inlineStr">
        <is>
          <t>Outcome not related to interest</t>
        </is>
      </c>
      <c r="I204" s="5" t="inlineStr">
        <is>
          <t>Retrospective study</t>
        </is>
      </c>
      <c r="J204" s="86" t="n">
        <v>177</v>
      </c>
    </row>
    <row r="205">
      <c r="A205" s="86" t="inlineStr">
        <is>
          <t>Using deep learning to detect diabetic retinopathy on handheld non-mydriatic retinal images acquired by field workers in community settings.</t>
        </is>
      </c>
      <c r="B205" s="86" t="inlineStr">
        <is>
          <t>Nunez do Rio, Joan M</t>
        </is>
      </c>
      <c r="C205" s="86" t="n">
        <v>2023</v>
      </c>
      <c r="D205" s="86" t="inlineStr">
        <is>
          <t>Included</t>
        </is>
      </c>
      <c r="E205" s="5" t="inlineStr">
        <is>
          <t>Outcome not related to interest</t>
        </is>
      </c>
      <c r="F205" s="5" t="inlineStr">
        <is>
          <t>Outcome not related to interest</t>
        </is>
      </c>
      <c r="G205" s="5" t="inlineStr">
        <is>
          <t>Outcome not related to interest</t>
        </is>
      </c>
      <c r="H205" s="86" t="n">
        <v>10</v>
      </c>
      <c r="I205" s="86" t="n">
        <v>22</v>
      </c>
      <c r="J205" s="86" t="n">
        <v>178</v>
      </c>
    </row>
    <row r="206">
      <c r="A206" s="86" t="inlineStr">
        <is>
          <t>Classification of Diabetic Retinopathy Severity in Fundus Images Using the Vision Transformer and Residual Attention.</t>
        </is>
      </c>
      <c r="B206" s="86" t="inlineStr">
        <is>
          <t>Gu, Zongyun</t>
        </is>
      </c>
      <c r="C206" s="86" t="n">
        <v>2023</v>
      </c>
      <c r="D206" s="86" t="inlineStr">
        <is>
          <t>Included</t>
        </is>
      </c>
      <c r="E206" s="5" t="inlineStr">
        <is>
          <t>Outcome not related to interest</t>
        </is>
      </c>
      <c r="F206" s="5" t="inlineStr">
        <is>
          <t>Outcome not related to interest</t>
        </is>
      </c>
      <c r="G206" s="5" t="inlineStr">
        <is>
          <t>Outcome not related to interest</t>
        </is>
      </c>
      <c r="H206" s="5" t="inlineStr">
        <is>
          <t>Outcome not related to interest</t>
        </is>
      </c>
      <c r="I206" s="5" t="inlineStr">
        <is>
          <t>Retrospective study</t>
        </is>
      </c>
      <c r="J206" s="86" t="n">
        <v>179</v>
      </c>
    </row>
    <row r="207">
      <c r="A207" s="86" t="inlineStr">
        <is>
          <t>An interpretable and interactive deep learning algorithm for a clinically applicable retinal fundus diagnosis system by modelling finding-disease relationship.</t>
        </is>
      </c>
      <c r="B207" s="86" t="inlineStr">
        <is>
          <t>Son, Jaemin</t>
        </is>
      </c>
      <c r="C207" s="86" t="n">
        <v>2023</v>
      </c>
      <c r="D207" s="86" t="inlineStr">
        <is>
          <t>Included</t>
        </is>
      </c>
      <c r="E207" s="86" t="inlineStr">
        <is>
          <t>Insufficient to constrct confusion matrix</t>
        </is>
      </c>
      <c r="F207" s="86" t="inlineStr">
        <is>
          <t>Insufficient to constrct confusion matrix</t>
        </is>
      </c>
      <c r="G207" s="86" t="inlineStr">
        <is>
          <t>Insufficient to constrct confusion matrix</t>
        </is>
      </c>
      <c r="H207" s="86" t="inlineStr">
        <is>
          <t>Insufficient to constrct confusion matrix</t>
        </is>
      </c>
      <c r="I207" s="86" t="inlineStr">
        <is>
          <t>Insufficient to constrct confusion matrix</t>
        </is>
      </c>
      <c r="J207" s="86" t="inlineStr">
        <is>
          <t>Insufficient to constrct confusion matrix</t>
        </is>
      </c>
    </row>
    <row r="208">
      <c r="A208" s="86" t="inlineStr">
        <is>
          <t>Performance analysis of pretrained convolutional neural network models for ophthalmological disease classification.</t>
        </is>
      </c>
      <c r="B208" s="86" t="inlineStr">
        <is>
          <t>Emir, Busra</t>
        </is>
      </c>
      <c r="C208" s="86" t="n">
        <v>2023</v>
      </c>
      <c r="D208" s="86" t="inlineStr">
        <is>
          <t>Included</t>
        </is>
      </c>
      <c r="E208" s="5" t="inlineStr">
        <is>
          <t>Outcome not related to interest</t>
        </is>
      </c>
      <c r="F208" s="5" t="inlineStr">
        <is>
          <t>Outcome not related to interest</t>
        </is>
      </c>
      <c r="G208" s="5" t="inlineStr">
        <is>
          <t>Outcome not related to interest</t>
        </is>
      </c>
      <c r="H208" s="5" t="inlineStr">
        <is>
          <t>Outcome not related to interest</t>
        </is>
      </c>
      <c r="I208" s="5" t="inlineStr">
        <is>
          <t>Retrospective study</t>
        </is>
      </c>
      <c r="J208" s="86" t="n">
        <v>180</v>
      </c>
    </row>
    <row r="209">
      <c r="A209" s="86" t="inlineStr">
        <is>
          <t>Diabetic Retinopathy Prediction Based on Wavelet Decomposition and Modified Capsule Network.</t>
        </is>
      </c>
      <c r="B209" s="86" t="inlineStr">
        <is>
          <t>Oulhadj, Mohammed</t>
        </is>
      </c>
      <c r="C209" s="86" t="n">
        <v>2023</v>
      </c>
      <c r="D209" s="86" t="inlineStr">
        <is>
          <t>Included</t>
        </is>
      </c>
      <c r="E209" s="5" t="inlineStr">
        <is>
          <t>Outcome not related to interest</t>
        </is>
      </c>
      <c r="F209" s="5" t="inlineStr">
        <is>
          <t>Outcome not related to interest</t>
        </is>
      </c>
      <c r="G209" s="5" t="inlineStr">
        <is>
          <t>Outcome not related to interest</t>
        </is>
      </c>
      <c r="H209" s="5" t="inlineStr">
        <is>
          <t>Outcome not related to interest</t>
        </is>
      </c>
      <c r="I209" s="5" t="inlineStr">
        <is>
          <t>Retrospective study</t>
        </is>
      </c>
      <c r="J209" s="86" t="n">
        <v>181</v>
      </c>
    </row>
    <row r="210">
      <c r="A210" s="86" t="inlineStr">
        <is>
          <t>A new ultra-wide-field fundus dataset to diabetic retinopathy grading using hybrid preprocessing methods.</t>
        </is>
      </c>
      <c r="B210" s="86" t="inlineStr">
        <is>
          <t>Liu, Haomiao</t>
        </is>
      </c>
      <c r="C210" s="86" t="n">
        <v>2023</v>
      </c>
      <c r="D210" s="86" t="inlineStr">
        <is>
          <t>Included</t>
        </is>
      </c>
      <c r="E210" s="5" t="inlineStr">
        <is>
          <t>Outcome not related to interest</t>
        </is>
      </c>
      <c r="F210" s="5" t="inlineStr">
        <is>
          <t>Outcome not related to interest</t>
        </is>
      </c>
      <c r="G210" s="5" t="inlineStr">
        <is>
          <t>Outcome not related to interest</t>
        </is>
      </c>
      <c r="H210" s="5" t="inlineStr">
        <is>
          <t>Outcome not related to interest</t>
        </is>
      </c>
      <c r="I210" s="5" t="inlineStr">
        <is>
          <t>Retrospective study</t>
        </is>
      </c>
      <c r="J210" s="86" t="n">
        <v>182</v>
      </c>
    </row>
    <row r="211">
      <c r="A211" s="86" t="inlineStr">
        <is>
          <t>Performance of Automated Machine Learning for Diabetic Retinopathy Image Classification from Multi-field Handheld Retinal Images.</t>
        </is>
      </c>
      <c r="B211" s="86" t="inlineStr">
        <is>
          <t>Jacoba, Cris Martin P</t>
        </is>
      </c>
      <c r="C211" s="86" t="n">
        <v>2023</v>
      </c>
      <c r="D211" s="86" t="inlineStr">
        <is>
          <t>Included</t>
        </is>
      </c>
      <c r="E211" s="5" t="inlineStr">
        <is>
          <t>Outcome not related to interest</t>
        </is>
      </c>
      <c r="F211" s="5" t="inlineStr">
        <is>
          <t>Outcome not related to interest</t>
        </is>
      </c>
      <c r="G211" s="5" t="inlineStr">
        <is>
          <t>Outcome not related to interest</t>
        </is>
      </c>
      <c r="H211" s="5" t="inlineStr">
        <is>
          <t>Outcome not related to interest</t>
        </is>
      </c>
      <c r="I211" s="86" t="n">
        <v>23</v>
      </c>
      <c r="J211" s="86" t="n">
        <v>183</v>
      </c>
    </row>
    <row r="212">
      <c r="A212" s="86" t="inlineStr">
        <is>
          <t>Diabetic Retinopathy and Diabetic Macular Edema Detection Using Ensemble Based Convolutional Neural Networks.</t>
        </is>
      </c>
      <c r="B212" s="86" t="inlineStr">
        <is>
          <t>Sundaram, Swaminathan</t>
        </is>
      </c>
      <c r="C212" s="86" t="n">
        <v>2023</v>
      </c>
      <c r="D212" s="86" t="inlineStr">
        <is>
          <t>Included</t>
        </is>
      </c>
      <c r="E212" s="5" t="inlineStr">
        <is>
          <t>Outcome not related to interest</t>
        </is>
      </c>
      <c r="F212" s="5" t="inlineStr">
        <is>
          <t>Outcome not related to interest</t>
        </is>
      </c>
      <c r="G212" s="5" t="inlineStr">
        <is>
          <t>Outcome not related to interest</t>
        </is>
      </c>
      <c r="H212" s="5" t="inlineStr">
        <is>
          <t>Outcome not related to interest</t>
        </is>
      </c>
      <c r="I212" s="5" t="inlineStr">
        <is>
          <t>Retrospective study</t>
        </is>
      </c>
      <c r="J212" s="86" t="n">
        <v>184</v>
      </c>
    </row>
    <row r="213">
      <c r="A213" s="86" t="inlineStr">
        <is>
          <t>Fundus image classification using Inception V3 and ResNet-50 for the early diagnostics of fundus diseases.</t>
        </is>
      </c>
      <c r="B213" s="86" t="inlineStr">
        <is>
          <t>Pan, Yuhang</t>
        </is>
      </c>
      <c r="C213" s="86" t="n">
        <v>2023</v>
      </c>
      <c r="D213" s="86" t="inlineStr">
        <is>
          <t>Included</t>
        </is>
      </c>
      <c r="E213" s="5" t="inlineStr">
        <is>
          <t>Outcome not related to interest</t>
        </is>
      </c>
      <c r="F213" s="5" t="inlineStr">
        <is>
          <t>Outcome not related to interest</t>
        </is>
      </c>
      <c r="G213" s="5" t="inlineStr">
        <is>
          <t>Outcome not related to interest</t>
        </is>
      </c>
      <c r="H213" s="5" t="inlineStr">
        <is>
          <t>Outcome not related to interest</t>
        </is>
      </c>
      <c r="I213" s="5" t="inlineStr">
        <is>
          <t>Retrospective study</t>
        </is>
      </c>
      <c r="J213" s="86" t="n">
        <v>185</v>
      </c>
    </row>
    <row r="214">
      <c r="A214" s="86" t="inlineStr">
        <is>
          <t>High-fidelity diabetic retina fundus image synthesis from freestyle lesion maps.</t>
        </is>
      </c>
      <c r="B214" s="86" t="inlineStr">
        <is>
          <t>Hou, Benjamin</t>
        </is>
      </c>
      <c r="C214" s="86" t="n">
        <v>2023</v>
      </c>
      <c r="D214" s="86" t="inlineStr">
        <is>
          <t>Included</t>
        </is>
      </c>
      <c r="E214" s="5" t="inlineStr">
        <is>
          <t>Outcome not related to interest</t>
        </is>
      </c>
      <c r="F214" s="5" t="inlineStr">
        <is>
          <t>Outcome not related to interest</t>
        </is>
      </c>
      <c r="G214" s="5" t="inlineStr">
        <is>
          <t>Outcome not related to interest</t>
        </is>
      </c>
      <c r="H214" s="5" t="inlineStr">
        <is>
          <t>Outcome not related to interest</t>
        </is>
      </c>
      <c r="I214" s="5" t="inlineStr">
        <is>
          <t>Retrospective study</t>
        </is>
      </c>
      <c r="J214" s="86" t="n">
        <v>186</v>
      </c>
    </row>
    <row r="215">
      <c r="A215" s="86" t="inlineStr">
        <is>
          <t>Artificial Intelligence Software for Diabetic Eye Screening: Diagnostic Performance and Impact of Stratification.</t>
        </is>
      </c>
      <c r="B215" s="86" t="inlineStr">
        <is>
          <t>Peeters, Freya</t>
        </is>
      </c>
      <c r="C215" s="86" t="n">
        <v>2023</v>
      </c>
      <c r="D215" s="86" t="inlineStr">
        <is>
          <t>Included</t>
        </is>
      </c>
      <c r="E215" s="5" t="inlineStr">
        <is>
          <t>Outcome not related to interest</t>
        </is>
      </c>
      <c r="F215" s="86" t="n">
        <v>22</v>
      </c>
      <c r="G215" s="5" t="inlineStr">
        <is>
          <t>Outcome not related to interest</t>
        </is>
      </c>
      <c r="H215" s="5" t="inlineStr">
        <is>
          <t>Outcome not related to interest</t>
        </is>
      </c>
      <c r="I215" s="5" t="inlineStr">
        <is>
          <t>Retrospective study</t>
        </is>
      </c>
      <c r="J215" s="86" t="n">
        <v>187</v>
      </c>
    </row>
    <row r="216">
      <c r="A216" s="86" t="inlineStr">
        <is>
          <t>A Regression-Based Approach to Diabetic Retinopathy Diagnosis Using Efficientnet.</t>
        </is>
      </c>
      <c r="B216" s="86" t="inlineStr">
        <is>
          <t>Vijayan, Midhula</t>
        </is>
      </c>
      <c r="C216" s="86" t="n">
        <v>2023</v>
      </c>
      <c r="D216" s="86" t="inlineStr">
        <is>
          <t>Included</t>
        </is>
      </c>
      <c r="E216" s="5" t="inlineStr">
        <is>
          <t>Outcome not related to interest</t>
        </is>
      </c>
      <c r="F216" s="5" t="inlineStr">
        <is>
          <t>Outcome not related to interest</t>
        </is>
      </c>
      <c r="G216" s="5" t="inlineStr">
        <is>
          <t>Outcome not related to interest</t>
        </is>
      </c>
      <c r="H216" s="5" t="inlineStr">
        <is>
          <t>Outcome not related to interest</t>
        </is>
      </c>
      <c r="I216" s="5" t="inlineStr">
        <is>
          <t>Retrospective study</t>
        </is>
      </c>
      <c r="J216" s="86" t="n">
        <v>188</v>
      </c>
    </row>
    <row r="217">
      <c r="A217" s="86" t="inlineStr">
        <is>
          <t>EfficientNetV2 Based Ensemble Model for Quality Estimation of Diabetic Retinopathy Images from DeepDRiD.</t>
        </is>
      </c>
      <c r="B217" s="86" t="inlineStr">
        <is>
          <t>Tummala, Sudhakar</t>
        </is>
      </c>
      <c r="C217" s="86" t="n">
        <v>2023</v>
      </c>
      <c r="D217" s="86" t="inlineStr">
        <is>
          <t>Included</t>
        </is>
      </c>
      <c r="E217" s="5" t="inlineStr">
        <is>
          <t>Outcome not related to interest</t>
        </is>
      </c>
      <c r="F217" s="5" t="inlineStr">
        <is>
          <t>Outcome not related to interest</t>
        </is>
      </c>
      <c r="G217" s="5" t="inlineStr">
        <is>
          <t>Outcome not related to interest</t>
        </is>
      </c>
      <c r="H217" s="5" t="inlineStr">
        <is>
          <t>Outcome not related to interest</t>
        </is>
      </c>
      <c r="I217" s="5" t="inlineStr">
        <is>
          <t>Retrospective study</t>
        </is>
      </c>
      <c r="J217" s="86" t="n">
        <v>189</v>
      </c>
    </row>
    <row r="218">
      <c r="A218" s="86" t="inlineStr">
        <is>
          <t>Hybrid adaptive deep learning classifier for early detection of diabetic retinopathy using optimal feature extraction and classification.</t>
        </is>
      </c>
      <c r="B218" s="86" t="inlineStr">
        <is>
          <t>Hemanth, S V</t>
        </is>
      </c>
      <c r="C218" s="86" t="n">
        <v>2023</v>
      </c>
      <c r="D218" s="86" t="inlineStr">
        <is>
          <t>Included</t>
        </is>
      </c>
      <c r="E218" s="5" t="inlineStr">
        <is>
          <t>Outcome not related to interest</t>
        </is>
      </c>
      <c r="F218" s="5" t="inlineStr">
        <is>
          <t>Outcome not related to interest</t>
        </is>
      </c>
      <c r="G218" s="5" t="inlineStr">
        <is>
          <t>Outcome not related to interest</t>
        </is>
      </c>
      <c r="H218" s="5" t="inlineStr">
        <is>
          <t>Outcome not related to interest</t>
        </is>
      </c>
      <c r="I218" s="5" t="inlineStr">
        <is>
          <t>Retrospective study</t>
        </is>
      </c>
      <c r="J218" s="86" t="n">
        <v>190</v>
      </c>
    </row>
    <row r="219">
      <c r="A219" s="86" t="inlineStr">
        <is>
          <t>Cross-camera Performance of Deep Learning Algorithms to Diagnose Common Ophthalmic Diseases: A Comparative Study Highlighting Feasibility to Portable Fundus Camera Use.</t>
        </is>
      </c>
      <c r="B219" s="86" t="inlineStr">
        <is>
          <t>He, Shuang</t>
        </is>
      </c>
      <c r="C219" s="86" t="n">
        <v>2023</v>
      </c>
      <c r="D219" s="86" t="inlineStr">
        <is>
          <t>Included</t>
        </is>
      </c>
      <c r="E219" s="5" t="inlineStr">
        <is>
          <t>Outcome not related to interest</t>
        </is>
      </c>
      <c r="F219" s="5" t="inlineStr">
        <is>
          <t>Outcome not related to interest</t>
        </is>
      </c>
      <c r="G219" s="5" t="inlineStr">
        <is>
          <t>Outcome not related to interest</t>
        </is>
      </c>
      <c r="H219" s="5" t="inlineStr">
        <is>
          <t>Outcome not related to interest</t>
        </is>
      </c>
      <c r="I219" s="86" t="n">
        <v>24</v>
      </c>
      <c r="J219" s="86" t="n">
        <v>191</v>
      </c>
    </row>
    <row r="220">
      <c r="A220" s="86" t="inlineStr">
        <is>
          <t>A Hybrid Technique for Diabetic Retinopathy Detection Based on Ensemble-Optimized CNN and Texture Features.</t>
        </is>
      </c>
      <c r="B220" s="86" t="inlineStr">
        <is>
          <t>Ishtiaq, Uzair</t>
        </is>
      </c>
      <c r="C220" s="86" t="n">
        <v>2023</v>
      </c>
      <c r="D220" s="86" t="inlineStr">
        <is>
          <t>Included</t>
        </is>
      </c>
      <c r="E220" s="5" t="inlineStr">
        <is>
          <t>Outcome not related to interest</t>
        </is>
      </c>
      <c r="F220" s="5" t="inlineStr">
        <is>
          <t>Outcome not related to interest</t>
        </is>
      </c>
      <c r="G220" s="5" t="inlineStr">
        <is>
          <t>Outcome not related to interest</t>
        </is>
      </c>
      <c r="H220" s="5" t="inlineStr">
        <is>
          <t>Outcome not related to interest</t>
        </is>
      </c>
      <c r="I220" s="5" t="inlineStr">
        <is>
          <t>Retrospective study</t>
        </is>
      </c>
      <c r="J220" s="86" t="n">
        <v>192</v>
      </c>
    </row>
    <row r="221">
      <c r="A221" s="86" t="inlineStr">
        <is>
          <t>Data Diversity in Convolutional Neural Network Based Ensemble Model for Diabetic Retinopathy.</t>
        </is>
      </c>
      <c r="B221" s="86" t="inlineStr">
        <is>
          <t xml:space="preserve">Inamullah, </t>
        </is>
      </c>
      <c r="C221" s="86" t="n">
        <v>2023</v>
      </c>
      <c r="D221" s="86" t="inlineStr">
        <is>
          <t>Included</t>
        </is>
      </c>
      <c r="E221" s="5" t="inlineStr">
        <is>
          <t>Outcome not related to interest</t>
        </is>
      </c>
      <c r="F221" s="5" t="inlineStr">
        <is>
          <t>Outcome not related to interest</t>
        </is>
      </c>
      <c r="G221" s="5" t="inlineStr">
        <is>
          <t>Outcome not related to interest</t>
        </is>
      </c>
      <c r="H221" s="5" t="inlineStr">
        <is>
          <t>Outcome not related to interest</t>
        </is>
      </c>
      <c r="I221" s="5" t="inlineStr">
        <is>
          <t>Retrospective study</t>
        </is>
      </c>
      <c r="J221" s="86" t="n">
        <v>193</v>
      </c>
    </row>
    <row r="222">
      <c r="A222" s="86" t="inlineStr">
        <is>
          <t>Artificial intelligence in diabetic retinopathy screening: clinical assessment using handheld fundus camera in a real-life setting.</t>
        </is>
      </c>
      <c r="B222" s="86" t="inlineStr">
        <is>
          <t>Lupidi, Marco</t>
        </is>
      </c>
      <c r="C222" s="86" t="n">
        <v>2023</v>
      </c>
      <c r="D222" s="86" t="inlineStr">
        <is>
          <t>Included</t>
        </is>
      </c>
      <c r="E222" s="5" t="inlineStr">
        <is>
          <t>Outcome not related to interest</t>
        </is>
      </c>
      <c r="F222" s="86" t="n">
        <v>23</v>
      </c>
      <c r="G222" s="5" t="inlineStr">
        <is>
          <t>Outcome not related to interest</t>
        </is>
      </c>
      <c r="H222" s="5" t="inlineStr">
        <is>
          <t>Outcome not related to interest</t>
        </is>
      </c>
      <c r="I222" s="86" t="n">
        <v>25</v>
      </c>
      <c r="J222" s="86" t="n">
        <v>194</v>
      </c>
    </row>
    <row r="223">
      <c r="A223" s="86" t="inlineStr">
        <is>
          <t>Clinical validation of a smartphone-based retinal camera for diabetic retinopathy screening.</t>
        </is>
      </c>
      <c r="B223" s="86" t="inlineStr">
        <is>
          <t>de Oliveira, Juliana Ang矇lica Estev瓊o</t>
        </is>
      </c>
      <c r="C223" s="86" t="n">
        <v>2023</v>
      </c>
      <c r="D223" s="86" t="inlineStr">
        <is>
          <t>Included</t>
        </is>
      </c>
      <c r="E223" s="86" t="inlineStr">
        <is>
          <t>Not deep learning</t>
        </is>
      </c>
      <c r="F223" s="86" t="inlineStr">
        <is>
          <t>Not deep learning</t>
        </is>
      </c>
      <c r="G223" s="86" t="inlineStr">
        <is>
          <t>Not deep learning</t>
        </is>
      </c>
      <c r="H223" s="86" t="inlineStr">
        <is>
          <t>Not deep learning</t>
        </is>
      </c>
      <c r="I223" s="86" t="inlineStr">
        <is>
          <t>Not deep learning</t>
        </is>
      </c>
      <c r="J223" s="86" t="inlineStr">
        <is>
          <t>Not deep learning</t>
        </is>
      </c>
    </row>
    <row r="224">
      <c r="A224" s="86" t="inlineStr">
        <is>
          <t>Automated Diagnosis of Diabetic Retinopathy Using Deep Learning: On the Search of Segmented Retinal Blood Vessel Images for Better Performance.</t>
        </is>
      </c>
      <c r="B224" s="86" t="inlineStr">
        <is>
          <t>Khan, Mohammad B</t>
        </is>
      </c>
      <c r="C224" s="86" t="n">
        <v>2023</v>
      </c>
      <c r="D224" s="86" t="inlineStr">
        <is>
          <t>Included</t>
        </is>
      </c>
      <c r="E224" s="5" t="inlineStr">
        <is>
          <t>Outcome not related to interest</t>
        </is>
      </c>
      <c r="F224" s="5" t="inlineStr">
        <is>
          <t>Outcome not related to interest</t>
        </is>
      </c>
      <c r="G224" s="5" t="inlineStr">
        <is>
          <t>Outcome not related to interest</t>
        </is>
      </c>
      <c r="H224" s="5" t="inlineStr">
        <is>
          <t>Outcome not related to interest</t>
        </is>
      </c>
      <c r="I224" s="5" t="inlineStr">
        <is>
          <t>Retrospective study</t>
        </is>
      </c>
      <c r="J224" s="86" t="n">
        <v>195</v>
      </c>
    </row>
    <row r="225">
      <c r="A225" s="86" t="inlineStr">
        <is>
          <t>Application effect of an artificial intelligence-based fundus screening system: evaluation in a clinical setting and population screening.</t>
        </is>
      </c>
      <c r="B225" s="86" t="inlineStr">
        <is>
          <t>Cao, Shujuan</t>
        </is>
      </c>
      <c r="C225" s="86" t="n">
        <v>2023</v>
      </c>
      <c r="D225" s="86" t="inlineStr">
        <is>
          <t>Included</t>
        </is>
      </c>
      <c r="E225" s="5" t="inlineStr">
        <is>
          <t>Outcome not related to interest</t>
        </is>
      </c>
      <c r="F225" s="5" t="inlineStr">
        <is>
          <t>Outcome not related to interest</t>
        </is>
      </c>
      <c r="G225" s="5" t="inlineStr">
        <is>
          <t>Outcome not related to interest</t>
        </is>
      </c>
      <c r="H225" s="5" t="inlineStr">
        <is>
          <t>Outcome not related to interest</t>
        </is>
      </c>
      <c r="I225" s="5" t="inlineStr">
        <is>
          <t>Retrospective study</t>
        </is>
      </c>
      <c r="J225" s="86" t="n">
        <v>196</v>
      </c>
    </row>
    <row r="226">
      <c r="A226" s="86" t="inlineStr">
        <is>
          <t>Deep learning-based analysis of infrared fundus photography for automated diagnosis of diabetic retinopathy with cataracts.</t>
        </is>
      </c>
      <c r="B226" s="86" t="inlineStr">
        <is>
          <t>Xue, Wenwen</t>
        </is>
      </c>
      <c r="C226" s="86" t="n">
        <v>2023</v>
      </c>
      <c r="D226" s="86" t="inlineStr">
        <is>
          <t>Included</t>
        </is>
      </c>
      <c r="E226" s="86" t="inlineStr">
        <is>
          <t>Not standard color fundus image</t>
        </is>
      </c>
      <c r="F226" s="86" t="inlineStr">
        <is>
          <t>Not standard color fundus image</t>
        </is>
      </c>
      <c r="G226" s="86" t="inlineStr">
        <is>
          <t>Not standard color fundus image</t>
        </is>
      </c>
      <c r="H226" s="86" t="inlineStr">
        <is>
          <t>Not standard color fundus image</t>
        </is>
      </c>
      <c r="I226" s="86" t="inlineStr">
        <is>
          <t>Not standard color fundus image</t>
        </is>
      </c>
      <c r="J226" s="86" t="inlineStr">
        <is>
          <t>Not standard color fundus image</t>
        </is>
      </c>
    </row>
    <row r="227">
      <c r="A227" s="86" t="inlineStr">
        <is>
          <t>URNet: System for recommending referrals for community screening of diabetic retinopathy based on deep learning.</t>
        </is>
      </c>
      <c r="B227" s="86" t="inlineStr">
        <is>
          <t>Yang, Kun</t>
        </is>
      </c>
      <c r="C227" s="86" t="n">
        <v>2023</v>
      </c>
      <c r="D227" s="86" t="inlineStr">
        <is>
          <t>Included</t>
        </is>
      </c>
      <c r="E227" s="5" t="inlineStr">
        <is>
          <t>Outcome not related to interest</t>
        </is>
      </c>
      <c r="F227" s="5" t="inlineStr">
        <is>
          <t>Outcome not related to interest</t>
        </is>
      </c>
      <c r="G227" s="5" t="inlineStr">
        <is>
          <t>Outcome not related to interest</t>
        </is>
      </c>
      <c r="H227" s="5" t="inlineStr">
        <is>
          <t>Outcome not related to interest</t>
        </is>
      </c>
      <c r="I227" s="5" t="inlineStr">
        <is>
          <t>Retrospective study</t>
        </is>
      </c>
      <c r="J227" s="86" t="n">
        <v>197</v>
      </c>
    </row>
    <row r="228">
      <c r="A228" s="86" t="inlineStr">
        <is>
          <t>Fine-grained attention &amp; knowledge-based collaborative network for diabetic retinopathy grading.</t>
        </is>
      </c>
      <c r="B228" s="86" t="inlineStr">
        <is>
          <t>Tian, Miao</t>
        </is>
      </c>
      <c r="C228" s="86" t="n">
        <v>2023</v>
      </c>
      <c r="D228" s="86" t="inlineStr">
        <is>
          <t>Included</t>
        </is>
      </c>
      <c r="E228" s="5" t="inlineStr">
        <is>
          <t>Outcome not related to interest</t>
        </is>
      </c>
      <c r="F228" s="5" t="inlineStr">
        <is>
          <t>Outcome not related to interest</t>
        </is>
      </c>
      <c r="G228" s="5" t="inlineStr">
        <is>
          <t>Outcome not related to interest</t>
        </is>
      </c>
      <c r="H228" s="5" t="inlineStr">
        <is>
          <t>Outcome not related to interest</t>
        </is>
      </c>
      <c r="I228" s="5" t="inlineStr">
        <is>
          <t>Retrospective study</t>
        </is>
      </c>
      <c r="J228" s="86" t="n">
        <v>198</v>
      </c>
    </row>
    <row r="229">
      <c r="A229" s="86" t="inlineStr">
        <is>
          <t>AI-Human Hybrid Workflow Enhances Teleophthalmology for the Detection of Diabetic Retinopathy.</t>
        </is>
      </c>
      <c r="B229" s="86" t="inlineStr">
        <is>
          <t>Dow, Eliot R</t>
        </is>
      </c>
      <c r="C229" s="86" t="n">
        <v>2023</v>
      </c>
      <c r="D229" s="86" t="inlineStr">
        <is>
          <t>Included</t>
        </is>
      </c>
      <c r="E229" s="86" t="n">
        <v>10</v>
      </c>
      <c r="F229" s="86" t="n">
        <v>24</v>
      </c>
      <c r="G229" s="5" t="inlineStr">
        <is>
          <t>Outcome not related to interest</t>
        </is>
      </c>
      <c r="H229" s="86" t="n">
        <v>11</v>
      </c>
      <c r="I229" s="86" t="n">
        <v>26</v>
      </c>
      <c r="J229" s="86" t="n">
        <v>199</v>
      </c>
    </row>
    <row r="230">
      <c r="A230" s="86" t="inlineStr">
        <is>
          <t>Proliferative Diabetic Retinopathy Diagnosis Using Varying-Scales Filter Banks and Double-Layered Thresholding.</t>
        </is>
      </c>
      <c r="B230" s="86" t="inlineStr">
        <is>
          <t>Huda, Noor Ul</t>
        </is>
      </c>
      <c r="C230" s="86" t="n">
        <v>2023</v>
      </c>
      <c r="D230" s="86" t="inlineStr">
        <is>
          <t>Included</t>
        </is>
      </c>
      <c r="E230" s="5" t="inlineStr">
        <is>
          <t>Outcome not related to interest</t>
        </is>
      </c>
      <c r="F230" s="5" t="inlineStr">
        <is>
          <t>Outcome not related to interest</t>
        </is>
      </c>
      <c r="G230" s="5" t="inlineStr">
        <is>
          <t>Outcome not related to interest</t>
        </is>
      </c>
      <c r="H230" s="5" t="inlineStr">
        <is>
          <t>Outcome not related to interest</t>
        </is>
      </c>
      <c r="I230" s="5" t="inlineStr">
        <is>
          <t>Retrospective study</t>
        </is>
      </c>
      <c r="J230" s="86" t="n">
        <v>200</v>
      </c>
    </row>
    <row r="231">
      <c r="A231" s="86" t="inlineStr">
        <is>
          <t>Single retinal image for diabetic retinopathy screening: performance of a handheld device with embedded artificial intelligence.</t>
        </is>
      </c>
      <c r="B231" s="86" t="inlineStr">
        <is>
          <t>Penha, Fernando Marcondes</t>
        </is>
      </c>
      <c r="C231" s="86" t="n">
        <v>2023</v>
      </c>
      <c r="D231" s="86" t="inlineStr">
        <is>
          <t>Included</t>
        </is>
      </c>
      <c r="E231" s="5" t="inlineStr">
        <is>
          <t>Outcome not related to interest</t>
        </is>
      </c>
      <c r="F231" s="5" t="inlineStr">
        <is>
          <t>Outcome not related to interest</t>
        </is>
      </c>
      <c r="G231" s="5" t="inlineStr">
        <is>
          <t>Outcome not related to interest</t>
        </is>
      </c>
      <c r="H231" s="5" t="inlineStr">
        <is>
          <t>Outcome not related to interest</t>
        </is>
      </c>
      <c r="I231" s="5" t="inlineStr">
        <is>
          <t>Retrospective study</t>
        </is>
      </c>
      <c r="J231" s="86" t="n">
        <v>201</v>
      </c>
    </row>
    <row r="232">
      <c r="A232" s="86" t="inlineStr">
        <is>
          <t>Variability in Grading Diabetic Retinopathy Using Retinal Photography and Its Comparison with an Automated Deep Learning Diabetic Retinopathy Screening Software.</t>
        </is>
      </c>
      <c r="B232" s="86" t="inlineStr">
        <is>
          <t>Teoh, Chin Sheng</t>
        </is>
      </c>
      <c r="C232" s="86" t="n">
        <v>2023</v>
      </c>
      <c r="D232" s="86" t="inlineStr">
        <is>
          <t>Included</t>
        </is>
      </c>
      <c r="E232" s="5" t="inlineStr">
        <is>
          <t>Outcome not related to interest</t>
        </is>
      </c>
      <c r="F232" s="5" t="inlineStr">
        <is>
          <t>Outcome not related to interest</t>
        </is>
      </c>
      <c r="G232" s="5" t="inlineStr">
        <is>
          <t>Outcome not related to interest</t>
        </is>
      </c>
      <c r="H232" s="5" t="inlineStr">
        <is>
          <t>Outcome not related to interest</t>
        </is>
      </c>
      <c r="I232" s="5" t="inlineStr">
        <is>
          <t>Retrospective study</t>
        </is>
      </c>
      <c r="J232" s="86" t="n">
        <v>202</v>
      </c>
    </row>
    <row r="233">
      <c r="A233" s="86" t="inlineStr">
        <is>
          <t>A Computer-Aided Diagnostic System to Identify Diabetic Retinopathy, Utilizing a Modified Compact Convolutional Transformer and Low-Resolution Images to Reduce Computation Time.</t>
        </is>
      </c>
      <c r="B233" s="86" t="inlineStr">
        <is>
          <t>Khan, Inam Ullah</t>
        </is>
      </c>
      <c r="C233" s="86" t="n">
        <v>2023</v>
      </c>
      <c r="D233" s="86" t="inlineStr">
        <is>
          <t>Included</t>
        </is>
      </c>
      <c r="E233" s="5" t="inlineStr">
        <is>
          <t>Outcome not related to interest</t>
        </is>
      </c>
      <c r="F233" s="5" t="inlineStr">
        <is>
          <t>Outcome not related to interest</t>
        </is>
      </c>
      <c r="G233" s="5" t="inlineStr">
        <is>
          <t>Outcome not related to interest</t>
        </is>
      </c>
      <c r="H233" s="5" t="inlineStr">
        <is>
          <t>Outcome not related to interest</t>
        </is>
      </c>
      <c r="I233" s="5" t="inlineStr">
        <is>
          <t>Retrospective study</t>
        </is>
      </c>
      <c r="J233" s="86" t="n">
        <v>203</v>
      </c>
    </row>
    <row r="234">
      <c r="A234" s="86" t="inlineStr">
        <is>
          <t>Convolutional neural network-based sea lion optimization algorithm for the detection and classification of diabetic retinopathy.</t>
        </is>
      </c>
      <c r="B234" s="86" t="inlineStr">
        <is>
          <t>Hemanth, S V</t>
        </is>
      </c>
      <c r="C234" s="86" t="n">
        <v>2023</v>
      </c>
      <c r="D234" s="86" t="inlineStr">
        <is>
          <t>Included</t>
        </is>
      </c>
      <c r="E234" s="5" t="inlineStr">
        <is>
          <t>Outcome not related to interest</t>
        </is>
      </c>
      <c r="F234" s="5" t="inlineStr">
        <is>
          <t>Outcome not related to interest</t>
        </is>
      </c>
      <c r="G234" s="5" t="inlineStr">
        <is>
          <t>Outcome not related to interest</t>
        </is>
      </c>
      <c r="H234" s="5" t="inlineStr">
        <is>
          <t>Outcome not related to interest</t>
        </is>
      </c>
      <c r="I234" s="5" t="inlineStr">
        <is>
          <t>Retrospective study</t>
        </is>
      </c>
      <c r="J234" s="86" t="n">
        <v>204</v>
      </c>
    </row>
    <row r="235">
      <c r="A235" s="86" t="inlineStr">
        <is>
          <t>Automatic severity grade classification of diabetic retinopathy using deformable ladder Bi attention U-net and deep adaptive CNN.</t>
        </is>
      </c>
      <c r="B235" s="86" t="inlineStr">
        <is>
          <t>Durai, D Binny Jeba</t>
        </is>
      </c>
      <c r="C235" s="86" t="n">
        <v>2023</v>
      </c>
      <c r="D235" s="86" t="inlineStr">
        <is>
          <t>Included</t>
        </is>
      </c>
      <c r="E235" s="5" t="inlineStr">
        <is>
          <t>Outcome not related to interest</t>
        </is>
      </c>
      <c r="F235" s="5" t="inlineStr">
        <is>
          <t>Outcome not related to interest</t>
        </is>
      </c>
      <c r="G235" s="5" t="inlineStr">
        <is>
          <t>Outcome not related to interest</t>
        </is>
      </c>
      <c r="H235" s="5" t="inlineStr">
        <is>
          <t>Outcome not related to interest</t>
        </is>
      </c>
      <c r="I235" s="5" t="inlineStr">
        <is>
          <t>Retrospective study</t>
        </is>
      </c>
      <c r="J235" s="86" t="n">
        <v>205</v>
      </c>
    </row>
    <row r="236">
      <c r="A236" s="86" t="inlineStr">
        <is>
          <t>Counteracting Data Bias and Class Imbalance-Towards a Useful and Reliable Retinal Disease Recognition System.</t>
        </is>
      </c>
      <c r="B236" s="86" t="inlineStr">
        <is>
          <t>Chopowiec, Adam R</t>
        </is>
      </c>
      <c r="C236" s="86" t="n">
        <v>2023</v>
      </c>
      <c r="D236" s="86" t="inlineStr">
        <is>
          <t>Included</t>
        </is>
      </c>
      <c r="E236" s="5" t="inlineStr">
        <is>
          <t>Outcome not related to interest</t>
        </is>
      </c>
      <c r="F236" s="5" t="inlineStr">
        <is>
          <t>Outcome not related to interest</t>
        </is>
      </c>
      <c r="G236" s="5" t="inlineStr">
        <is>
          <t>Outcome not related to interest</t>
        </is>
      </c>
      <c r="H236" s="5" t="inlineStr">
        <is>
          <t>Outcome not related to interest</t>
        </is>
      </c>
      <c r="I236" s="5" t="inlineStr">
        <is>
          <t>Retrospective study</t>
        </is>
      </c>
      <c r="J236" s="86" t="n">
        <v>206</v>
      </c>
    </row>
    <row r="237">
      <c r="A237" s="86" t="inlineStr">
        <is>
          <t>Transfer learning-driven ensemble model for detection of diabetic retinopathy disease.</t>
        </is>
      </c>
      <c r="B237" s="86" t="inlineStr">
        <is>
          <t>Chaurasia, Brijesh Kumar</t>
        </is>
      </c>
      <c r="C237" s="86" t="n">
        <v>2023</v>
      </c>
      <c r="D237" s="86" t="inlineStr">
        <is>
          <t>Included</t>
        </is>
      </c>
      <c r="E237" s="5" t="inlineStr">
        <is>
          <t>Outcome not related to interest</t>
        </is>
      </c>
      <c r="F237" s="5" t="inlineStr">
        <is>
          <t>Outcome not related to interest</t>
        </is>
      </c>
      <c r="G237" s="5" t="inlineStr">
        <is>
          <t>Outcome not related to interest</t>
        </is>
      </c>
      <c r="H237" s="5" t="inlineStr">
        <is>
          <t>Outcome not related to interest</t>
        </is>
      </c>
      <c r="I237" s="5" t="inlineStr">
        <is>
          <t>Retrospective study</t>
        </is>
      </c>
      <c r="J237" s="86" t="n">
        <v>207</v>
      </c>
    </row>
    <row r="238">
      <c r="A238" s="86" t="inlineStr">
        <is>
          <t>EyeCNN: exploring the potential of convolutional neural networks for identification of multiple eye diseases through retinal imagery.</t>
        </is>
      </c>
      <c r="B238" s="86" t="inlineStr">
        <is>
          <t>Rafay, Abdul</t>
        </is>
      </c>
      <c r="C238" s="86" t="n">
        <v>2023</v>
      </c>
      <c r="D238" s="86" t="inlineStr">
        <is>
          <t>Included</t>
        </is>
      </c>
      <c r="E238" s="5" t="inlineStr">
        <is>
          <t>Outcome not related to interest</t>
        </is>
      </c>
      <c r="F238" s="5" t="inlineStr">
        <is>
          <t>Outcome not related to interest</t>
        </is>
      </c>
      <c r="G238" s="5" t="inlineStr">
        <is>
          <t>Outcome not related to interest</t>
        </is>
      </c>
      <c r="H238" s="5" t="inlineStr">
        <is>
          <t>Outcome not related to interest</t>
        </is>
      </c>
      <c r="I238" s="5" t="inlineStr">
        <is>
          <t>Retrospective study</t>
        </is>
      </c>
      <c r="J238" s="86" t="n">
        <v>208</v>
      </c>
    </row>
    <row r="239">
      <c r="A239" s="86" t="inlineStr">
        <is>
          <t>Hybrid Methods for Fundus Image Analysis for Diagnosis of Diabetic Retinopathy Development Stages Based on Fusion Features.</t>
        </is>
      </c>
      <c r="B239" s="86" t="inlineStr">
        <is>
          <t>Alshahrani, Mohammed</t>
        </is>
      </c>
      <c r="C239" s="86" t="n">
        <v>2023</v>
      </c>
      <c r="D239" s="86" t="inlineStr">
        <is>
          <t>Included</t>
        </is>
      </c>
      <c r="E239" s="5" t="inlineStr">
        <is>
          <t>Outcome not related to interest</t>
        </is>
      </c>
      <c r="F239" s="5" t="inlineStr">
        <is>
          <t>Outcome not related to interest</t>
        </is>
      </c>
      <c r="G239" s="5" t="inlineStr">
        <is>
          <t>Outcome not related to interest</t>
        </is>
      </c>
      <c r="H239" s="5" t="inlineStr">
        <is>
          <t>Outcome not related to interest</t>
        </is>
      </c>
      <c r="I239" s="5" t="inlineStr">
        <is>
          <t>Retrospective study</t>
        </is>
      </c>
      <c r="J239" s="86" t="n">
        <v>209</v>
      </c>
    </row>
    <row r="240">
      <c r="A240" s="86" t="inlineStr">
        <is>
          <t>Deploying efficient net batch normalizations (BNs) for grading diabetic retinopathy severity levels from fundus images.</t>
        </is>
      </c>
      <c r="B240" s="86" t="inlineStr">
        <is>
          <t>Batool, Summiya</t>
        </is>
      </c>
      <c r="C240" s="86" t="n">
        <v>2023</v>
      </c>
      <c r="D240" s="86" t="inlineStr">
        <is>
          <t>Included</t>
        </is>
      </c>
      <c r="E240" s="5" t="inlineStr">
        <is>
          <t>Outcome not related to interest</t>
        </is>
      </c>
      <c r="F240" s="5" t="inlineStr">
        <is>
          <t>Outcome not related to interest</t>
        </is>
      </c>
      <c r="G240" s="5" t="inlineStr">
        <is>
          <t>Outcome not related to interest</t>
        </is>
      </c>
      <c r="H240" s="5" t="inlineStr">
        <is>
          <t>Outcome not related to interest</t>
        </is>
      </c>
      <c r="I240" s="5" t="inlineStr">
        <is>
          <t>Retrospective study</t>
        </is>
      </c>
      <c r="J240" s="86" t="n">
        <v>210</v>
      </c>
    </row>
    <row r="241">
      <c r="A241" s="86" t="inlineStr">
        <is>
          <t>DR-NASNet: Automated System to Detect and Classify Diabetic Retinopathy Severity Using Improved Pretrained NASNet Model.</t>
        </is>
      </c>
      <c r="B241" s="86" t="inlineStr">
        <is>
          <t>Sajid, Muhammad Zaheer</t>
        </is>
      </c>
      <c r="C241" s="86" t="n">
        <v>2023</v>
      </c>
      <c r="D241" s="86" t="inlineStr">
        <is>
          <t>Included</t>
        </is>
      </c>
      <c r="E241" s="5" t="inlineStr">
        <is>
          <t>Outcome not related to interest</t>
        </is>
      </c>
      <c r="F241" s="5" t="inlineStr">
        <is>
          <t>Outcome not related to interest</t>
        </is>
      </c>
      <c r="G241" s="5" t="inlineStr">
        <is>
          <t>Outcome not related to interest</t>
        </is>
      </c>
      <c r="H241" s="5" t="inlineStr">
        <is>
          <t>Outcome not related to interest</t>
        </is>
      </c>
      <c r="I241" s="5" t="inlineStr">
        <is>
          <t>Retrospective study</t>
        </is>
      </c>
      <c r="J241" s="86" t="n">
        <v>211</v>
      </c>
    </row>
    <row r="242">
      <c r="A242" s="86" t="inlineStr">
        <is>
          <t>CLRD: Collaborative Learning for Retinopathy Detection Using Fundus Images.</t>
        </is>
      </c>
      <c r="B242" s="86" t="inlineStr">
        <is>
          <t>Gao, Yuan</t>
        </is>
      </c>
      <c r="C242" s="86" t="n">
        <v>2023</v>
      </c>
      <c r="D242" s="86" t="inlineStr">
        <is>
          <t>Included</t>
        </is>
      </c>
      <c r="E242" s="5" t="inlineStr">
        <is>
          <t>Outcome not related to interest</t>
        </is>
      </c>
      <c r="F242" s="5" t="inlineStr">
        <is>
          <t>Outcome not related to interest</t>
        </is>
      </c>
      <c r="G242" s="5" t="inlineStr">
        <is>
          <t>Outcome not related to interest</t>
        </is>
      </c>
      <c r="H242" s="5" t="inlineStr">
        <is>
          <t>Outcome not related to interest</t>
        </is>
      </c>
      <c r="I242" s="5" t="inlineStr">
        <is>
          <t>Retrospective study</t>
        </is>
      </c>
      <c r="J242" s="86" t="n">
        <v>212</v>
      </c>
    </row>
    <row r="243">
      <c r="A243" s="86" t="inlineStr">
        <is>
          <t>Deep learning-enhanced diabetic retinopathy image classification.</t>
        </is>
      </c>
      <c r="B243" s="86" t="inlineStr">
        <is>
          <t>Alwakid, Ghadah</t>
        </is>
      </c>
      <c r="C243" s="86" t="n">
        <v>2023</v>
      </c>
      <c r="D243" s="86" t="inlineStr">
        <is>
          <t>Included</t>
        </is>
      </c>
      <c r="E243" s="5" t="inlineStr">
        <is>
          <t>Outcome not related to interest</t>
        </is>
      </c>
      <c r="F243" s="5" t="inlineStr">
        <is>
          <t>Outcome not related to interest</t>
        </is>
      </c>
      <c r="G243" s="5" t="inlineStr">
        <is>
          <t>Outcome not related to interest</t>
        </is>
      </c>
      <c r="H243" s="5" t="inlineStr">
        <is>
          <t>Outcome not related to interest</t>
        </is>
      </c>
      <c r="I243" s="5" t="inlineStr">
        <is>
          <t>Retrospective study</t>
        </is>
      </c>
      <c r="J243" s="86" t="n">
        <v>213</v>
      </c>
    </row>
    <row r="244">
      <c r="A244" s="86" t="inlineStr">
        <is>
          <t>Automatic Detection and Classification of Diabetic Retinopathy Using the Improved Pooling Function in the Convolution Neural Network.</t>
        </is>
      </c>
      <c r="B244" s="86" t="inlineStr">
        <is>
          <t>Bhimavarapu, Usharani</t>
        </is>
      </c>
      <c r="C244" s="86" t="n">
        <v>2023</v>
      </c>
      <c r="D244" s="86" t="inlineStr">
        <is>
          <t>Included</t>
        </is>
      </c>
      <c r="E244" s="5" t="inlineStr">
        <is>
          <t>Outcome not related to interest</t>
        </is>
      </c>
      <c r="F244" s="5" t="inlineStr">
        <is>
          <t>Outcome not related to interest</t>
        </is>
      </c>
      <c r="G244" s="5" t="inlineStr">
        <is>
          <t>Outcome not related to interest</t>
        </is>
      </c>
      <c r="H244" s="5" t="inlineStr">
        <is>
          <t>Outcome not related to interest</t>
        </is>
      </c>
      <c r="I244" s="5" t="inlineStr">
        <is>
          <t>Retrospective study</t>
        </is>
      </c>
      <c r="J244" s="86" t="n">
        <v>214</v>
      </c>
    </row>
    <row r="245">
      <c r="A245" s="86" t="inlineStr">
        <is>
          <t>Diabetic Retinopathy Screening at the Point of Care (DR SPOC): detecting undiagnosed and vision-threatening retinopathy by integrating portable technologies within existing services.</t>
        </is>
      </c>
      <c r="B245" s="86" t="inlineStr">
        <is>
          <t>Weerasinghe, Lakni Shahanika</t>
        </is>
      </c>
      <c r="C245" s="86" t="n">
        <v>2023</v>
      </c>
      <c r="D245" s="86" t="inlineStr">
        <is>
          <t>Included</t>
        </is>
      </c>
      <c r="E245" s="86" t="inlineStr">
        <is>
          <t>Not deep learning</t>
        </is>
      </c>
      <c r="F245" s="86" t="inlineStr">
        <is>
          <t>Not deep learning</t>
        </is>
      </c>
      <c r="G245" s="86" t="inlineStr">
        <is>
          <t>Not deep learning</t>
        </is>
      </c>
      <c r="H245" s="86" t="inlineStr">
        <is>
          <t>Not deep learning</t>
        </is>
      </c>
      <c r="I245" s="86" t="inlineStr">
        <is>
          <t>Not deep learning</t>
        </is>
      </c>
      <c r="J245" s="86" t="inlineStr">
        <is>
          <t>Not deep learning</t>
        </is>
      </c>
    </row>
    <row r="246">
      <c r="A246" s="86" t="inlineStr">
        <is>
          <t>Efficacy of deep learning-based artificial intelligence models in screening and referring patients with diabetic retinopathy and glaucoma.</t>
        </is>
      </c>
      <c r="B246" s="86" t="inlineStr">
        <is>
          <t>Surya, Janani</t>
        </is>
      </c>
      <c r="C246" s="86" t="n">
        <v>2023</v>
      </c>
      <c r="D246" s="86" t="inlineStr">
        <is>
          <t>Included</t>
        </is>
      </c>
      <c r="E246" s="5" t="inlineStr">
        <is>
          <t>Outcome not related to interest</t>
        </is>
      </c>
      <c r="F246" s="86" t="n">
        <v>25</v>
      </c>
      <c r="G246" s="5" t="inlineStr">
        <is>
          <t>Outcome not related to interest</t>
        </is>
      </c>
      <c r="H246" s="5" t="n">
        <v>12</v>
      </c>
      <c r="I246" s="86" t="n">
        <v>27</v>
      </c>
      <c r="J246" s="86" t="n">
        <v>215</v>
      </c>
    </row>
    <row r="247">
      <c r="A247" s="86" t="inlineStr">
        <is>
          <t>Supervised Contrastive Learning with Angular Margin for the Detection and Grading of Diabetic Retinopathy.</t>
        </is>
      </c>
      <c r="B247" s="86" t="inlineStr">
        <is>
          <t>Zhu, Dongsheng</t>
        </is>
      </c>
      <c r="C247" s="86" t="n">
        <v>2023</v>
      </c>
      <c r="D247" s="86" t="inlineStr">
        <is>
          <t>Included</t>
        </is>
      </c>
      <c r="E247" s="5" t="inlineStr">
        <is>
          <t>Outcome not related to interest</t>
        </is>
      </c>
      <c r="F247" s="5" t="inlineStr">
        <is>
          <t>Outcome not related to interest</t>
        </is>
      </c>
      <c r="G247" s="5" t="inlineStr">
        <is>
          <t>Outcome not related to interest</t>
        </is>
      </c>
      <c r="H247" s="5" t="inlineStr">
        <is>
          <t>Outcome not related to interest</t>
        </is>
      </c>
      <c r="I247" s="5" t="inlineStr">
        <is>
          <t>Retrospective study</t>
        </is>
      </c>
      <c r="J247" s="86" t="n">
        <v>216</v>
      </c>
    </row>
    <row r="248">
      <c r="A248" s="86" t="inlineStr">
        <is>
          <t>HDR-EfficientNet: A Classification of Hypertensive and Diabetic Retinopathy Using Optimize EfficientNet Architecture.</t>
        </is>
      </c>
      <c r="B248" s="86" t="inlineStr">
        <is>
          <t>Abbas, Qaisar</t>
        </is>
      </c>
      <c r="C248" s="86" t="n">
        <v>2023</v>
      </c>
      <c r="D248" s="86" t="inlineStr">
        <is>
          <t>Included</t>
        </is>
      </c>
      <c r="E248" s="5" t="inlineStr">
        <is>
          <t>Outcome not related to interest</t>
        </is>
      </c>
      <c r="F248" s="5" t="inlineStr">
        <is>
          <t>Outcome not related to interest</t>
        </is>
      </c>
      <c r="G248" s="5" t="inlineStr">
        <is>
          <t>Outcome not related to interest</t>
        </is>
      </c>
      <c r="H248" s="5" t="inlineStr">
        <is>
          <t>Outcome not related to interest</t>
        </is>
      </c>
      <c r="I248" s="5" t="inlineStr">
        <is>
          <t>Retrospective study</t>
        </is>
      </c>
      <c r="J248" s="86" t="n">
        <v>217</v>
      </c>
    </row>
    <row r="249">
      <c r="A249" s="86" t="inlineStr">
        <is>
          <t>Predicting of diabetic retinopathy development stages of fundus images using deep learning based on combined features.</t>
        </is>
      </c>
      <c r="B249" s="86" t="inlineStr">
        <is>
          <t>Shamsan, Ahlam</t>
        </is>
      </c>
      <c r="C249" s="86" t="n">
        <v>2023</v>
      </c>
      <c r="D249" s="86" t="inlineStr">
        <is>
          <t>Included</t>
        </is>
      </c>
      <c r="E249" s="5" t="inlineStr">
        <is>
          <t>Outcome not related to interest</t>
        </is>
      </c>
      <c r="F249" s="5" t="inlineStr">
        <is>
          <t>Outcome not related to interest</t>
        </is>
      </c>
      <c r="G249" s="5" t="inlineStr">
        <is>
          <t>Outcome not related to interest</t>
        </is>
      </c>
      <c r="H249" s="5" t="inlineStr">
        <is>
          <t>Outcome not related to interest</t>
        </is>
      </c>
      <c r="I249" s="5" t="inlineStr">
        <is>
          <t>Retrospective study</t>
        </is>
      </c>
      <c r="J249" s="86" t="n">
        <v>218</v>
      </c>
    </row>
    <row r="250">
      <c r="A250" s="86" t="inlineStr">
        <is>
          <t>Clinician-Driven AI: Code-Free Self-Training on Public Data for Diabetic Retinopathy Referral.</t>
        </is>
      </c>
      <c r="B250" s="86" t="inlineStr">
        <is>
          <t>Korot, Edward</t>
        </is>
      </c>
      <c r="C250" s="86" t="n">
        <v>2023</v>
      </c>
      <c r="D250" s="86" t="inlineStr">
        <is>
          <t>Included</t>
        </is>
      </c>
      <c r="E250" s="5" t="inlineStr">
        <is>
          <t>Outcome not related to interest</t>
        </is>
      </c>
      <c r="F250" s="5" t="inlineStr">
        <is>
          <t>Outcome not related to interest</t>
        </is>
      </c>
      <c r="G250" s="5" t="inlineStr">
        <is>
          <t>Outcome not related to interest</t>
        </is>
      </c>
      <c r="H250" s="5" t="inlineStr">
        <is>
          <t>Outcome not related to interest</t>
        </is>
      </c>
      <c r="I250" s="5" t="inlineStr">
        <is>
          <t>Retrospective study</t>
        </is>
      </c>
      <c r="J250" s="86" t="n">
        <v>219</v>
      </c>
    </row>
    <row r="251">
      <c r="A251" s="86" t="inlineStr">
        <is>
          <t>EyeArt artificial intelligence analysis of diabetic retinopathy in retinal screening events.</t>
        </is>
      </c>
      <c r="B251" s="86" t="inlineStr">
        <is>
          <t>Vought, Rita</t>
        </is>
      </c>
      <c r="C251" s="86" t="n">
        <v>2023</v>
      </c>
      <c r="D251" s="86" t="inlineStr">
        <is>
          <t>Included</t>
        </is>
      </c>
      <c r="E251" s="86" t="n">
        <v>11</v>
      </c>
      <c r="F251" s="86" t="n">
        <v>26</v>
      </c>
      <c r="G251" s="5" t="inlineStr">
        <is>
          <t>Outcome not related to interest</t>
        </is>
      </c>
      <c r="H251" s="5" t="inlineStr">
        <is>
          <t>Outcome not related to interest</t>
        </is>
      </c>
      <c r="I251" s="5" t="inlineStr">
        <is>
          <t>Retrospective study</t>
        </is>
      </c>
      <c r="J251" s="86" t="n">
        <v>220</v>
      </c>
    </row>
    <row r="252">
      <c r="A252" s="86" t="inlineStr">
        <is>
          <t>A Lightweight Diabetic Retinopathy Detection Model Using a Deep-Learning Technique.</t>
        </is>
      </c>
      <c r="B252" s="86" t="inlineStr">
        <is>
          <t>Wahab Sait, Abdul Rahaman</t>
        </is>
      </c>
      <c r="C252" s="86" t="n">
        <v>2023</v>
      </c>
      <c r="D252" s="86" t="inlineStr">
        <is>
          <t>Included</t>
        </is>
      </c>
      <c r="E252" s="5" t="inlineStr">
        <is>
          <t>Outcome not related to interest</t>
        </is>
      </c>
      <c r="F252" s="5" t="inlineStr">
        <is>
          <t>Outcome not related to interest</t>
        </is>
      </c>
      <c r="G252" s="5" t="inlineStr">
        <is>
          <t>Outcome not related to interest</t>
        </is>
      </c>
      <c r="H252" s="5" t="inlineStr">
        <is>
          <t>Outcome not related to interest</t>
        </is>
      </c>
      <c r="I252" s="5" t="inlineStr">
        <is>
          <t>Retrospective study</t>
        </is>
      </c>
      <c r="J252" s="86" t="n">
        <v>221</v>
      </c>
    </row>
    <row r="253">
      <c r="A253" s="86" t="inlineStr">
        <is>
          <t>RDS-DR: An Improved Deep Learning Model for Classifying Severity Levels of Diabetic Retinopathy.</t>
        </is>
      </c>
      <c r="B253" s="86" t="inlineStr">
        <is>
          <t>Bashir, Ijaz</t>
        </is>
      </c>
      <c r="C253" s="86" t="n">
        <v>2023</v>
      </c>
      <c r="D253" s="86" t="inlineStr">
        <is>
          <t>Included</t>
        </is>
      </c>
      <c r="E253" s="5" t="inlineStr">
        <is>
          <t>Outcome not related to interest</t>
        </is>
      </c>
      <c r="F253" s="5" t="inlineStr">
        <is>
          <t>Outcome not related to interest</t>
        </is>
      </c>
      <c r="G253" s="5" t="inlineStr">
        <is>
          <t>Outcome not related to interest</t>
        </is>
      </c>
      <c r="H253" s="5" t="inlineStr">
        <is>
          <t>Outcome not related to interest</t>
        </is>
      </c>
      <c r="I253" s="5" t="inlineStr">
        <is>
          <t>Retrospective study</t>
        </is>
      </c>
      <c r="J253" s="86" t="n">
        <v>222</v>
      </c>
    </row>
    <row r="254">
      <c r="A254" s="86" t="inlineStr">
        <is>
          <t>A hybrid approach for diagnosing diabetic retinopathy from fundus image exploiting deep features.</t>
        </is>
      </c>
      <c r="B254" s="86" t="inlineStr">
        <is>
          <t>Mahmood, Mohammed Arif Iftakher</t>
        </is>
      </c>
      <c r="C254" s="86" t="n">
        <v>2023</v>
      </c>
      <c r="D254" s="86" t="inlineStr">
        <is>
          <t>Included</t>
        </is>
      </c>
      <c r="E254" s="5" t="inlineStr">
        <is>
          <t>Outcome not related to interest</t>
        </is>
      </c>
      <c r="F254" s="5" t="inlineStr">
        <is>
          <t>Outcome not related to interest</t>
        </is>
      </c>
      <c r="G254" s="5" t="inlineStr">
        <is>
          <t>Outcome not related to interest</t>
        </is>
      </c>
      <c r="H254" s="5" t="inlineStr">
        <is>
          <t>Outcome not related to interest</t>
        </is>
      </c>
      <c r="I254" s="5" t="inlineStr">
        <is>
          <t>Retrospective study</t>
        </is>
      </c>
      <c r="J254" s="86" t="n">
        <v>223</v>
      </c>
    </row>
    <row r="255">
      <c r="A255" s="86" t="inlineStr">
        <is>
          <t>Enhancing diabetic retinopathy classification using deep learning.</t>
        </is>
      </c>
      <c r="B255" s="86" t="inlineStr">
        <is>
          <t>Alwakid, Ghadah</t>
        </is>
      </c>
      <c r="C255" s="86" t="n">
        <v>2023</v>
      </c>
      <c r="D255" s="86" t="inlineStr">
        <is>
          <t>Included</t>
        </is>
      </c>
      <c r="E255" s="5" t="inlineStr">
        <is>
          <t>Outcome not related to interest</t>
        </is>
      </c>
      <c r="F255" s="5" t="inlineStr">
        <is>
          <t>Outcome not related to interest</t>
        </is>
      </c>
      <c r="G255" s="5" t="inlineStr">
        <is>
          <t>Outcome not related to interest</t>
        </is>
      </c>
      <c r="H255" s="5" t="inlineStr">
        <is>
          <t>Outcome not related to interest</t>
        </is>
      </c>
      <c r="I255" s="5" t="inlineStr">
        <is>
          <t>Retrospective study</t>
        </is>
      </c>
      <c r="J255" s="86" t="n">
        <v>224</v>
      </c>
    </row>
    <row r="256">
      <c r="A256" s="86" t="inlineStr">
        <is>
          <t>Diagnostic Accuracy of Automated Diabetic Retinopathy Image Assessment Softwares: IDx-DR and Medios Artificial Intelligence.</t>
        </is>
      </c>
      <c r="B256" s="86" t="inlineStr">
        <is>
          <t>Grzybowski, Andrzej</t>
        </is>
      </c>
      <c r="C256" s="86" t="n">
        <v>2023</v>
      </c>
      <c r="D256" s="86" t="inlineStr">
        <is>
          <t>Included</t>
        </is>
      </c>
      <c r="E256" s="86" t="n">
        <v>12</v>
      </c>
      <c r="F256" s="86" t="n">
        <v>27</v>
      </c>
      <c r="G256" s="5" t="n">
        <v>5</v>
      </c>
      <c r="H256" s="5" t="inlineStr">
        <is>
          <t>Outcome not related to interest</t>
        </is>
      </c>
      <c r="I256" s="5" t="inlineStr">
        <is>
          <t>Retrospective study</t>
        </is>
      </c>
      <c r="J256" s="86" t="n">
        <v>225</v>
      </c>
    </row>
    <row r="257">
      <c r="A257" s="86" t="inlineStr">
        <is>
          <t>Real-world evaluation of smartphone-based artificial intelligence to screen for diabetic retinopathy in Dominica: a clinical validation study.</t>
        </is>
      </c>
      <c r="B257" s="86" t="inlineStr">
        <is>
          <t>Kemp, Oliver</t>
        </is>
      </c>
      <c r="C257" s="86" t="n">
        <v>2023</v>
      </c>
      <c r="D257" s="86" t="inlineStr">
        <is>
          <t>Included</t>
        </is>
      </c>
      <c r="E257" s="5" t="inlineStr">
        <is>
          <t>Outcome not related to interest</t>
        </is>
      </c>
      <c r="F257" s="86" t="n">
        <v>28</v>
      </c>
      <c r="G257" s="5" t="inlineStr">
        <is>
          <t>Outcome not related to interest</t>
        </is>
      </c>
      <c r="H257" s="5" t="inlineStr">
        <is>
          <t>Outcome not related to interest</t>
        </is>
      </c>
      <c r="I257" s="86" t="n">
        <v>28</v>
      </c>
      <c r="J257" s="86" t="n">
        <v>226</v>
      </c>
    </row>
    <row r="258">
      <c r="A258" s="86" t="inlineStr">
        <is>
          <t>Multi-scale multi-attention network for diabetic retinopathy grading.</t>
        </is>
      </c>
      <c r="B258" s="86" t="inlineStr">
        <is>
          <t>Xia, Haiying</t>
        </is>
      </c>
      <c r="C258" s="86" t="n">
        <v>2023</v>
      </c>
      <c r="D258" s="86" t="inlineStr">
        <is>
          <t>Included</t>
        </is>
      </c>
      <c r="E258" s="5" t="inlineStr">
        <is>
          <t>Outcome not related to interest</t>
        </is>
      </c>
      <c r="F258" s="5" t="inlineStr">
        <is>
          <t>Outcome not related to interest</t>
        </is>
      </c>
      <c r="G258" s="5" t="inlineStr">
        <is>
          <t>Outcome not related to interest</t>
        </is>
      </c>
      <c r="H258" s="5" t="inlineStr">
        <is>
          <t>Outcome not related to interest</t>
        </is>
      </c>
      <c r="I258" s="5" t="inlineStr">
        <is>
          <t>Retrospective study</t>
        </is>
      </c>
      <c r="J258" s="86" t="n">
        <v>227</v>
      </c>
    </row>
    <row r="259">
      <c r="A259" s="86" t="inlineStr">
        <is>
          <t>Development of LuxIA, a Cloud-Based AI Diabetic Retinopathy Screening Tool Using a Single Color Fundus Image.</t>
        </is>
      </c>
      <c r="B259" s="86" t="inlineStr">
        <is>
          <t>Blair, Joseph P M</t>
        </is>
      </c>
      <c r="C259" s="86" t="n">
        <v>2023</v>
      </c>
      <c r="D259" s="86" t="inlineStr">
        <is>
          <t>Included</t>
        </is>
      </c>
      <c r="E259" s="5" t="inlineStr">
        <is>
          <t>Outcome not related to interest</t>
        </is>
      </c>
      <c r="F259" s="5" t="inlineStr">
        <is>
          <t>Outcome not related to interest</t>
        </is>
      </c>
      <c r="G259" s="5" t="inlineStr">
        <is>
          <t>Outcome not related to interest</t>
        </is>
      </c>
      <c r="H259" s="5" t="inlineStr">
        <is>
          <t>Outcome not related to interest</t>
        </is>
      </c>
      <c r="I259" s="5" t="inlineStr">
        <is>
          <t>Retrospective study</t>
        </is>
      </c>
      <c r="J259" s="86" t="n">
        <v>228</v>
      </c>
    </row>
    <row r="260">
      <c r="A260" s="86" t="inlineStr">
        <is>
          <t>Translation of Color Fundus Photography into Fluorescein Angiography Using Deep Learning for Enhanced Diabetic Retinopathy Screening.</t>
        </is>
      </c>
      <c r="B260" s="86" t="inlineStr">
        <is>
          <t>Shi, Danli</t>
        </is>
      </c>
      <c r="C260" s="86" t="n">
        <v>2023</v>
      </c>
      <c r="D260" s="86" t="inlineStr">
        <is>
          <t>Included</t>
        </is>
      </c>
      <c r="E260" s="5" t="inlineStr">
        <is>
          <t>Outcome not related to interest</t>
        </is>
      </c>
      <c r="F260" s="5" t="inlineStr">
        <is>
          <t>Outcome not related to interest</t>
        </is>
      </c>
      <c r="G260" s="5" t="inlineStr">
        <is>
          <t>Outcome not related to interest</t>
        </is>
      </c>
      <c r="H260" s="5" t="inlineStr">
        <is>
          <t>Outcome not related to interest</t>
        </is>
      </c>
      <c r="I260" s="5" t="inlineStr">
        <is>
          <t>Retrospective study</t>
        </is>
      </c>
      <c r="J260" s="86" t="n">
        <v>229</v>
      </c>
    </row>
    <row r="261">
      <c r="A261" s="86" t="inlineStr">
        <is>
          <t>Diagnostic Accuracy of Hand-Held Fundus Camera and Artificial Intelligence in Diabetic Retinopathy Screening.</t>
        </is>
      </c>
      <c r="B261" s="86" t="inlineStr">
        <is>
          <t>Tomi, Martina</t>
        </is>
      </c>
      <c r="C261" s="86" t="n">
        <v>2023</v>
      </c>
      <c r="D261" s="86" t="inlineStr">
        <is>
          <t>Included</t>
        </is>
      </c>
      <c r="E261" s="5" t="inlineStr">
        <is>
          <t>Outcome not related to interest</t>
        </is>
      </c>
      <c r="F261" s="86" t="n">
        <v>29</v>
      </c>
      <c r="G261" s="5" t="inlineStr">
        <is>
          <t>Outcome not related to interest</t>
        </is>
      </c>
      <c r="H261" s="5" t="inlineStr">
        <is>
          <t>Outcome not related to interest</t>
        </is>
      </c>
      <c r="I261" s="86" t="n">
        <v>29</v>
      </c>
      <c r="J261" s="86" t="n">
        <v>230</v>
      </c>
    </row>
    <row r="262">
      <c r="A262" s="86" t="inlineStr">
        <is>
          <t>Accuracy of Integrated Artificial Intelligence Grading Using Handheld Retinal Imaging in a Community Diabetic Eye Screening Program.</t>
        </is>
      </c>
      <c r="B262" s="86" t="inlineStr">
        <is>
          <t>Salongcay, Recivall P</t>
        </is>
      </c>
      <c r="C262" s="86" t="n">
        <v>2023</v>
      </c>
      <c r="D262" s="86" t="inlineStr">
        <is>
          <t>Included</t>
        </is>
      </c>
      <c r="E262" s="5" t="inlineStr">
        <is>
          <t>Outcome not related to interest</t>
        </is>
      </c>
      <c r="F262" s="5" t="inlineStr">
        <is>
          <t>Outcome not related to interest</t>
        </is>
      </c>
      <c r="G262" s="5" t="inlineStr">
        <is>
          <t>Outcome not related to interest</t>
        </is>
      </c>
      <c r="H262" s="5" t="inlineStr">
        <is>
          <t>Outcome not related to interest</t>
        </is>
      </c>
      <c r="I262" s="86" t="n">
        <v>30</v>
      </c>
      <c r="J262" s="86" t="n">
        <v>231</v>
      </c>
    </row>
    <row r="263">
      <c r="A263" s="86" t="inlineStr">
        <is>
          <t>A diagnosis model for detection and classification of diabetic retinopathy using deep learning</t>
        </is>
      </c>
      <c r="B263" s="86" t="inlineStr">
        <is>
          <t>Syed, S.R.</t>
        </is>
      </c>
      <c r="C263" s="86" t="n">
        <v>2023</v>
      </c>
      <c r="D263" s="86" t="inlineStr">
        <is>
          <t>Included</t>
        </is>
      </c>
      <c r="E263" s="5" t="inlineStr">
        <is>
          <t>Outcome not related to interest</t>
        </is>
      </c>
      <c r="F263" s="5" t="inlineStr">
        <is>
          <t>Outcome not related to interest</t>
        </is>
      </c>
      <c r="G263" s="5" t="inlineStr">
        <is>
          <t>Outcome not related to interest</t>
        </is>
      </c>
      <c r="H263" s="5" t="inlineStr">
        <is>
          <t>Outcome not related to interest</t>
        </is>
      </c>
      <c r="I263" s="5" t="inlineStr">
        <is>
          <t>Retrospective study</t>
        </is>
      </c>
      <c r="J263" s="86" t="n">
        <v>232</v>
      </c>
    </row>
    <row r="264">
      <c r="A264" s="86" t="inlineStr">
        <is>
          <t>A bi-directional Long Short-Term Memory-based Diabetic Retinopathy detection model using retinal fundus images</t>
        </is>
      </c>
      <c r="B264" s="86" t="inlineStr">
        <is>
          <t>Phridviraj, M.S.B.</t>
        </is>
      </c>
      <c r="C264" s="86" t="n">
        <v>2023</v>
      </c>
      <c r="D264" s="86" t="inlineStr">
        <is>
          <t>Included</t>
        </is>
      </c>
      <c r="E264" s="5" t="inlineStr">
        <is>
          <t>Outcome not related to interest</t>
        </is>
      </c>
      <c r="F264" s="5" t="inlineStr">
        <is>
          <t>Outcome not related to interest</t>
        </is>
      </c>
      <c r="G264" s="5" t="inlineStr">
        <is>
          <t>Outcome not related to interest</t>
        </is>
      </c>
      <c r="H264" s="5" t="inlineStr">
        <is>
          <t>Outcome not related to interest</t>
        </is>
      </c>
      <c r="I264" s="5" t="inlineStr">
        <is>
          <t>Retrospective study</t>
        </is>
      </c>
      <c r="J264" s="86" t="n">
        <v>233</v>
      </c>
    </row>
    <row r="265">
      <c r="A265" s="86" t="inlineStr">
        <is>
          <t>Grading diabetic retinopathy using multiresolution based CNN</t>
        </is>
      </c>
      <c r="B265" s="86" t="inlineStr">
        <is>
          <t>Ashwini, K.</t>
        </is>
      </c>
      <c r="C265" s="86" t="n">
        <v>2023</v>
      </c>
      <c r="D265" s="86" t="inlineStr">
        <is>
          <t>Included</t>
        </is>
      </c>
      <c r="E265" s="5" t="inlineStr">
        <is>
          <t>Outcome not related to interest</t>
        </is>
      </c>
      <c r="F265" s="5" t="inlineStr">
        <is>
          <t>Outcome not related to interest</t>
        </is>
      </c>
      <c r="G265" s="5" t="inlineStr">
        <is>
          <t>Outcome not related to interest</t>
        </is>
      </c>
      <c r="H265" s="5" t="inlineStr">
        <is>
          <t>Outcome not related to interest</t>
        </is>
      </c>
      <c r="I265" s="5" t="inlineStr">
        <is>
          <t>Retrospective study</t>
        </is>
      </c>
      <c r="J265" s="86" t="n">
        <v>234</v>
      </c>
    </row>
    <row r="266">
      <c r="A266" s="86" t="inlineStr">
        <is>
          <t>Impact of an Artificial Intelligence Algorithm on Diabetic Retinopathy Grading by Ophthalmology Residents</t>
        </is>
      </c>
      <c r="B266" s="86" t="inlineStr">
        <is>
          <t>Paul, S.K.</t>
        </is>
      </c>
      <c r="C266" s="86" t="n">
        <v>2023</v>
      </c>
      <c r="D266" s="86" t="inlineStr">
        <is>
          <t>Included</t>
        </is>
      </c>
      <c r="E266" s="5" t="inlineStr">
        <is>
          <t>Outcome not related to interest</t>
        </is>
      </c>
      <c r="F266" s="5" t="inlineStr">
        <is>
          <t>Outcome not related to interest</t>
        </is>
      </c>
      <c r="G266" s="5" t="inlineStr">
        <is>
          <t>Outcome not related to interest</t>
        </is>
      </c>
      <c r="H266" s="5" t="inlineStr">
        <is>
          <t>Outcome not related to interest</t>
        </is>
      </c>
      <c r="I266" s="5" t="inlineStr">
        <is>
          <t>Outcome not related to interest</t>
        </is>
      </c>
      <c r="J266" s="5" t="inlineStr">
        <is>
          <t>Outcome not related to interest</t>
        </is>
      </c>
    </row>
    <row r="267">
      <c r="A267" s="18" t="inlineStr">
        <is>
          <t>SEGAN-BASED LESION SEGMENTATION and OPTIMIZED RideNN for DIABETIC RETINOPATHY CLASSIFICATION</t>
        </is>
      </c>
      <c r="B267" s="86" t="inlineStr">
        <is>
          <t>Sagvekar, V.</t>
        </is>
      </c>
      <c r="C267" s="86" t="n">
        <v>2023</v>
      </c>
      <c r="D267" s="86" t="inlineStr">
        <is>
          <t>Included</t>
        </is>
      </c>
      <c r="E267" s="5" t="inlineStr">
        <is>
          <t>Outcome not related to interest</t>
        </is>
      </c>
      <c r="F267" s="5" t="inlineStr">
        <is>
          <t>Outcome not related to interest</t>
        </is>
      </c>
      <c r="G267" s="5" t="inlineStr">
        <is>
          <t>Outcome not related to interest</t>
        </is>
      </c>
      <c r="H267" s="5" t="inlineStr">
        <is>
          <t>Outcome not related to interest</t>
        </is>
      </c>
      <c r="I267" s="5" t="inlineStr">
        <is>
          <t>Retrospective study</t>
        </is>
      </c>
      <c r="J267" s="86" t="n">
        <v>235</v>
      </c>
    </row>
    <row r="268">
      <c r="A268" s="86" t="inlineStr">
        <is>
          <t>Multi-Level severity classification for diabetic retinopathy based on hybrid optimization enabled deep learning</t>
        </is>
      </c>
      <c r="B268" s="86" t="inlineStr">
        <is>
          <t>Zulaikha Beevi, S.</t>
        </is>
      </c>
      <c r="C268" s="86" t="n">
        <v>2023</v>
      </c>
      <c r="D268" s="86" t="inlineStr">
        <is>
          <t>Included</t>
        </is>
      </c>
      <c r="E268" s="5" t="inlineStr">
        <is>
          <t>Outcome not related to interest</t>
        </is>
      </c>
      <c r="F268" s="5" t="inlineStr">
        <is>
          <t>Outcome not related to interest</t>
        </is>
      </c>
      <c r="G268" s="5" t="inlineStr">
        <is>
          <t>Outcome not related to interest</t>
        </is>
      </c>
      <c r="H268" s="5" t="inlineStr">
        <is>
          <t>Outcome not related to interest</t>
        </is>
      </c>
      <c r="I268" s="5" t="inlineStr">
        <is>
          <t>Retrospective study</t>
        </is>
      </c>
      <c r="J268" s="86" t="n">
        <v>236</v>
      </c>
    </row>
    <row r="269">
      <c r="A269" s="86" t="inlineStr">
        <is>
          <t>Eye tracking based deep learning analysis for the early detection of diabetic retinopathy: A pilot study</t>
        </is>
      </c>
      <c r="B269" s="86" t="inlineStr">
        <is>
          <t>Jiang, H.</t>
        </is>
      </c>
      <c r="C269" s="86" t="n">
        <v>2023</v>
      </c>
      <c r="D269" s="86" t="inlineStr">
        <is>
          <t>Included</t>
        </is>
      </c>
      <c r="E269" s="5" t="inlineStr">
        <is>
          <t>Outcome not related to interest</t>
        </is>
      </c>
      <c r="F269" s="5" t="inlineStr">
        <is>
          <t>Outcome not related to interest</t>
        </is>
      </c>
      <c r="G269" s="5" t="inlineStr">
        <is>
          <t>Outcome not related to interest</t>
        </is>
      </c>
      <c r="H269" s="5" t="inlineStr">
        <is>
          <t>Outcome not related to interest</t>
        </is>
      </c>
      <c r="I269" s="5" t="inlineStr">
        <is>
          <t>Retrospective study</t>
        </is>
      </c>
      <c r="J269" s="86" t="n">
        <v>237</v>
      </c>
    </row>
    <row r="270">
      <c r="A270" s="86" t="inlineStr">
        <is>
          <t>Validation of diagnostic accuracy of retinal image grading by trained non-ophthalmologist grader for detecting diabetic retinopathy and diabetic macular edema</t>
        </is>
      </c>
      <c r="B270" s="86" t="inlineStr">
        <is>
          <t>Joseph, S.</t>
        </is>
      </c>
      <c r="C270" s="86" t="n">
        <v>2023</v>
      </c>
      <c r="D270" s="86" t="inlineStr">
        <is>
          <t>Included</t>
        </is>
      </c>
      <c r="E270" s="86" t="inlineStr">
        <is>
          <t>Not deep learning</t>
        </is>
      </c>
      <c r="F270" s="86" t="inlineStr">
        <is>
          <t>Not deep learning</t>
        </is>
      </c>
      <c r="G270" s="86" t="inlineStr">
        <is>
          <t>Not deep learning</t>
        </is>
      </c>
      <c r="H270" s="86" t="inlineStr">
        <is>
          <t>Not deep learning</t>
        </is>
      </c>
      <c r="I270" s="86" t="inlineStr">
        <is>
          <t>Not deep learning</t>
        </is>
      </c>
      <c r="J270" s="86" t="inlineStr">
        <is>
          <t>Not deep learning</t>
        </is>
      </c>
    </row>
    <row r="271">
      <c r="A271" s="86" t="inlineStr">
        <is>
          <t>Multi-Label Retinal Disease Classification Using Transformers</t>
        </is>
      </c>
      <c r="B271" s="86" t="inlineStr">
        <is>
          <t>Rodriguez, M.A.</t>
        </is>
      </c>
      <c r="C271" s="86" t="n">
        <v>2023</v>
      </c>
      <c r="D271" s="86" t="inlineStr">
        <is>
          <t>Included</t>
        </is>
      </c>
      <c r="E271" s="5" t="inlineStr">
        <is>
          <t>Outcome not related to interest</t>
        </is>
      </c>
      <c r="F271" s="5" t="inlineStr">
        <is>
          <t>Outcome not related to interest</t>
        </is>
      </c>
      <c r="G271" s="5" t="inlineStr">
        <is>
          <t>Outcome not related to interest</t>
        </is>
      </c>
      <c r="H271" s="5" t="inlineStr">
        <is>
          <t>Outcome not related to interest</t>
        </is>
      </c>
      <c r="I271" s="5" t="inlineStr">
        <is>
          <t>Retrospective study</t>
        </is>
      </c>
      <c r="J271" s="86" t="n">
        <v>238</v>
      </c>
    </row>
    <row r="272">
      <c r="A272" s="86" t="inlineStr">
        <is>
          <t>Diagnostic accuracy of an algorithm for automated detection of presence or absence of diabetic retinopathy</t>
        </is>
      </c>
      <c r="B272" s="86" t="inlineStr">
        <is>
          <t>De Jong-Hesse, Y.</t>
        </is>
      </c>
      <c r="C272" s="86" t="n">
        <v>2023</v>
      </c>
      <c r="D272" s="86" t="inlineStr">
        <is>
          <t>Included</t>
        </is>
      </c>
      <c r="E272" s="5" t="inlineStr">
        <is>
          <t>Outcome not related to interest</t>
        </is>
      </c>
      <c r="F272" s="5" t="inlineStr">
        <is>
          <t>Outcome not related to interest</t>
        </is>
      </c>
      <c r="G272" s="5" t="inlineStr">
        <is>
          <t>Outcome not related to interest</t>
        </is>
      </c>
      <c r="H272" s="5" t="inlineStr">
        <is>
          <t>Outcome not related to interest</t>
        </is>
      </c>
      <c r="I272" s="5" t="inlineStr">
        <is>
          <t>Retrospective study</t>
        </is>
      </c>
      <c r="J272" s="86" t="n">
        <v>239</v>
      </c>
    </row>
    <row r="273">
      <c r="A273" s="86" t="inlineStr">
        <is>
          <t>Ethnic Diversity of Retinal Images Used to Train Artificial Intelligence Models Improves Diagnostic Accuracy to Detect Diabetic Retinopathy</t>
        </is>
      </c>
      <c r="B273" s="86" t="inlineStr">
        <is>
          <t>Jacoba, C.M.P.</t>
        </is>
      </c>
      <c r="C273" s="86" t="n">
        <v>2023</v>
      </c>
      <c r="D273" s="86" t="inlineStr">
        <is>
          <t>Included</t>
        </is>
      </c>
      <c r="E273" s="5" t="inlineStr">
        <is>
          <t>Outcome not related to interest</t>
        </is>
      </c>
      <c r="F273" s="5" t="inlineStr">
        <is>
          <t>Outcome not related to interest</t>
        </is>
      </c>
      <c r="G273" s="5" t="inlineStr">
        <is>
          <t>Outcome not related to interest</t>
        </is>
      </c>
      <c r="H273" s="5" t="inlineStr">
        <is>
          <t>Outcome not related to interest</t>
        </is>
      </c>
      <c r="I273" s="5" t="inlineStr">
        <is>
          <t>Retrospective study</t>
        </is>
      </c>
      <c r="J273" s="86" t="n">
        <v>240</v>
      </c>
    </row>
    <row r="274">
      <c r="A274" s="86" t="inlineStr">
        <is>
          <t>Multicenter study to validate an artificial intelligence algorithm for the screening of diabetic retinopathy: the CARDS study</t>
        </is>
      </c>
      <c r="B274" s="86" t="inlineStr">
        <is>
          <t>Donate-Lopez, J.</t>
        </is>
      </c>
      <c r="C274" s="86" t="n">
        <v>2023</v>
      </c>
      <c r="D274" s="86" t="inlineStr">
        <is>
          <t>Included</t>
        </is>
      </c>
      <c r="E274" s="5" t="inlineStr">
        <is>
          <t>Outcome not related to interest</t>
        </is>
      </c>
      <c r="F274" s="86" t="n">
        <v>32</v>
      </c>
      <c r="G274" s="5" t="inlineStr">
        <is>
          <t>Outcome not related to interest</t>
        </is>
      </c>
      <c r="H274" s="5" t="inlineStr">
        <is>
          <t>Outcome not related to interest</t>
        </is>
      </c>
      <c r="I274" s="86" t="n">
        <v>31</v>
      </c>
      <c r="J274" s="86" t="n">
        <v>241</v>
      </c>
    </row>
    <row r="275">
      <c r="A275" s="86" t="inlineStr">
        <is>
          <t>Impact of training data diversity on the generality of automated diabetic retinopathy screening in fundus photographs</t>
        </is>
      </c>
      <c r="B275" s="86" t="inlineStr">
        <is>
          <t>Matta, S.</t>
        </is>
      </c>
      <c r="C275" s="86" t="n">
        <v>2023</v>
      </c>
      <c r="D275" s="86" t="inlineStr">
        <is>
          <t>Included</t>
        </is>
      </c>
      <c r="E275" s="5" t="inlineStr">
        <is>
          <t>Outcome not related to interest</t>
        </is>
      </c>
      <c r="F275" s="5" t="inlineStr">
        <is>
          <t>Outcome not related to interest</t>
        </is>
      </c>
      <c r="G275" s="5" t="inlineStr">
        <is>
          <t>Outcome not related to interest</t>
        </is>
      </c>
      <c r="H275" s="5" t="inlineStr">
        <is>
          <t>Outcome not related to interest</t>
        </is>
      </c>
      <c r="I275" s="5" t="inlineStr">
        <is>
          <t>Retrospective study</t>
        </is>
      </c>
      <c r="J275" s="86" t="n">
        <v>242</v>
      </c>
    </row>
    <row r="276">
      <c r="A276" s="86" t="inlineStr">
        <is>
          <t>Performance of Automated Machine Learning for Predicting Diabetic Retinopathy Progression from Ultrawide Field Retinal Images</t>
        </is>
      </c>
      <c r="B276" s="86" t="inlineStr">
        <is>
          <t>Silva, P.S.</t>
        </is>
      </c>
      <c r="C276" s="86" t="n">
        <v>2023</v>
      </c>
      <c r="D276" s="86" t="inlineStr">
        <is>
          <t>Included</t>
        </is>
      </c>
      <c r="E276" s="5" t="inlineStr">
        <is>
          <t>Outcome not related to interest</t>
        </is>
      </c>
      <c r="F276" s="5" t="inlineStr">
        <is>
          <t>Outcome not related to interest</t>
        </is>
      </c>
      <c r="G276" s="5" t="inlineStr">
        <is>
          <t>Outcome not related to interest</t>
        </is>
      </c>
      <c r="H276" s="5" t="inlineStr">
        <is>
          <t>Outcome not related to interest</t>
        </is>
      </c>
      <c r="I276" s="86" t="n">
        <v>32</v>
      </c>
      <c r="J276" s="86" t="n">
        <v>243</v>
      </c>
    </row>
    <row r="277">
      <c r="A277" s="86" t="inlineStr">
        <is>
          <t>Enhanced Recognition system for Diabetic Retinopathy using Machine Learning with Deep Learning Approach</t>
        </is>
      </c>
      <c r="B277" s="86" t="inlineStr">
        <is>
          <t>Pradeep, J.</t>
        </is>
      </c>
      <c r="C277" s="86" t="n">
        <v>2023</v>
      </c>
      <c r="D277" s="86" t="inlineStr">
        <is>
          <t>Included</t>
        </is>
      </c>
      <c r="E277" s="5" t="inlineStr">
        <is>
          <t>Outcome not related to interest</t>
        </is>
      </c>
      <c r="F277" s="5" t="inlineStr">
        <is>
          <t>Outcome not related to interest</t>
        </is>
      </c>
      <c r="G277" s="5" t="inlineStr">
        <is>
          <t>Outcome not related to interest</t>
        </is>
      </c>
      <c r="H277" s="5" t="inlineStr">
        <is>
          <t>Outcome not related to interest</t>
        </is>
      </c>
      <c r="I277" s="5" t="inlineStr">
        <is>
          <t>Retrospective study</t>
        </is>
      </c>
      <c r="J277" s="86" t="n">
        <v>244</v>
      </c>
    </row>
    <row r="278">
      <c r="A278" s="86" t="inlineStr">
        <is>
          <t>Automatic Classification of Colour Fundus Images for Prediction Eye Disease Types Based on Hybrid Features</t>
        </is>
      </c>
      <c r="B278" s="86" t="inlineStr">
        <is>
          <t>Shamsan, A.</t>
        </is>
      </c>
      <c r="C278" s="86" t="n">
        <v>2023</v>
      </c>
      <c r="D278" s="86" t="inlineStr">
        <is>
          <t>Included</t>
        </is>
      </c>
      <c r="E278" s="5" t="inlineStr">
        <is>
          <t>Outcome not related to interest</t>
        </is>
      </c>
      <c r="F278" s="5" t="inlineStr">
        <is>
          <t>Outcome not related to interest</t>
        </is>
      </c>
      <c r="G278" s="5" t="inlineStr">
        <is>
          <t>Outcome not related to interest</t>
        </is>
      </c>
      <c r="H278" s="5" t="inlineStr">
        <is>
          <t>Outcome not related to interest</t>
        </is>
      </c>
      <c r="I278" s="5" t="inlineStr">
        <is>
          <t>Retrospective study</t>
        </is>
      </c>
      <c r="J278" s="86" t="n">
        <v>245</v>
      </c>
    </row>
    <row r="279">
      <c r="A279" s="86" t="inlineStr">
        <is>
          <t>Accuracy of Point of Care Artificial Intelligence Grading Using Handheld Retinal Imaging in a Community-based Diabetic Eye Screening Programme</t>
        </is>
      </c>
      <c r="B279" s="86" t="inlineStr">
        <is>
          <t>Salongcay, R.P.</t>
        </is>
      </c>
      <c r="C279" s="86" t="n">
        <v>2023</v>
      </c>
      <c r="D279" s="86" t="inlineStr">
        <is>
          <t>Included</t>
        </is>
      </c>
      <c r="E279" s="5" t="inlineStr">
        <is>
          <t>Outcome not related to interest</t>
        </is>
      </c>
      <c r="F279" s="86" t="n">
        <v>33</v>
      </c>
      <c r="G279" s="5" t="inlineStr">
        <is>
          <t>Outcome not related to interest</t>
        </is>
      </c>
      <c r="H279" s="5" t="inlineStr">
        <is>
          <t>Outcome not related to interest</t>
        </is>
      </c>
      <c r="I279" s="86" t="n">
        <v>33</v>
      </c>
      <c r="J279" s="86" t="n">
        <v>246</v>
      </c>
    </row>
    <row r="280">
      <c r="A280" s="86" t="inlineStr">
        <is>
          <t>Adaptive Comparative Judgement as A Basis for A Machine Learning Algorithm for Diabetic Retinopathy Screening</t>
        </is>
      </c>
      <c r="B280" s="86" t="inlineStr">
        <is>
          <t>Wong, D.</t>
        </is>
      </c>
      <c r="C280" s="86" t="n">
        <v>2023</v>
      </c>
      <c r="D280" s="86" t="inlineStr">
        <is>
          <t>Included</t>
        </is>
      </c>
      <c r="E280" s="5" t="inlineStr">
        <is>
          <t>Outcome not related to interest</t>
        </is>
      </c>
      <c r="F280" s="5" t="inlineStr">
        <is>
          <t>Outcome not related to interest</t>
        </is>
      </c>
      <c r="G280" s="5" t="inlineStr">
        <is>
          <t>Outcome not related to interest</t>
        </is>
      </c>
      <c r="H280" s="5" t="inlineStr">
        <is>
          <t>Outcome not related to interest</t>
        </is>
      </c>
      <c r="I280" s="5" t="inlineStr">
        <is>
          <t>Retrospective study</t>
        </is>
      </c>
      <c r="J280" s="86" t="n">
        <v>247</v>
      </c>
    </row>
    <row r="281">
      <c r="A281" s="86" t="inlineStr">
        <is>
          <t>Retinal Disease Early Detection using Deep Learning on Ultra-wide-field Fundus Images</t>
        </is>
      </c>
      <c r="B281" s="86" t="inlineStr">
        <is>
          <t>Nguyen, T.D.</t>
        </is>
      </c>
      <c r="C281" s="86" t="n">
        <v>2023</v>
      </c>
      <c r="D281" s="86" t="inlineStr">
        <is>
          <t>Included</t>
        </is>
      </c>
      <c r="E281" s="86" t="inlineStr">
        <is>
          <t>Insufficient to constrct confusion matrix</t>
        </is>
      </c>
      <c r="F281" s="86" t="inlineStr">
        <is>
          <t>Insufficient to constrct confusion matrix</t>
        </is>
      </c>
      <c r="G281" s="86" t="inlineStr">
        <is>
          <t>Insufficient to constrct confusion matrix</t>
        </is>
      </c>
      <c r="H281" s="86" t="inlineStr">
        <is>
          <t>Insufficient to constrct confusion matrix</t>
        </is>
      </c>
      <c r="I281" s="86" t="inlineStr">
        <is>
          <t>Insufficient to constrct confusion matrix</t>
        </is>
      </c>
      <c r="J281" s="86" t="inlineStr">
        <is>
          <t>Insufficient to constrct confusion matrix</t>
        </is>
      </c>
    </row>
    <row r="282">
      <c r="A282" s="86" t="inlineStr">
        <is>
          <t>Automatic classification of retinal diseases with transfer learning-based lightweight convolutional neural network</t>
        </is>
      </c>
      <c r="B282" s="86" t="inlineStr">
        <is>
          <t>Lu, Z.</t>
        </is>
      </c>
      <c r="C282" s="86" t="n">
        <v>2023</v>
      </c>
      <c r="D282" s="86" t="inlineStr">
        <is>
          <t>Included</t>
        </is>
      </c>
      <c r="E282" s="5" t="inlineStr">
        <is>
          <t>Outcome not related to interest</t>
        </is>
      </c>
      <c r="F282" s="5" t="inlineStr">
        <is>
          <t>Outcome not related to interest</t>
        </is>
      </c>
      <c r="G282" s="5" t="inlineStr">
        <is>
          <t>Outcome not related to interest</t>
        </is>
      </c>
      <c r="H282" s="5" t="inlineStr">
        <is>
          <t>Outcome not related to interest</t>
        </is>
      </c>
      <c r="I282" s="5" t="inlineStr">
        <is>
          <t>Retrospective study</t>
        </is>
      </c>
      <c r="J282" s="86" t="n">
        <v>248</v>
      </c>
    </row>
    <row r="283">
      <c r="A283" s="86" t="inlineStr">
        <is>
          <t>Attention-Driven Cascaded Network for Diabetic Retinopathy Grading from Fundus Images</t>
        </is>
      </c>
      <c r="B283" s="86" t="inlineStr">
        <is>
          <t>Yue, G.</t>
        </is>
      </c>
      <c r="C283" s="86" t="n">
        <v>2023</v>
      </c>
      <c r="D283" s="86" t="inlineStr">
        <is>
          <t>Included</t>
        </is>
      </c>
      <c r="E283" s="5" t="inlineStr">
        <is>
          <t>Outcome not related to interest</t>
        </is>
      </c>
      <c r="F283" s="5" t="inlineStr">
        <is>
          <t>Outcome not related to interest</t>
        </is>
      </c>
      <c r="G283" s="5" t="inlineStr">
        <is>
          <t>Outcome not related to interest</t>
        </is>
      </c>
      <c r="H283" s="5" t="inlineStr">
        <is>
          <t>Outcome not related to interest</t>
        </is>
      </c>
      <c r="I283" s="5" t="inlineStr">
        <is>
          <t>Retrospective study</t>
        </is>
      </c>
      <c r="J283" s="86" t="n">
        <v>249</v>
      </c>
    </row>
    <row r="284">
      <c r="A284" s="86" t="inlineStr">
        <is>
          <t>Multi-point attention-based semi-supervised learning for diabetic retinopathy classification</t>
        </is>
      </c>
      <c r="B284" s="86" t="inlineStr">
        <is>
          <t>Zhang, C.</t>
        </is>
      </c>
      <c r="C284" s="86" t="n">
        <v>2023</v>
      </c>
      <c r="D284" s="86" t="inlineStr">
        <is>
          <t>Included</t>
        </is>
      </c>
      <c r="E284" s="5" t="inlineStr">
        <is>
          <t>Outcome not related to interest</t>
        </is>
      </c>
      <c r="F284" s="5" t="inlineStr">
        <is>
          <t>Outcome not related to interest</t>
        </is>
      </c>
      <c r="G284" s="5" t="inlineStr">
        <is>
          <t>Outcome not related to interest</t>
        </is>
      </c>
      <c r="H284" s="5" t="inlineStr">
        <is>
          <t>Outcome not related to interest</t>
        </is>
      </c>
      <c r="I284" s="5" t="inlineStr">
        <is>
          <t>Retrospective study</t>
        </is>
      </c>
      <c r="J284" s="86" t="n">
        <v>250</v>
      </c>
    </row>
    <row r="285">
      <c r="A285" s="86" t="inlineStr">
        <is>
          <t>Discriminative kernel convolution network for multi-label ophthalmic disease detection on imbalanced fundus image dataset</t>
        </is>
      </c>
      <c r="B285" s="86" t="inlineStr">
        <is>
          <t>Bhati, A.</t>
        </is>
      </c>
      <c r="C285" s="86" t="n">
        <v>2023</v>
      </c>
      <c r="D285" s="86" t="inlineStr">
        <is>
          <t>Included</t>
        </is>
      </c>
      <c r="E285" s="5" t="inlineStr">
        <is>
          <t>Outcome not related to interest</t>
        </is>
      </c>
      <c r="F285" s="5" t="inlineStr">
        <is>
          <t>Outcome not related to interest</t>
        </is>
      </c>
      <c r="G285" s="5" t="inlineStr">
        <is>
          <t>Outcome not related to interest</t>
        </is>
      </c>
      <c r="H285" s="5" t="inlineStr">
        <is>
          <t>Outcome not related to interest</t>
        </is>
      </c>
      <c r="I285" s="5" t="inlineStr">
        <is>
          <t>Retrospective study</t>
        </is>
      </c>
      <c r="J285" s="86" t="n">
        <v>251</v>
      </c>
    </row>
    <row r="286">
      <c r="A286" s="86" t="inlineStr">
        <is>
          <t>SCREENING OF DIABETIC RETINOPATHY WITH AIREEN ARTIFICIAL INTELLIGENCE ALGORITHM PROVIDES SAFE IDENTIFICATION OF PATIENTS SUITABLE FOR EXAMINATION BY OPHTHALMOLOGISTS</t>
        </is>
      </c>
      <c r="B286" s="86" t="inlineStr">
        <is>
          <t>Pr獺zn羸, M.</t>
        </is>
      </c>
      <c r="C286" s="86" t="n">
        <v>2023</v>
      </c>
      <c r="D286" s="86" t="inlineStr">
        <is>
          <t>Included</t>
        </is>
      </c>
      <c r="E286" s="5" t="inlineStr">
        <is>
          <t>Outcome not related to interest</t>
        </is>
      </c>
      <c r="F286" s="86" t="n">
        <v>34</v>
      </c>
      <c r="G286" s="5" t="inlineStr">
        <is>
          <t>Outcome not related to interest</t>
        </is>
      </c>
      <c r="H286" s="86" t="n">
        <v>13</v>
      </c>
      <c r="I286" s="5" t="inlineStr">
        <is>
          <t>Retrospective study</t>
        </is>
      </c>
      <c r="J286" s="86" t="n">
        <v>252</v>
      </c>
    </row>
    <row r="287">
      <c r="A287" s="86" t="inlineStr">
        <is>
          <t>USE OF TECHNOLOGY FOR LOW SOCIOECONOMIC STATUS COMMUNITY SCREENING OF DIABETIC RETINOPATHY</t>
        </is>
      </c>
      <c r="B287" s="86" t="inlineStr">
        <is>
          <t>Chawla, M.</t>
        </is>
      </c>
      <c r="C287" s="86" t="n">
        <v>2023</v>
      </c>
      <c r="D287" s="86" t="inlineStr">
        <is>
          <t>Included</t>
        </is>
      </c>
      <c r="E287" s="5" t="inlineStr">
        <is>
          <t>Outcome not related to interest</t>
        </is>
      </c>
      <c r="F287" s="86" t="n">
        <v>35</v>
      </c>
      <c r="G287" s="5" t="inlineStr">
        <is>
          <t>Outcome not related to interest</t>
        </is>
      </c>
      <c r="H287" s="5" t="inlineStr">
        <is>
          <t>Outcome not related to interest</t>
        </is>
      </c>
      <c r="I287" s="86" t="n">
        <v>34</v>
      </c>
      <c r="J287" s="86" t="n">
        <v>253</v>
      </c>
    </row>
    <row r="288">
      <c r="A288" s="86" t="inlineStr">
        <is>
          <t>Hierarchical Fuzzy Expert System for the accurate Detection of Diabetic Retinopathy with more efficient means</t>
        </is>
      </c>
      <c r="B288" s="86" t="inlineStr">
        <is>
          <t>Kumar, K.</t>
        </is>
      </c>
      <c r="C288" s="86" t="n">
        <v>2023</v>
      </c>
      <c r="D288" s="86" t="inlineStr">
        <is>
          <t>Included</t>
        </is>
      </c>
      <c r="E288" s="5" t="inlineStr">
        <is>
          <t>Outcome not related to interest</t>
        </is>
      </c>
      <c r="F288" s="5" t="inlineStr">
        <is>
          <t>Outcome not related to interest</t>
        </is>
      </c>
      <c r="G288" s="5" t="inlineStr">
        <is>
          <t>Outcome not related to interest</t>
        </is>
      </c>
      <c r="H288" s="5" t="inlineStr">
        <is>
          <t>Outcome not related to interest</t>
        </is>
      </c>
      <c r="I288" s="5" t="inlineStr">
        <is>
          <t>Retrospective study</t>
        </is>
      </c>
      <c r="J288" s="86" t="n">
        <v>254</v>
      </c>
    </row>
    <row r="289">
      <c r="A289" s="86" t="inlineStr">
        <is>
          <t>Classification of diabetic retinopathy based on improved deep forest model</t>
        </is>
      </c>
      <c r="B289" s="86" t="inlineStr">
        <is>
          <t>Qin, X.</t>
        </is>
      </c>
      <c r="C289" s="86" t="n">
        <v>2023</v>
      </c>
      <c r="D289" s="86" t="inlineStr">
        <is>
          <t>Included</t>
        </is>
      </c>
      <c r="E289" s="5" t="inlineStr">
        <is>
          <t>Outcome not related to interest</t>
        </is>
      </c>
      <c r="F289" s="5" t="inlineStr">
        <is>
          <t>Outcome not related to interest</t>
        </is>
      </c>
      <c r="G289" s="5" t="inlineStr">
        <is>
          <t>Outcome not related to interest</t>
        </is>
      </c>
      <c r="H289" s="5" t="inlineStr">
        <is>
          <t>Outcome not related to interest</t>
        </is>
      </c>
      <c r="I289" s="5" t="inlineStr">
        <is>
          <t>Retrospective study</t>
        </is>
      </c>
      <c r="J289" s="86" t="n">
        <v>255</v>
      </c>
    </row>
    <row r="290">
      <c r="A290" s="86" t="inlineStr">
        <is>
          <t>An intelligent approach for detection and grading of diabetic retinopathy and diabetic macular edema using retinal images</t>
        </is>
      </c>
      <c r="B290" s="86" t="inlineStr">
        <is>
          <t>Nage, P.</t>
        </is>
      </c>
      <c r="C290" s="86" t="n">
        <v>2023</v>
      </c>
      <c r="D290" s="86" t="inlineStr">
        <is>
          <t>Included</t>
        </is>
      </c>
      <c r="E290" s="5" t="inlineStr">
        <is>
          <t>Outcome not related to interest</t>
        </is>
      </c>
      <c r="F290" s="5" t="inlineStr">
        <is>
          <t>Outcome not related to interest</t>
        </is>
      </c>
      <c r="G290" s="5" t="inlineStr">
        <is>
          <t>Outcome not related to interest</t>
        </is>
      </c>
      <c r="H290" s="5" t="inlineStr">
        <is>
          <t>Outcome not related to interest</t>
        </is>
      </c>
      <c r="I290" s="5" t="inlineStr">
        <is>
          <t>Retrospective study</t>
        </is>
      </c>
      <c r="J290" s="86" t="n">
        <v>256</v>
      </c>
    </row>
    <row r="291">
      <c r="A291" s="86" t="inlineStr">
        <is>
          <t>AHO-MLCNN: archerfish hunting optimisation based modified lightweight CNN for diabetic retinopathy detection</t>
        </is>
      </c>
      <c r="B291" s="86" t="inlineStr">
        <is>
          <t>Desika Vinayaki, V.</t>
        </is>
      </c>
      <c r="C291" s="86" t="n">
        <v>2023</v>
      </c>
      <c r="D291" s="86" t="inlineStr">
        <is>
          <t>Included</t>
        </is>
      </c>
      <c r="E291" s="5" t="inlineStr">
        <is>
          <t>Outcome not related to interest</t>
        </is>
      </c>
      <c r="F291" s="5" t="inlineStr">
        <is>
          <t>Outcome not related to interest</t>
        </is>
      </c>
      <c r="G291" s="5" t="inlineStr">
        <is>
          <t>Outcome not related to interest</t>
        </is>
      </c>
      <c r="H291" s="5" t="inlineStr">
        <is>
          <t>Outcome not related to interest</t>
        </is>
      </c>
      <c r="I291" s="5" t="inlineStr">
        <is>
          <t>Retrospective study</t>
        </is>
      </c>
      <c r="J291" s="86" t="n">
        <v>257</v>
      </c>
    </row>
    <row r="292">
      <c r="A292" s="86" t="inlineStr">
        <is>
          <t>Intelligent identification and classification of diabetic retinopathy using fuzzy inference system</t>
        </is>
      </c>
      <c r="B292" s="86" t="inlineStr">
        <is>
          <t>Medhi, J.P.</t>
        </is>
      </c>
      <c r="C292" s="86" t="n">
        <v>2023</v>
      </c>
      <c r="D292" s="86" t="inlineStr">
        <is>
          <t>Included</t>
        </is>
      </c>
      <c r="E292" s="5" t="inlineStr">
        <is>
          <t>Outcome not related to interest</t>
        </is>
      </c>
      <c r="F292" s="5" t="inlineStr">
        <is>
          <t>Outcome not related to interest</t>
        </is>
      </c>
      <c r="G292" s="5" t="inlineStr">
        <is>
          <t>Outcome not related to interest</t>
        </is>
      </c>
      <c r="H292" s="5" t="inlineStr">
        <is>
          <t>Outcome not related to interest</t>
        </is>
      </c>
      <c r="I292" s="5" t="inlineStr">
        <is>
          <t>Retrospective study</t>
        </is>
      </c>
      <c r="J292" s="86" t="n">
        <v>258</v>
      </c>
    </row>
    <row r="293">
      <c r="A293" s="86" t="inlineStr">
        <is>
          <t>U-Net-based gannet sine cosine algorithm enabled lesion segmentation and deep CNN for diabetic retinopathy classification</t>
        </is>
      </c>
      <c r="B293" s="86" t="inlineStr">
        <is>
          <t>Mundada, R.G.</t>
        </is>
      </c>
      <c r="C293" s="86" t="n">
        <v>2023</v>
      </c>
      <c r="D293" s="86" t="inlineStr">
        <is>
          <t>Included</t>
        </is>
      </c>
      <c r="E293" s="5" t="inlineStr">
        <is>
          <t>Outcome not related to interest</t>
        </is>
      </c>
      <c r="F293" s="5" t="inlineStr">
        <is>
          <t>Outcome not related to interest</t>
        </is>
      </c>
      <c r="G293" s="5" t="inlineStr">
        <is>
          <t>Outcome not related to interest</t>
        </is>
      </c>
      <c r="H293" s="5" t="inlineStr">
        <is>
          <t>Outcome not related to interest</t>
        </is>
      </c>
      <c r="I293" s="5" t="inlineStr">
        <is>
          <t>Retrospective study</t>
        </is>
      </c>
      <c r="J293" s="86" t="n">
        <v>259</v>
      </c>
    </row>
    <row r="294">
      <c r="A294" s="86" t="inlineStr">
        <is>
          <t>A Hybrid Convolutional Neural Network Model for Automatic Diabetic Retinopathy Classification From Fundus Images</t>
        </is>
      </c>
      <c r="B294" s="86" t="inlineStr">
        <is>
          <t>Ali, G.</t>
        </is>
      </c>
      <c r="C294" s="86" t="n">
        <v>2023</v>
      </c>
      <c r="D294" s="86" t="inlineStr">
        <is>
          <t>Included</t>
        </is>
      </c>
      <c r="E294" s="5" t="inlineStr">
        <is>
          <t>Outcome not related to interest</t>
        </is>
      </c>
      <c r="F294" s="5" t="inlineStr">
        <is>
          <t>Outcome not related to interest</t>
        </is>
      </c>
      <c r="G294" s="5" t="inlineStr">
        <is>
          <t>Outcome not related to interest</t>
        </is>
      </c>
      <c r="H294" s="5" t="inlineStr">
        <is>
          <t>Outcome not related to interest</t>
        </is>
      </c>
      <c r="I294" s="5" t="inlineStr">
        <is>
          <t>Retrospective study</t>
        </is>
      </c>
      <c r="J294" s="86" t="n">
        <v>260</v>
      </c>
    </row>
    <row r="295">
      <c r="A295" s="86" t="inlineStr">
        <is>
          <t>Clinical Validation of a Program for Diagnosing Vision-Threatening Diabetic Retinopathy Based on Automatic Segmentation Algorithms</t>
        </is>
      </c>
      <c r="B295" s="86" t="inlineStr">
        <is>
          <t>Gabaraev, G.M.</t>
        </is>
      </c>
      <c r="C295" s="86" t="n">
        <v>2023</v>
      </c>
      <c r="D295" s="86" t="inlineStr">
        <is>
          <t>Included</t>
        </is>
      </c>
      <c r="E295" s="5" t="inlineStr">
        <is>
          <t>Outcome not related to interest</t>
        </is>
      </c>
      <c r="F295" s="5" t="inlineStr">
        <is>
          <t>Outcome not related to interest</t>
        </is>
      </c>
      <c r="G295" s="5" t="inlineStr">
        <is>
          <t>Outcome not related to interest</t>
        </is>
      </c>
      <c r="H295" s="5" t="inlineStr">
        <is>
          <t>Outcome not related to interest</t>
        </is>
      </c>
      <c r="I295" s="5" t="inlineStr">
        <is>
          <t>Retrospective study</t>
        </is>
      </c>
      <c r="J295" s="86" t="n">
        <v>261</v>
      </c>
    </row>
    <row r="296">
      <c r="A296" s="86" t="inlineStr">
        <is>
          <t>DEEP LEARNING BASED DIABETIC RETINOPATHY DIAGNOSIS USING RETINAL IMAGE ENHANCEMENT</t>
        </is>
      </c>
      <c r="B296" s="86" t="inlineStr">
        <is>
          <t>Mary Rajee, S.A.</t>
        </is>
      </c>
      <c r="C296" s="86" t="n">
        <v>2023</v>
      </c>
      <c r="D296" s="86" t="inlineStr">
        <is>
          <t>Included</t>
        </is>
      </c>
      <c r="E296" s="5" t="inlineStr">
        <is>
          <t>Outcome not related to interest</t>
        </is>
      </c>
      <c r="F296" s="5" t="inlineStr">
        <is>
          <t>Outcome not related to interest</t>
        </is>
      </c>
      <c r="G296" s="5" t="inlineStr">
        <is>
          <t>Outcome not related to interest</t>
        </is>
      </c>
      <c r="H296" s="5" t="inlineStr">
        <is>
          <t>Outcome not related to interest</t>
        </is>
      </c>
      <c r="I296" s="5" t="inlineStr">
        <is>
          <t>Retrospective study</t>
        </is>
      </c>
      <c r="J296" s="86" t="n">
        <v>262</v>
      </c>
    </row>
    <row r="297">
      <c r="A297" s="86" t="inlineStr">
        <is>
          <t>Diabetic Retinopathy Screening Using Artificial Intelligence and Handheld Smartphone-Based Retinal Camera.</t>
        </is>
      </c>
      <c r="B297" s="86" t="inlineStr">
        <is>
          <t>Malerbi, Fernando Korn</t>
        </is>
      </c>
      <c r="C297" s="86" t="n">
        <v>2022</v>
      </c>
      <c r="D297" s="86" t="inlineStr">
        <is>
          <t>Included</t>
        </is>
      </c>
      <c r="E297" s="5" t="inlineStr">
        <is>
          <t>Outcome not related to interest</t>
        </is>
      </c>
      <c r="F297" s="5" t="inlineStr">
        <is>
          <t>Outcome not related to interest</t>
        </is>
      </c>
      <c r="G297" s="5" t="inlineStr">
        <is>
          <t>Outcome not related to interest</t>
        </is>
      </c>
      <c r="H297" s="5" t="inlineStr">
        <is>
          <t>Outcome not related to interest</t>
        </is>
      </c>
      <c r="I297" s="5" t="inlineStr">
        <is>
          <t>Retrospective study</t>
        </is>
      </c>
      <c r="J297" s="86" t="n">
        <v>263</v>
      </c>
    </row>
    <row r="298">
      <c r="A298" s="86" t="inlineStr">
        <is>
          <t>Clinical validation of an artificial intelligence-based diabetic retinopathy screening tool for a national health system.</t>
        </is>
      </c>
      <c r="B298" s="86" t="inlineStr">
        <is>
          <t>Arenas-Cavalli, Jos矇 Tom獺s</t>
        </is>
      </c>
      <c r="C298" s="86" t="n">
        <v>2022</v>
      </c>
      <c r="D298" s="86" t="inlineStr">
        <is>
          <t>Included</t>
        </is>
      </c>
      <c r="E298" s="5" t="inlineStr">
        <is>
          <t>Outcome not related to interest</t>
        </is>
      </c>
      <c r="F298" s="86" t="n">
        <v>36</v>
      </c>
      <c r="G298" s="5" t="inlineStr">
        <is>
          <t>Outcome not related to interest</t>
        </is>
      </c>
      <c r="H298" s="5" t="inlineStr">
        <is>
          <t>Outcome not related to interest</t>
        </is>
      </c>
      <c r="I298" s="5" t="inlineStr">
        <is>
          <t>Retrospective study</t>
        </is>
      </c>
      <c r="J298" s="86" t="n">
        <v>264</v>
      </c>
    </row>
    <row r="299">
      <c r="A299" s="86" t="inlineStr">
        <is>
          <t>Automated feature-based grading and progression analysis of diabetic retinopathy.</t>
        </is>
      </c>
      <c r="B299" s="86" t="inlineStr">
        <is>
          <t>Al-Turk, Lutfiah</t>
        </is>
      </c>
      <c r="C299" s="86" t="n">
        <v>2022</v>
      </c>
      <c r="D299" s="86" t="inlineStr">
        <is>
          <t>Included</t>
        </is>
      </c>
      <c r="E299" s="5" t="inlineStr">
        <is>
          <t>Outcome not related to interest</t>
        </is>
      </c>
      <c r="F299" s="5" t="inlineStr">
        <is>
          <t>Outcome not related to interest</t>
        </is>
      </c>
      <c r="G299" s="5" t="inlineStr">
        <is>
          <t>Outcome not related to interest</t>
        </is>
      </c>
      <c r="H299" s="5" t="inlineStr">
        <is>
          <t>Outcome not related to interest</t>
        </is>
      </c>
      <c r="I299" s="5" t="inlineStr">
        <is>
          <t>Retrospective study</t>
        </is>
      </c>
      <c r="J299" s="86" t="n">
        <v>265</v>
      </c>
    </row>
    <row r="300">
      <c r="A300" s="86" t="inlineStr">
        <is>
          <t>A Comparison of Artificial Intelligence and Human Diabetic Retinal Image Interpretation in an Urban Health System.</t>
        </is>
      </c>
      <c r="B300" s="86" t="inlineStr">
        <is>
          <t>Mokhashi, Nikita</t>
        </is>
      </c>
      <c r="C300" s="86" t="n">
        <v>2022</v>
      </c>
      <c r="D300" s="86" t="inlineStr">
        <is>
          <t>Included</t>
        </is>
      </c>
      <c r="E300" s="86" t="n">
        <v>15</v>
      </c>
      <c r="F300" s="86" t="n">
        <v>37</v>
      </c>
      <c r="G300" s="5" t="inlineStr">
        <is>
          <t>Outcome not related to interest</t>
        </is>
      </c>
      <c r="H300" s="5" t="inlineStr">
        <is>
          <t>Outcome not related to interest</t>
        </is>
      </c>
      <c r="I300" s="5" t="inlineStr">
        <is>
          <t>Retrospective study</t>
        </is>
      </c>
      <c r="J300" s="86" t="n">
        <v>266</v>
      </c>
    </row>
    <row r="301">
      <c r="A301" s="86" t="inlineStr">
        <is>
          <t>Deep learning-based automated detection for diabetic retinopathy and diabetic macular oedema in retinal fundus photographs.</t>
        </is>
      </c>
      <c r="B301" s="86" t="inlineStr">
        <is>
          <t>Li, Feng</t>
        </is>
      </c>
      <c r="C301" s="86" t="n">
        <v>2022</v>
      </c>
      <c r="D301" s="86" t="inlineStr">
        <is>
          <t>Included</t>
        </is>
      </c>
      <c r="E301" s="5" t="inlineStr">
        <is>
          <t>Outcome not related to interest</t>
        </is>
      </c>
      <c r="F301" s="5" t="inlineStr">
        <is>
          <t>Outcome not related to interest</t>
        </is>
      </c>
      <c r="G301" s="5" t="inlineStr">
        <is>
          <t>Outcome not related to interest</t>
        </is>
      </c>
      <c r="H301" s="5" t="inlineStr">
        <is>
          <t>Outcome not related to interest</t>
        </is>
      </c>
      <c r="I301" s="5" t="inlineStr">
        <is>
          <t>Retrospective study</t>
        </is>
      </c>
      <c r="J301" s="86" t="n">
        <v>267</v>
      </c>
    </row>
    <row r="302">
      <c r="A302" s="86" t="inlineStr">
        <is>
          <t>Telemedical Diabetic Retinopathy Screening in a Primary Care Setting: Quality of Retinal Photographs and Accuracy of Automated Image Analysis.</t>
        </is>
      </c>
      <c r="B302" s="86" t="inlineStr">
        <is>
          <t>Wintergerst, Maximilian W M</t>
        </is>
      </c>
      <c r="C302" s="86" t="n">
        <v>2022</v>
      </c>
      <c r="D302" s="86" t="inlineStr">
        <is>
          <t>Included</t>
        </is>
      </c>
      <c r="E302" s="86" t="n">
        <v>16</v>
      </c>
      <c r="F302" s="86" t="n">
        <v>38</v>
      </c>
      <c r="G302" s="5" t="inlineStr">
        <is>
          <t>Outcome not related to interest</t>
        </is>
      </c>
      <c r="H302" s="86" t="n">
        <v>14</v>
      </c>
      <c r="I302" s="5" t="inlineStr">
        <is>
          <t>Retrospective study</t>
        </is>
      </c>
      <c r="J302" s="86" t="n">
        <v>268</v>
      </c>
    </row>
    <row r="303">
      <c r="A303" s="86" t="inlineStr">
        <is>
          <t>Joint Learning of Multi-Level Tasks for Diabetic Retinopathy Grading on Low-Resolution Fundus Images.</t>
        </is>
      </c>
      <c r="B303" s="86" t="inlineStr">
        <is>
          <t>Wang, Xiaofei</t>
        </is>
      </c>
      <c r="C303" s="86" t="n">
        <v>2022</v>
      </c>
      <c r="D303" s="86" t="inlineStr">
        <is>
          <t>Included</t>
        </is>
      </c>
      <c r="E303" s="5" t="inlineStr">
        <is>
          <t>Outcome not related to interest</t>
        </is>
      </c>
      <c r="F303" s="5" t="inlineStr">
        <is>
          <t>Outcome not related to interest</t>
        </is>
      </c>
      <c r="G303" s="5" t="inlineStr">
        <is>
          <t>Outcome not related to interest</t>
        </is>
      </c>
      <c r="H303" s="5" t="inlineStr">
        <is>
          <t>Outcome not related to interest</t>
        </is>
      </c>
      <c r="I303" s="5" t="inlineStr">
        <is>
          <t>Retrospective study</t>
        </is>
      </c>
      <c r="J303" s="86" t="n">
        <v>269</v>
      </c>
    </row>
    <row r="304">
      <c r="A304" s="86" t="inlineStr">
        <is>
          <t>Automated detection of severe diabetic retinopathy using deep learning method.</t>
        </is>
      </c>
      <c r="B304" s="86" t="inlineStr">
        <is>
          <t>Zhang, Xiao</t>
        </is>
      </c>
      <c r="C304" s="86" t="n">
        <v>2022</v>
      </c>
      <c r="D304" s="86" t="inlineStr">
        <is>
          <t>Included</t>
        </is>
      </c>
      <c r="E304" s="5" t="inlineStr">
        <is>
          <t>Outcome not related to interest</t>
        </is>
      </c>
      <c r="F304" s="5" t="inlineStr">
        <is>
          <t>Outcome not related to interest</t>
        </is>
      </c>
      <c r="G304" s="5" t="inlineStr">
        <is>
          <t>Outcome not related to interest</t>
        </is>
      </c>
      <c r="H304" s="5" t="inlineStr">
        <is>
          <t>Outcome not related to interest</t>
        </is>
      </c>
      <c r="I304" s="5" t="inlineStr">
        <is>
          <t>Retrospective study</t>
        </is>
      </c>
      <c r="J304" s="86" t="n">
        <v>270</v>
      </c>
    </row>
    <row r="305">
      <c r="A305" s="86" t="inlineStr">
        <is>
          <t>Evaluation of a New Neural Network Classifier for Diabetic Retinopathy.</t>
        </is>
      </c>
      <c r="B305" s="86" t="inlineStr">
        <is>
          <t>Katz, Or</t>
        </is>
      </c>
      <c r="C305" s="86" t="n">
        <v>2022</v>
      </c>
      <c r="D305" s="86" t="inlineStr">
        <is>
          <t>Included</t>
        </is>
      </c>
      <c r="E305" s="5" t="inlineStr">
        <is>
          <t>Outcome not related to interest</t>
        </is>
      </c>
      <c r="F305" s="5" t="inlineStr">
        <is>
          <t>Outcome not related to interest</t>
        </is>
      </c>
      <c r="G305" s="5" t="inlineStr">
        <is>
          <t>Outcome not related to interest</t>
        </is>
      </c>
      <c r="H305" s="5" t="inlineStr">
        <is>
          <t>Outcome not related to interest</t>
        </is>
      </c>
      <c r="I305" s="5" t="inlineStr">
        <is>
          <t>Retrospective study</t>
        </is>
      </c>
      <c r="J305" s="86" t="n">
        <v>271</v>
      </c>
    </row>
    <row r="306">
      <c r="A306" s="86" t="inlineStr">
        <is>
          <t>Efficacy of artificial intelligence-based screening for diabetic retinopathy in type 2 diabetes mellitus patients.</t>
        </is>
      </c>
      <c r="B306" s="86" t="inlineStr">
        <is>
          <t>Pei, Xiaoting</t>
        </is>
      </c>
      <c r="C306" s="86" t="n">
        <v>2022</v>
      </c>
      <c r="D306" s="86" t="inlineStr">
        <is>
          <t>Included</t>
        </is>
      </c>
      <c r="E306" s="5" t="inlineStr">
        <is>
          <t>Outcome not related to interest</t>
        </is>
      </c>
      <c r="F306" s="86" t="n">
        <v>39</v>
      </c>
      <c r="G306" s="5" t="inlineStr">
        <is>
          <t>Outcome not related to interest</t>
        </is>
      </c>
      <c r="H306" s="5" t="inlineStr">
        <is>
          <t>Outcome not related to interest</t>
        </is>
      </c>
      <c r="I306" s="86" t="n">
        <v>35</v>
      </c>
      <c r="J306" s="86" t="n">
        <v>272</v>
      </c>
    </row>
    <row r="307">
      <c r="A307" s="86" t="inlineStr">
        <is>
          <t>Automated detection of diabetic retinopathy using custom convolutional neural network.</t>
        </is>
      </c>
      <c r="B307" s="86" t="inlineStr">
        <is>
          <t>Albahli, Saleh</t>
        </is>
      </c>
      <c r="C307" s="86" t="n">
        <v>2022</v>
      </c>
      <c r="D307" s="86" t="inlineStr">
        <is>
          <t>Included</t>
        </is>
      </c>
      <c r="E307" s="86" t="inlineStr">
        <is>
          <t>Insufficient to constrct confusion matrix</t>
        </is>
      </c>
      <c r="F307" s="86" t="inlineStr">
        <is>
          <t>Insufficient to constrct confusion matrix</t>
        </is>
      </c>
      <c r="G307" s="86" t="inlineStr">
        <is>
          <t>Insufficient to constrct confusion matrix</t>
        </is>
      </c>
      <c r="H307" s="86" t="inlineStr">
        <is>
          <t>Insufficient to constrct confusion matrix</t>
        </is>
      </c>
      <c r="I307" s="86" t="inlineStr">
        <is>
          <t>Insufficient to constrct confusion matrix</t>
        </is>
      </c>
      <c r="J307" s="86" t="inlineStr">
        <is>
          <t>Insufficient to constrct confusion matrix</t>
        </is>
      </c>
    </row>
    <row r="308">
      <c r="A308" s="86" t="inlineStr">
        <is>
          <t>Detecting Anomalies in Retinal Diseases Using Generative, Discriminative, and Self-supervised Deep Learning.</t>
        </is>
      </c>
      <c r="B308" s="86" t="inlineStr">
        <is>
          <t>Burlina, Philippe</t>
        </is>
      </c>
      <c r="C308" s="86" t="n">
        <v>2022</v>
      </c>
      <c r="D308" s="86" t="inlineStr">
        <is>
          <t>Included</t>
        </is>
      </c>
      <c r="E308" s="86" t="inlineStr">
        <is>
          <t>Bried report</t>
        </is>
      </c>
      <c r="F308" s="86" t="inlineStr">
        <is>
          <t>Bried report</t>
        </is>
      </c>
      <c r="G308" s="86" t="inlineStr">
        <is>
          <t>Bried report</t>
        </is>
      </c>
      <c r="H308" s="86" t="inlineStr">
        <is>
          <t>Bried report</t>
        </is>
      </c>
      <c r="I308" s="86" t="inlineStr">
        <is>
          <t>Bried report</t>
        </is>
      </c>
      <c r="J308" s="86" t="inlineStr">
        <is>
          <t>Bried report</t>
        </is>
      </c>
    </row>
    <row r="309">
      <c r="A309" s="86" t="inlineStr">
        <is>
          <t>A stratified analysis of a deep learning algorithm in the diagnosis of diabetic retinopathy in a real-world study.</t>
        </is>
      </c>
      <c r="B309" s="86" t="inlineStr">
        <is>
          <t>Li, Na</t>
        </is>
      </c>
      <c r="C309" s="86" t="n">
        <v>2022</v>
      </c>
      <c r="D309" s="86" t="inlineStr">
        <is>
          <t>Included</t>
        </is>
      </c>
      <c r="E309" s="5" t="inlineStr">
        <is>
          <t>Outcome not related to interest</t>
        </is>
      </c>
      <c r="F309" s="86" t="n">
        <v>40</v>
      </c>
      <c r="G309" s="5" t="inlineStr">
        <is>
          <t>Outcome not related to interest</t>
        </is>
      </c>
      <c r="H309" s="5" t="inlineStr">
        <is>
          <t>Outcome not related to interest</t>
        </is>
      </c>
      <c r="I309" s="86" t="n">
        <v>36</v>
      </c>
      <c r="J309" s="86" t="n">
        <v>273</v>
      </c>
    </row>
    <row r="310">
      <c r="A310" s="86" t="inlineStr">
        <is>
          <t>Deep long and short term memory based Red Fox optimization algorithm for diabetic retinopathy detection and classification.</t>
        </is>
      </c>
      <c r="B310" s="86" t="inlineStr">
        <is>
          <t>Pugal Priya, Raju</t>
        </is>
      </c>
      <c r="C310" s="86" t="n">
        <v>2022</v>
      </c>
      <c r="D310" s="86" t="inlineStr">
        <is>
          <t>Included</t>
        </is>
      </c>
      <c r="E310" s="5" t="inlineStr">
        <is>
          <t>Outcome not related to interest</t>
        </is>
      </c>
      <c r="F310" s="5" t="inlineStr">
        <is>
          <t>Outcome not related to interest</t>
        </is>
      </c>
      <c r="G310" s="5" t="inlineStr">
        <is>
          <t>Outcome not related to interest</t>
        </is>
      </c>
      <c r="H310" s="5" t="inlineStr">
        <is>
          <t>Outcome not related to interest</t>
        </is>
      </c>
      <c r="I310" s="5" t="inlineStr">
        <is>
          <t>Retrospective study</t>
        </is>
      </c>
      <c r="J310" s="86" t="n">
        <v>274</v>
      </c>
    </row>
    <row r="311">
      <c r="A311" s="86" t="inlineStr">
        <is>
          <t>Cross-Camera External Validation for Artificial Intelligence Software in Diagnosis of Diabetic Retinopathy.</t>
        </is>
      </c>
      <c r="B311" s="86" t="inlineStr">
        <is>
          <t>Tsai, Meng-Ju</t>
        </is>
      </c>
      <c r="C311" s="86" t="n">
        <v>2022</v>
      </c>
      <c r="D311" s="86" t="inlineStr">
        <is>
          <t>Included</t>
        </is>
      </c>
      <c r="E311" s="5" t="inlineStr">
        <is>
          <t>Outcome not related to interest</t>
        </is>
      </c>
      <c r="F311" s="5" t="n">
        <v>41</v>
      </c>
      <c r="G311" s="5" t="inlineStr">
        <is>
          <t>Outcome not related to interest</t>
        </is>
      </c>
      <c r="H311" s="5" t="inlineStr">
        <is>
          <t>Outcome not related to interest</t>
        </is>
      </c>
      <c r="I311" s="5" t="inlineStr">
        <is>
          <t>Retrospective study</t>
        </is>
      </c>
      <c r="J311" s="86" t="n">
        <v>275</v>
      </c>
    </row>
    <row r="312">
      <c r="A312" s="86" t="inlineStr">
        <is>
          <t>Screening of Common Retinal Diseases Using Six-Category Models Based on EfficientNet.</t>
        </is>
      </c>
      <c r="B312" s="86" t="inlineStr">
        <is>
          <t>Zhu, Shaojun</t>
        </is>
      </c>
      <c r="C312" s="86" t="n">
        <v>2022</v>
      </c>
      <c r="D312" s="86" t="inlineStr">
        <is>
          <t>Included</t>
        </is>
      </c>
      <c r="E312" s="5" t="inlineStr">
        <is>
          <t>Outcome not related to interest</t>
        </is>
      </c>
      <c r="F312" s="5" t="inlineStr">
        <is>
          <t>Outcome not related to interest</t>
        </is>
      </c>
      <c r="G312" s="5" t="inlineStr">
        <is>
          <t>Outcome not related to interest</t>
        </is>
      </c>
      <c r="H312" s="5" t="inlineStr">
        <is>
          <t>Outcome not related to interest</t>
        </is>
      </c>
      <c r="I312" s="5" t="inlineStr">
        <is>
          <t>Retrospective study</t>
        </is>
      </c>
      <c r="J312" s="86" t="n">
        <v>276</v>
      </c>
    </row>
    <row r="313">
      <c r="A313" s="86" t="inlineStr">
        <is>
          <t>Collaborative learning of weakly-supervised domain adaptation for diabetic retinopathy grading on retinal images.</t>
        </is>
      </c>
      <c r="B313" s="86" t="inlineStr">
        <is>
          <t>Cao, Peng</t>
        </is>
      </c>
      <c r="C313" s="86" t="n">
        <v>2022</v>
      </c>
      <c r="D313" s="86" t="inlineStr">
        <is>
          <t>Included</t>
        </is>
      </c>
      <c r="E313" s="5" t="inlineStr">
        <is>
          <t>Outcome not related to interest</t>
        </is>
      </c>
      <c r="F313" s="5" t="inlineStr">
        <is>
          <t>Outcome not related to interest</t>
        </is>
      </c>
      <c r="G313" s="5" t="inlineStr">
        <is>
          <t>Outcome not related to interest</t>
        </is>
      </c>
      <c r="H313" s="5" t="inlineStr">
        <is>
          <t>Outcome not related to interest</t>
        </is>
      </c>
      <c r="I313" s="5" t="inlineStr">
        <is>
          <t>Retrospective study</t>
        </is>
      </c>
      <c r="J313" s="86" t="n">
        <v>277</v>
      </c>
    </row>
    <row r="314">
      <c r="A314" s="86" t="inlineStr">
        <is>
          <t>Real-time diabetic retinopathy screening by deep learning in a multisite national screening programme: a prospective interventional cohort study.</t>
        </is>
      </c>
      <c r="B314" s="86" t="inlineStr">
        <is>
          <t>Ruamviboonsuk, Paisan</t>
        </is>
      </c>
      <c r="C314" s="86" t="n">
        <v>2022</v>
      </c>
      <c r="D314" s="86" t="inlineStr">
        <is>
          <t>Included</t>
        </is>
      </c>
      <c r="E314" s="5" t="inlineStr">
        <is>
          <t>Outcome not related to interest</t>
        </is>
      </c>
      <c r="F314" s="5" t="inlineStr">
        <is>
          <t>Outcome not related to interest</t>
        </is>
      </c>
      <c r="G314" s="5" t="inlineStr">
        <is>
          <t>Outcome not related to interest</t>
        </is>
      </c>
      <c r="H314" s="86" t="n">
        <v>15</v>
      </c>
      <c r="I314" s="86" t="n">
        <v>37</v>
      </c>
      <c r="J314" s="86" t="n">
        <v>278</v>
      </c>
    </row>
    <row r="315">
      <c r="A315" s="86" t="inlineStr">
        <is>
          <t>Untangling Computer-Aided Diagnostic System for Screening Diabetic Retinopathy Based on Deep Learning Techniques.</t>
        </is>
      </c>
      <c r="B315" s="86" t="inlineStr">
        <is>
          <t>Farooq, Muhammad Shoaib</t>
        </is>
      </c>
      <c r="C315" s="86" t="n">
        <v>2022</v>
      </c>
      <c r="D315" s="86" t="inlineStr">
        <is>
          <t>Included</t>
        </is>
      </c>
      <c r="E315" s="86" t="inlineStr">
        <is>
          <t>Review</t>
        </is>
      </c>
      <c r="F315" s="86" t="inlineStr">
        <is>
          <t>Review</t>
        </is>
      </c>
      <c r="G315" s="86" t="inlineStr">
        <is>
          <t>Review</t>
        </is>
      </c>
      <c r="H315" s="86" t="inlineStr">
        <is>
          <t>Review</t>
        </is>
      </c>
      <c r="I315" s="86" t="inlineStr">
        <is>
          <t>Review</t>
        </is>
      </c>
      <c r="J315" s="86" t="inlineStr">
        <is>
          <t>Review</t>
        </is>
      </c>
    </row>
    <row r="316">
      <c r="A316" s="86" t="inlineStr">
        <is>
          <t>Multimodal image encoding pre-training for diabetic retinopathy grading.</t>
        </is>
      </c>
      <c r="B316" s="86" t="inlineStr">
        <is>
          <t>Hervella, lvaro S</t>
        </is>
      </c>
      <c r="C316" s="86" t="n">
        <v>2022</v>
      </c>
      <c r="D316" s="86" t="inlineStr">
        <is>
          <t>Included</t>
        </is>
      </c>
      <c r="E316" s="5" t="inlineStr">
        <is>
          <t>Outcome not related to interest</t>
        </is>
      </c>
      <c r="F316" s="5" t="inlineStr">
        <is>
          <t>Outcome not related to interest</t>
        </is>
      </c>
      <c r="G316" s="5" t="inlineStr">
        <is>
          <t>Outcome not related to interest</t>
        </is>
      </c>
      <c r="H316" s="5" t="inlineStr">
        <is>
          <t>Outcome not related to interest</t>
        </is>
      </c>
      <c r="I316" s="5" t="inlineStr">
        <is>
          <t>Retrospective study</t>
        </is>
      </c>
      <c r="J316" s="86" t="n">
        <v>279</v>
      </c>
    </row>
    <row r="317">
      <c r="A317" s="86" t="inlineStr">
        <is>
          <t>Identification of Diabetic Retinopathy Using Weighted Fusion Deep Learning Based on Dual-Channel Fundus Scans.</t>
        </is>
      </c>
      <c r="B317" s="86" t="inlineStr">
        <is>
          <t>Nneji, Grace Ugochi</t>
        </is>
      </c>
      <c r="C317" s="86" t="n">
        <v>2022</v>
      </c>
      <c r="D317" s="86" t="inlineStr">
        <is>
          <t>Included</t>
        </is>
      </c>
      <c r="E317" s="5" t="inlineStr">
        <is>
          <t>Outcome not related to interest</t>
        </is>
      </c>
      <c r="F317" s="5" t="inlineStr">
        <is>
          <t>Outcome not related to interest</t>
        </is>
      </c>
      <c r="G317" s="5" t="inlineStr">
        <is>
          <t>Outcome not related to interest</t>
        </is>
      </c>
      <c r="H317" s="5" t="inlineStr">
        <is>
          <t>Outcome not related to interest</t>
        </is>
      </c>
      <c r="I317" s="5" t="inlineStr">
        <is>
          <t>Retrospective study</t>
        </is>
      </c>
      <c r="J317" s="86" t="n">
        <v>280</v>
      </c>
    </row>
    <row r="318">
      <c r="A318" s="86" t="inlineStr">
        <is>
          <t>Necessity of Local Modification for Deep Learning Algorithms to Predict Diabetic Retinopathy.</t>
        </is>
      </c>
      <c r="B318" s="86" t="inlineStr">
        <is>
          <t>Tsai, Ching-Yao</t>
        </is>
      </c>
      <c r="C318" s="86" t="n">
        <v>2022</v>
      </c>
      <c r="D318" s="86" t="inlineStr">
        <is>
          <t>Included</t>
        </is>
      </c>
      <c r="E318" s="5" t="inlineStr">
        <is>
          <t>Outcome not related to interest</t>
        </is>
      </c>
      <c r="F318" s="5" t="inlineStr">
        <is>
          <t>Outcome not related to interest</t>
        </is>
      </c>
      <c r="G318" s="5" t="inlineStr">
        <is>
          <t>Outcome not related to interest</t>
        </is>
      </c>
      <c r="H318" s="5" t="inlineStr">
        <is>
          <t>Outcome not related to interest</t>
        </is>
      </c>
      <c r="I318" s="5" t="inlineStr">
        <is>
          <t>Retrospective study</t>
        </is>
      </c>
      <c r="J318" s="86" t="n">
        <v>281</v>
      </c>
    </row>
    <row r="319">
      <c r="A319" s="86" t="inlineStr">
        <is>
          <t>Evaluating a Deep Learning Diabetic Retinopathy Grading System Developed on Mydriatic Retinal Images When Applied to Non-Mydriatic Community Screening.</t>
        </is>
      </c>
      <c r="B319" s="86" t="inlineStr">
        <is>
          <t>Nunez do Rio, Joan M</t>
        </is>
      </c>
      <c r="C319" s="86" t="n">
        <v>2022</v>
      </c>
      <c r="D319" s="86" t="inlineStr">
        <is>
          <t>Included</t>
        </is>
      </c>
      <c r="E319" s="5" t="inlineStr">
        <is>
          <t>Outcome not related to interest</t>
        </is>
      </c>
      <c r="F319" s="86" t="n">
        <v>42</v>
      </c>
      <c r="G319" s="5" t="inlineStr">
        <is>
          <t>Outcome not related to interest</t>
        </is>
      </c>
      <c r="H319" s="5" t="inlineStr">
        <is>
          <t>Outcome not related to interest</t>
        </is>
      </c>
      <c r="I319" s="86" t="n">
        <v>38</v>
      </c>
      <c r="J319" s="86" t="n">
        <v>282</v>
      </c>
    </row>
    <row r="320">
      <c r="A320" s="86" t="inlineStr">
        <is>
          <t>Comparison of early diabetic retinopathy staging in asymptomatic patients between autonomous AI-based screening and human-graded ultra-widefield colour fundus images.</t>
        </is>
      </c>
      <c r="B320" s="86" t="inlineStr">
        <is>
          <t>Sedova, Aleksandra</t>
        </is>
      </c>
      <c r="C320" s="86" t="n">
        <v>2022</v>
      </c>
      <c r="D320" s="86" t="inlineStr">
        <is>
          <t>Included</t>
        </is>
      </c>
      <c r="E320" s="86" t="n">
        <v>17</v>
      </c>
      <c r="F320" s="86" t="n">
        <v>43</v>
      </c>
      <c r="G320" s="5" t="inlineStr">
        <is>
          <t>Outcome not related to interest</t>
        </is>
      </c>
      <c r="H320" s="5" t="inlineStr">
        <is>
          <t>Outcome not related to interest</t>
        </is>
      </c>
      <c r="I320" s="86" t="n">
        <v>39</v>
      </c>
      <c r="J320" s="86" t="n">
        <v>283</v>
      </c>
    </row>
    <row r="321">
      <c r="A321" s="86" t="inlineStr">
        <is>
          <t>Multithreshold Image Segmentation Technique Using Remora Optimization Algorithm for Diabetic Retinopathy Detection from Fundus Images.</t>
        </is>
      </c>
      <c r="B321" s="86" t="inlineStr">
        <is>
          <t>Vinayaki, V Desika</t>
        </is>
      </c>
      <c r="C321" s="86" t="n">
        <v>2022</v>
      </c>
      <c r="D321" s="86" t="inlineStr">
        <is>
          <t>Included</t>
        </is>
      </c>
      <c r="E321" s="5" t="inlineStr">
        <is>
          <t>Outcome not related to interest</t>
        </is>
      </c>
      <c r="F321" s="5" t="inlineStr">
        <is>
          <t>Outcome not related to interest</t>
        </is>
      </c>
      <c r="G321" s="5" t="inlineStr">
        <is>
          <t>Outcome not related to interest</t>
        </is>
      </c>
      <c r="H321" s="5" t="inlineStr">
        <is>
          <t>Outcome not related to interest</t>
        </is>
      </c>
      <c r="I321" s="5" t="inlineStr">
        <is>
          <t>Retrospective study</t>
        </is>
      </c>
      <c r="J321" s="86" t="n">
        <v>284</v>
      </c>
    </row>
    <row r="322">
      <c r="A322" s="86" t="inlineStr">
        <is>
          <t>[Use of artificial intelligence in screening for diabetic retinopathy at atertiary diabetes center].</t>
        </is>
      </c>
      <c r="B322" s="86" t="inlineStr">
        <is>
          <t>Paul, Sebastian</t>
        </is>
      </c>
      <c r="C322" s="86" t="n">
        <v>2022</v>
      </c>
      <c r="D322" s="86" t="inlineStr">
        <is>
          <t>Included</t>
        </is>
      </c>
      <c r="E322" s="86" t="n">
        <v>18</v>
      </c>
      <c r="F322" s="86" t="n">
        <v>44</v>
      </c>
      <c r="G322" s="5" t="inlineStr">
        <is>
          <t>Outcome not related to interest</t>
        </is>
      </c>
      <c r="H322" s="5" t="inlineStr">
        <is>
          <t>Outcome not related to interest</t>
        </is>
      </c>
      <c r="I322" s="86" t="n">
        <v>40</v>
      </c>
      <c r="J322" s="86" t="n">
        <v>285</v>
      </c>
    </row>
    <row r="323">
      <c r="A323" s="86" t="inlineStr">
        <is>
          <t>End-to-end diabetic retinopathy grading based on fundus fluorescein angiography images using deep learning.</t>
        </is>
      </c>
      <c r="B323" s="86" t="inlineStr">
        <is>
          <t>Gao, Zhiyuan</t>
        </is>
      </c>
      <c r="C323" s="86" t="n">
        <v>2022</v>
      </c>
      <c r="D323" s="86" t="inlineStr">
        <is>
          <t>Included</t>
        </is>
      </c>
      <c r="E323" s="86" t="inlineStr">
        <is>
          <t>Fundus Fluorescein Angiography</t>
        </is>
      </c>
      <c r="F323" s="86" t="inlineStr">
        <is>
          <t>Fundus Fluorescein Angiography</t>
        </is>
      </c>
      <c r="G323" s="86" t="inlineStr">
        <is>
          <t>Fundus Fluorescein Angiography</t>
        </is>
      </c>
      <c r="H323" s="86" t="inlineStr">
        <is>
          <t>Fundus Fluorescein Angiography</t>
        </is>
      </c>
      <c r="I323" s="86" t="inlineStr">
        <is>
          <t>Fundus Fluorescein Angiography</t>
        </is>
      </c>
      <c r="J323" s="86" t="inlineStr">
        <is>
          <t>Fundus Fluorescein Angiography</t>
        </is>
      </c>
    </row>
    <row r="324">
      <c r="A324" s="86" t="inlineStr">
        <is>
          <t>Applying supervised contrastive learning for the detection of diabetic retinopathy and its severity levels from fundus images.</t>
        </is>
      </c>
      <c r="B324" s="86" t="inlineStr">
        <is>
          <t>Islam, Md Robiul</t>
        </is>
      </c>
      <c r="C324" s="86" t="n">
        <v>2022</v>
      </c>
      <c r="D324" s="86" t="inlineStr">
        <is>
          <t>Included</t>
        </is>
      </c>
      <c r="E324" s="5" t="inlineStr">
        <is>
          <t>Outcome not related to interest</t>
        </is>
      </c>
      <c r="F324" s="5" t="inlineStr">
        <is>
          <t>Outcome not related to interest</t>
        </is>
      </c>
      <c r="G324" s="5" t="inlineStr">
        <is>
          <t>Outcome not related to interest</t>
        </is>
      </c>
      <c r="H324" s="5" t="inlineStr">
        <is>
          <t>Outcome not related to interest</t>
        </is>
      </c>
      <c r="I324" s="5" t="inlineStr">
        <is>
          <t>Retrospective study</t>
        </is>
      </c>
      <c r="J324" s="86" t="n">
        <v>286</v>
      </c>
    </row>
    <row r="325">
      <c r="A325" s="86" t="inlineStr">
        <is>
          <t>Handheld Fundus Camera for Diabetic Retinopathy Screening: A Comparison Study with Table-Top Fundus Camera in Real-Life Setting.</t>
        </is>
      </c>
      <c r="B325" s="86" t="inlineStr">
        <is>
          <t>Midena, Edoardo</t>
        </is>
      </c>
      <c r="C325" s="86" t="n">
        <v>2022</v>
      </c>
      <c r="D325" s="86" t="inlineStr">
        <is>
          <t>Included</t>
        </is>
      </c>
      <c r="E325" s="86" t="inlineStr">
        <is>
          <t>Not deep learning</t>
        </is>
      </c>
      <c r="F325" s="86" t="inlineStr">
        <is>
          <t>Not deep learning</t>
        </is>
      </c>
      <c r="G325" s="86" t="inlineStr">
        <is>
          <t>Not deep learning</t>
        </is>
      </c>
      <c r="H325" s="86" t="inlineStr">
        <is>
          <t>Not deep learning</t>
        </is>
      </c>
      <c r="I325" s="86" t="inlineStr">
        <is>
          <t>Not deep learning</t>
        </is>
      </c>
      <c r="J325" s="86" t="inlineStr">
        <is>
          <t>Not deep learning</t>
        </is>
      </c>
    </row>
    <row r="326">
      <c r="A326" s="86" t="inlineStr">
        <is>
          <t>A computer-aided diagnosis system for detecting various diabetic retinopathy grades based on a hybrid deep learning technique.</t>
        </is>
      </c>
      <c r="B326" s="86" t="inlineStr">
        <is>
          <t>AbdelMaksoud, Eman</t>
        </is>
      </c>
      <c r="C326" s="86" t="n">
        <v>2022</v>
      </c>
      <c r="D326" s="86" t="inlineStr">
        <is>
          <t>Included</t>
        </is>
      </c>
      <c r="E326" s="5" t="inlineStr">
        <is>
          <t>Outcome not related to interest</t>
        </is>
      </c>
      <c r="F326" s="5" t="inlineStr">
        <is>
          <t>Outcome not related to interest</t>
        </is>
      </c>
      <c r="G326" s="5" t="inlineStr">
        <is>
          <t>Outcome not related to interest</t>
        </is>
      </c>
      <c r="H326" s="5" t="inlineStr">
        <is>
          <t>Outcome not related to interest</t>
        </is>
      </c>
      <c r="I326" s="5" t="inlineStr">
        <is>
          <t>Retrospective study</t>
        </is>
      </c>
      <c r="J326" s="86" t="n">
        <v>287</v>
      </c>
    </row>
    <row r="327">
      <c r="A327" s="86" t="inlineStr">
        <is>
          <t>Retinopathy grading with deep learning and wavelet hyper-analytic activations.</t>
        </is>
      </c>
      <c r="B327" s="86" t="inlineStr">
        <is>
          <t>Chandrasekaran, Raja</t>
        </is>
      </c>
      <c r="C327" s="86" t="n">
        <v>2022</v>
      </c>
      <c r="D327" s="86" t="inlineStr">
        <is>
          <t>Included</t>
        </is>
      </c>
      <c r="E327" s="86" t="inlineStr">
        <is>
          <t>Insufficient to constrct confusion matrix</t>
        </is>
      </c>
      <c r="F327" s="86" t="inlineStr">
        <is>
          <t>Insufficient to constrct confusion matrix</t>
        </is>
      </c>
      <c r="G327" s="86" t="inlineStr">
        <is>
          <t>Insufficient to constrct confusion matrix</t>
        </is>
      </c>
      <c r="H327" s="86" t="inlineStr">
        <is>
          <t>Insufficient to constrct confusion matrix</t>
        </is>
      </c>
      <c r="I327" s="86" t="inlineStr">
        <is>
          <t>Insufficient to constrct confusion matrix</t>
        </is>
      </c>
      <c r="J327" s="86" t="inlineStr">
        <is>
          <t>Insufficient to constrct confusion matrix</t>
        </is>
      </c>
    </row>
    <row r="328">
      <c r="A328" s="86" t="inlineStr">
        <is>
          <t>Diabetic Retinopathy Grading by Deep Graph Correlation Network on Retinal Images Without Manual Annotations.</t>
        </is>
      </c>
      <c r="B328" s="86" t="inlineStr">
        <is>
          <t>Zhang, Guanghua</t>
        </is>
      </c>
      <c r="C328" s="86" t="n">
        <v>2022</v>
      </c>
      <c r="D328" s="86" t="inlineStr">
        <is>
          <t>Included</t>
        </is>
      </c>
      <c r="E328" s="5" t="inlineStr">
        <is>
          <t>Outcome not related to interest</t>
        </is>
      </c>
      <c r="F328" s="5" t="inlineStr">
        <is>
          <t>Outcome not related to interest</t>
        </is>
      </c>
      <c r="G328" s="5" t="inlineStr">
        <is>
          <t>Outcome not related to interest</t>
        </is>
      </c>
      <c r="H328" s="86" t="n">
        <v>16</v>
      </c>
      <c r="I328" s="5" t="inlineStr">
        <is>
          <t>Retrospective study</t>
        </is>
      </c>
      <c r="J328" s="86" t="n">
        <v>288</v>
      </c>
    </row>
    <row r="329">
      <c r="A329" s="86" t="inlineStr">
        <is>
          <t>Evaluation of an Artificial Intelligence System for the Detection of Diabetic Retinopathy in Chinese Community Healthcare Centers.</t>
        </is>
      </c>
      <c r="B329" s="86" t="inlineStr">
        <is>
          <t>Dong, Xiuqing</t>
        </is>
      </c>
      <c r="C329" s="86" t="n">
        <v>2022</v>
      </c>
      <c r="D329" s="86" t="inlineStr">
        <is>
          <t>Included</t>
        </is>
      </c>
      <c r="E329" s="5" t="inlineStr">
        <is>
          <t>Outcome not related to interest</t>
        </is>
      </c>
      <c r="F329" s="86" t="n">
        <v>45</v>
      </c>
      <c r="G329" s="5" t="inlineStr">
        <is>
          <t>Outcome not related to interest</t>
        </is>
      </c>
      <c r="H329" s="5" t="inlineStr">
        <is>
          <t>Outcome not related to interest</t>
        </is>
      </c>
      <c r="I329" s="86" t="n">
        <v>41</v>
      </c>
      <c r="J329" s="86" t="n">
        <v>289</v>
      </c>
    </row>
    <row r="330">
      <c r="A330" s="86" t="inlineStr">
        <is>
          <t>A new handheld fundus camera combined with visual artificial intelligence facilitates diabetic retinopathy screening.</t>
        </is>
      </c>
      <c r="B330" s="86" t="inlineStr">
        <is>
          <t>Ruan, Shang</t>
        </is>
      </c>
      <c r="C330" s="86" t="n">
        <v>2022</v>
      </c>
      <c r="D330" s="86" t="inlineStr">
        <is>
          <t>Included</t>
        </is>
      </c>
      <c r="E330" s="5" t="inlineStr">
        <is>
          <t>Outcome not related to interest</t>
        </is>
      </c>
      <c r="F330" s="86" t="n">
        <v>46</v>
      </c>
      <c r="G330" s="5" t="inlineStr">
        <is>
          <t>Outcome not related to interest</t>
        </is>
      </c>
      <c r="H330" s="5" t="inlineStr">
        <is>
          <t>Outcome not related to interest</t>
        </is>
      </c>
      <c r="I330" s="86" t="n">
        <v>42</v>
      </c>
      <c r="J330" s="86" t="n">
        <v>290</v>
      </c>
    </row>
    <row r="331">
      <c r="A331" s="86" t="inlineStr">
        <is>
          <t>Augmentation-Consistent Clustering Network for Diabetic Retinopathy Grading with Fewer Annotations.</t>
        </is>
      </c>
      <c r="B331" s="86" t="inlineStr">
        <is>
          <t>Zhang, Guanghua</t>
        </is>
      </c>
      <c r="C331" s="86" t="n">
        <v>2022</v>
      </c>
      <c r="D331" s="86" t="inlineStr">
        <is>
          <t>Included</t>
        </is>
      </c>
      <c r="E331" s="5" t="inlineStr">
        <is>
          <t>Outcome not related to interest</t>
        </is>
      </c>
      <c r="F331" s="5" t="inlineStr">
        <is>
          <t>Outcome not related to interest</t>
        </is>
      </c>
      <c r="G331" s="5" t="inlineStr">
        <is>
          <t>Outcome not related to interest</t>
        </is>
      </c>
      <c r="H331" s="5" t="inlineStr">
        <is>
          <t>Outcome not related to interest</t>
        </is>
      </c>
      <c r="I331" s="5" t="inlineStr">
        <is>
          <t>Retrospective study</t>
        </is>
      </c>
      <c r="J331" s="86" t="n">
        <v>291</v>
      </c>
    </row>
    <row r="332">
      <c r="A332" s="86" t="inlineStr">
        <is>
          <t>A unified technique for entropy enhancement based diabetic retinopathy detection using hybrid neural network.</t>
        </is>
      </c>
      <c r="B332" s="86" t="inlineStr">
        <is>
          <t xml:space="preserve">Fatima, </t>
        </is>
      </c>
      <c r="C332" s="86" t="n">
        <v>2022</v>
      </c>
      <c r="D332" s="86" t="inlineStr">
        <is>
          <t>Included</t>
        </is>
      </c>
      <c r="E332" s="5" t="inlineStr">
        <is>
          <t>Outcome not related to interest</t>
        </is>
      </c>
      <c r="F332" s="5" t="inlineStr">
        <is>
          <t>Outcome not related to interest</t>
        </is>
      </c>
      <c r="G332" s="5" t="inlineStr">
        <is>
          <t>Outcome not related to interest</t>
        </is>
      </c>
      <c r="H332" s="5" t="inlineStr">
        <is>
          <t>Outcome not related to interest</t>
        </is>
      </c>
      <c r="I332" s="5" t="inlineStr">
        <is>
          <t>Retrospective study</t>
        </is>
      </c>
      <c r="J332" s="86" t="n">
        <v>292</v>
      </c>
    </row>
    <row r="333">
      <c r="A333" s="86" t="inlineStr">
        <is>
          <t>Lesion-attention pyramid network for diabetic retinopathy grading.</t>
        </is>
      </c>
      <c r="B333" s="86" t="inlineStr">
        <is>
          <t>Li, Xiang</t>
        </is>
      </c>
      <c r="C333" s="86" t="n">
        <v>2022</v>
      </c>
      <c r="D333" s="86" t="inlineStr">
        <is>
          <t>Included</t>
        </is>
      </c>
      <c r="E333" s="5" t="inlineStr">
        <is>
          <t>Outcome not related to interest</t>
        </is>
      </c>
      <c r="F333" s="5" t="inlineStr">
        <is>
          <t>Outcome not related to interest</t>
        </is>
      </c>
      <c r="G333" s="5" t="inlineStr">
        <is>
          <t>Outcome not related to interest</t>
        </is>
      </c>
      <c r="H333" s="5" t="inlineStr">
        <is>
          <t>Outcome not related to interest</t>
        </is>
      </c>
      <c r="I333" s="5" t="inlineStr">
        <is>
          <t>Retrospective study</t>
        </is>
      </c>
      <c r="J333" s="86" t="n">
        <v>293</v>
      </c>
    </row>
    <row r="334">
      <c r="A334" s="86" t="inlineStr">
        <is>
          <t>Automated image curation in diabetic retinopathy screening using deep learning.</t>
        </is>
      </c>
      <c r="B334" s="86" t="inlineStr">
        <is>
          <t>Nderitu, Paul</t>
        </is>
      </c>
      <c r="C334" s="86" t="n">
        <v>2022</v>
      </c>
      <c r="D334" s="86" t="inlineStr">
        <is>
          <t>Included</t>
        </is>
      </c>
      <c r="E334" s="5" t="inlineStr">
        <is>
          <t>Outcome not related to interest</t>
        </is>
      </c>
      <c r="F334" s="5" t="inlineStr">
        <is>
          <t>Outcome not related to interest</t>
        </is>
      </c>
      <c r="G334" s="5" t="inlineStr">
        <is>
          <t>Outcome not related to interest</t>
        </is>
      </c>
      <c r="H334" s="5" t="inlineStr">
        <is>
          <t>Outcome not related to interest</t>
        </is>
      </c>
      <c r="I334" s="5" t="inlineStr">
        <is>
          <t>Retrospective study</t>
        </is>
      </c>
      <c r="J334" s="86" t="n">
        <v>294</v>
      </c>
    </row>
    <row r="335">
      <c r="A335" s="86" t="inlineStr">
        <is>
          <t>Optimized convolution neural network based multiple eye disease detection.</t>
        </is>
      </c>
      <c r="B335" s="86" t="inlineStr">
        <is>
          <t>Glaret Subin, P</t>
        </is>
      </c>
      <c r="C335" s="86" t="n">
        <v>2022</v>
      </c>
      <c r="D335" s="86" t="inlineStr">
        <is>
          <t>Included</t>
        </is>
      </c>
      <c r="E335" s="5" t="inlineStr">
        <is>
          <t>Outcome not related to interest</t>
        </is>
      </c>
      <c r="F335" s="5" t="inlineStr">
        <is>
          <t>Outcome not related to interest</t>
        </is>
      </c>
      <c r="G335" s="5" t="inlineStr">
        <is>
          <t>Outcome not related to interest</t>
        </is>
      </c>
      <c r="H335" s="5" t="inlineStr">
        <is>
          <t>Outcome not related to interest</t>
        </is>
      </c>
      <c r="I335" s="5" t="inlineStr">
        <is>
          <t>Retrospective study</t>
        </is>
      </c>
      <c r="J335" s="86" t="n">
        <v>295</v>
      </c>
    </row>
    <row r="336">
      <c r="A336" s="86" t="inlineStr">
        <is>
          <t>Automatic Detection of Abnormalities and Grading of Diabetic Retinopathy in 6-Field Retinal Images: Integration of Segmentation Into Classification.</t>
        </is>
      </c>
      <c r="B336" s="86" t="inlineStr">
        <is>
          <t>Andersen, Jakob K H</t>
        </is>
      </c>
      <c r="C336" s="86" t="n">
        <v>2022</v>
      </c>
      <c r="D336" s="86" t="inlineStr">
        <is>
          <t>Included</t>
        </is>
      </c>
      <c r="E336" s="5" t="inlineStr">
        <is>
          <t>Outcome not related to interest</t>
        </is>
      </c>
      <c r="F336" s="5" t="inlineStr">
        <is>
          <t>Outcome not related to interest</t>
        </is>
      </c>
      <c r="G336" s="5" t="inlineStr">
        <is>
          <t>Outcome not related to interest</t>
        </is>
      </c>
      <c r="H336" s="5" t="inlineStr">
        <is>
          <t>Outcome not related to interest</t>
        </is>
      </c>
      <c r="I336" s="5" t="inlineStr">
        <is>
          <t>Retrospective study</t>
        </is>
      </c>
      <c r="J336" s="86" t="n">
        <v>296</v>
      </c>
    </row>
    <row r="337">
      <c r="A337" s="86" t="inlineStr">
        <is>
          <t>Prediction of Diabetes through Retinal Images Using Deep Neural Network.</t>
        </is>
      </c>
      <c r="B337" s="86" t="inlineStr">
        <is>
          <t>Ragab, Mahmoud</t>
        </is>
      </c>
      <c r="C337" s="86" t="n">
        <v>2022</v>
      </c>
      <c r="D337" s="86" t="inlineStr">
        <is>
          <t>Included</t>
        </is>
      </c>
      <c r="E337" s="5" t="inlineStr">
        <is>
          <t>Outcome not related to interest</t>
        </is>
      </c>
      <c r="F337" s="5" t="inlineStr">
        <is>
          <t>Outcome not related to interest</t>
        </is>
      </c>
      <c r="G337" s="5" t="inlineStr">
        <is>
          <t>Outcome not related to interest</t>
        </is>
      </c>
      <c r="H337" s="5" t="inlineStr">
        <is>
          <t>Outcome not related to interest</t>
        </is>
      </c>
      <c r="I337" s="5" t="inlineStr">
        <is>
          <t>Retrospective study</t>
        </is>
      </c>
      <c r="J337" s="86" t="n">
        <v>297</v>
      </c>
    </row>
    <row r="338">
      <c r="A338" s="86" t="inlineStr">
        <is>
          <t>Variability of Grading DR Screening Images among Non-Trained Retina Specialists.</t>
        </is>
      </c>
      <c r="B338" s="86" t="inlineStr">
        <is>
          <t>Grzybowski, Andrzej</t>
        </is>
      </c>
      <c r="C338" s="86" t="n">
        <v>2022</v>
      </c>
      <c r="D338" s="86" t="inlineStr">
        <is>
          <t>Included</t>
        </is>
      </c>
      <c r="E338" s="86" t="inlineStr">
        <is>
          <t>Insufficient to constrct confusion matrix</t>
        </is>
      </c>
      <c r="F338" s="86" t="inlineStr">
        <is>
          <t>Insufficient to constrct confusion matrix</t>
        </is>
      </c>
      <c r="G338" s="86" t="inlineStr">
        <is>
          <t>Insufficient to constrct confusion matrix</t>
        </is>
      </c>
      <c r="H338" s="86" t="inlineStr">
        <is>
          <t>Insufficient to constrct confusion matrix</t>
        </is>
      </c>
      <c r="I338" s="86" t="inlineStr">
        <is>
          <t>Insufficient to constrct confusion matrix</t>
        </is>
      </c>
      <c r="J338" s="86" t="inlineStr">
        <is>
          <t>Insufficient to constrct confusion matrix</t>
        </is>
      </c>
    </row>
    <row r="339">
      <c r="A339" s="86" t="inlineStr">
        <is>
          <t>Automatic Diagnosis of Diabetic Retinopathy from Fundus Images Using Neuro-Evolutionary Algorithms.</t>
        </is>
      </c>
      <c r="B339" s="86" t="inlineStr">
        <is>
          <t>Aquino-Br穩tez, Diego</t>
        </is>
      </c>
      <c r="C339" s="86" t="n">
        <v>2022</v>
      </c>
      <c r="D339" s="86" t="inlineStr">
        <is>
          <t>Included</t>
        </is>
      </c>
      <c r="E339" s="5" t="inlineStr">
        <is>
          <t>Outcome not related to interest</t>
        </is>
      </c>
      <c r="F339" s="5" t="inlineStr">
        <is>
          <t>Outcome not related to interest</t>
        </is>
      </c>
      <c r="G339" s="5" t="inlineStr">
        <is>
          <t>Outcome not related to interest</t>
        </is>
      </c>
      <c r="H339" s="5" t="inlineStr">
        <is>
          <t>Outcome not related to interest</t>
        </is>
      </c>
      <c r="I339" s="5" t="inlineStr">
        <is>
          <t>Retrospective study</t>
        </is>
      </c>
      <c r="J339" s="86" t="n">
        <v>298</v>
      </c>
    </row>
    <row r="340">
      <c r="A340" s="86" t="inlineStr">
        <is>
          <t>Enhancement of Detection of Diabetic Retinopathy Using Harris Hawks Optimization with Deep Learning Model.</t>
        </is>
      </c>
      <c r="B340" s="86" t="inlineStr">
        <is>
          <t>Gundluru, Nagaraja</t>
        </is>
      </c>
      <c r="C340" s="86" t="n">
        <v>2022</v>
      </c>
      <c r="D340" s="86" t="inlineStr">
        <is>
          <t>Included</t>
        </is>
      </c>
      <c r="E340" s="5" t="inlineStr">
        <is>
          <t>Outcome not related to interest</t>
        </is>
      </c>
      <c r="F340" s="5" t="inlineStr">
        <is>
          <t>Outcome not related to interest</t>
        </is>
      </c>
      <c r="G340" s="5" t="inlineStr">
        <is>
          <t>Outcome not related to interest</t>
        </is>
      </c>
      <c r="H340" s="5" t="inlineStr">
        <is>
          <t>Outcome not related to interest</t>
        </is>
      </c>
      <c r="I340" s="5" t="inlineStr">
        <is>
          <t>Retrospective study</t>
        </is>
      </c>
      <c r="J340" s="86" t="n">
        <v>299</v>
      </c>
    </row>
    <row r="341">
      <c r="A341" s="86" t="inlineStr">
        <is>
          <t>The Validation of Deep Learning-Based Grading Model for Diabetic Retinopathy.</t>
        </is>
      </c>
      <c r="B341" s="86" t="inlineStr">
        <is>
          <t>Zhang, Wen-Fei</t>
        </is>
      </c>
      <c r="C341" s="86" t="n">
        <v>2022</v>
      </c>
      <c r="D341" s="86" t="inlineStr">
        <is>
          <t>Included</t>
        </is>
      </c>
      <c r="E341" s="5" t="inlineStr">
        <is>
          <t>Outcome not related to interest</t>
        </is>
      </c>
      <c r="F341" s="5" t="inlineStr">
        <is>
          <t>Outcome not related to interest</t>
        </is>
      </c>
      <c r="G341" s="5" t="inlineStr">
        <is>
          <t>Outcome not related to interest</t>
        </is>
      </c>
      <c r="H341" s="5" t="inlineStr">
        <is>
          <t>Outcome not related to interest</t>
        </is>
      </c>
      <c r="I341" s="86" t="n">
        <v>43</v>
      </c>
      <c r="J341" s="86" t="n">
        <v>300</v>
      </c>
    </row>
    <row r="342">
      <c r="A342" s="86" t="inlineStr">
        <is>
          <t>Transfer Learning-Based Model for Diabetic Retinopathy Diagnosis Using Retinal Images.</t>
        </is>
      </c>
      <c r="B342" s="86" t="inlineStr">
        <is>
          <t>Jabbar, Muhammad Kashif</t>
        </is>
      </c>
      <c r="C342" s="86" t="n">
        <v>2022</v>
      </c>
      <c r="D342" s="86" t="inlineStr">
        <is>
          <t>Included</t>
        </is>
      </c>
      <c r="E342" s="5" t="inlineStr">
        <is>
          <t>Outcome not related to interest</t>
        </is>
      </c>
      <c r="F342" s="5" t="inlineStr">
        <is>
          <t>Outcome not related to interest</t>
        </is>
      </c>
      <c r="G342" s="5" t="inlineStr">
        <is>
          <t>Outcome not related to interest</t>
        </is>
      </c>
      <c r="H342" s="5" t="inlineStr">
        <is>
          <t>Outcome not related to interest</t>
        </is>
      </c>
      <c r="I342" s="5" t="inlineStr">
        <is>
          <t>Retrospective study</t>
        </is>
      </c>
      <c r="J342" s="86" t="n">
        <v>301</v>
      </c>
    </row>
    <row r="343">
      <c r="A343" s="86" t="inlineStr">
        <is>
          <t>Application and observation of artificial intelligence in clinical practice of fundus screening for diabetic retinopathy with non-mydriatic fundus photography: a retrospective observational study of T2DM patients in Tianjin, China.</t>
        </is>
      </c>
      <c r="B343" s="86" t="inlineStr">
        <is>
          <t>Hao, Zhaohu</t>
        </is>
      </c>
      <c r="C343" s="86" t="n">
        <v>2022</v>
      </c>
      <c r="D343" s="86" t="inlineStr">
        <is>
          <t>Included</t>
        </is>
      </c>
      <c r="E343" s="86" t="inlineStr">
        <is>
          <t>Fundus Fluorescein Angiography</t>
        </is>
      </c>
      <c r="F343" s="86" t="inlineStr">
        <is>
          <t>Fundus Fluorescein Angiography</t>
        </is>
      </c>
      <c r="G343" s="86" t="inlineStr">
        <is>
          <t>Fundus Fluorescein Angiography</t>
        </is>
      </c>
      <c r="H343" s="86" t="inlineStr">
        <is>
          <t>Fundus Fluorescein Angiography</t>
        </is>
      </c>
      <c r="I343" s="86" t="inlineStr">
        <is>
          <t>Fundus Fluorescein Angiography</t>
        </is>
      </c>
      <c r="J343" s="86" t="inlineStr">
        <is>
          <t>Fundus Fluorescein Angiography</t>
        </is>
      </c>
    </row>
    <row r="344">
      <c r="A344" s="86" t="inlineStr">
        <is>
          <t>Diabetic retinopathy screening using deep learning for multi-class imbalanced datasets.</t>
        </is>
      </c>
      <c r="B344" s="86" t="inlineStr">
        <is>
          <t>Saini, Manisha</t>
        </is>
      </c>
      <c r="C344" s="86" t="n">
        <v>2022</v>
      </c>
      <c r="D344" s="86" t="inlineStr">
        <is>
          <t>Included</t>
        </is>
      </c>
      <c r="E344" s="86" t="inlineStr">
        <is>
          <t>Insufficient to constrct confusion matrix</t>
        </is>
      </c>
      <c r="F344" s="86" t="inlineStr">
        <is>
          <t>Insufficient to constrct confusion matrix</t>
        </is>
      </c>
      <c r="G344" s="86" t="inlineStr">
        <is>
          <t>Insufficient to constrct confusion matrix</t>
        </is>
      </c>
      <c r="H344" s="86" t="inlineStr">
        <is>
          <t>Insufficient to constrct confusion matrix</t>
        </is>
      </c>
      <c r="I344" s="86" t="inlineStr">
        <is>
          <t>Insufficient to constrct confusion matrix</t>
        </is>
      </c>
      <c r="J344" s="86" t="inlineStr">
        <is>
          <t>Insufficient to constrct confusion matrix</t>
        </is>
      </c>
    </row>
    <row r="345">
      <c r="A345" s="86" t="inlineStr">
        <is>
          <t>Automated Diabetic Retinopathy Detection Using Horizontal and Vertical Patch Division-Based Pre-Trained DenseNET with Digital Fundus Images.</t>
        </is>
      </c>
      <c r="B345" s="86" t="inlineStr">
        <is>
          <t>Kobat, Sabiha Gungor</t>
        </is>
      </c>
      <c r="C345" s="86" t="n">
        <v>2022</v>
      </c>
      <c r="D345" s="86" t="inlineStr">
        <is>
          <t>Included</t>
        </is>
      </c>
      <c r="E345" s="5" t="inlineStr">
        <is>
          <t>Outcome not related to interest</t>
        </is>
      </c>
      <c r="F345" s="5" t="inlineStr">
        <is>
          <t>Outcome not related to interest</t>
        </is>
      </c>
      <c r="G345" s="5" t="inlineStr">
        <is>
          <t>Outcome not related to interest</t>
        </is>
      </c>
      <c r="H345" s="5" t="inlineStr">
        <is>
          <t>Outcome not related to interest</t>
        </is>
      </c>
      <c r="I345" s="5" t="inlineStr">
        <is>
          <t>Retrospective study</t>
        </is>
      </c>
      <c r="J345" s="86" t="n">
        <v>302</v>
      </c>
    </row>
    <row r="346">
      <c r="A346" s="86" t="inlineStr">
        <is>
          <t>Towards a Device Agnostic AI for Diabetic Retinopathy Screening: An External Validation Study.</t>
        </is>
      </c>
      <c r="B346" s="86" t="inlineStr">
        <is>
          <t>Rao, Divya Parthasarathy</t>
        </is>
      </c>
      <c r="C346" s="86" t="n">
        <v>2022</v>
      </c>
      <c r="D346" s="86" t="inlineStr">
        <is>
          <t>Included</t>
        </is>
      </c>
      <c r="E346" s="5" t="inlineStr">
        <is>
          <t>Outcome not related to interest</t>
        </is>
      </c>
      <c r="F346" s="86" t="n">
        <v>47</v>
      </c>
      <c r="G346" s="5" t="inlineStr">
        <is>
          <t>Outcome not related to interest</t>
        </is>
      </c>
      <c r="H346" s="5" t="inlineStr">
        <is>
          <t>Outcome not related to interest</t>
        </is>
      </c>
      <c r="I346" s="5" t="inlineStr">
        <is>
          <t>Retrospective study</t>
        </is>
      </c>
      <c r="J346" s="86" t="n">
        <v>303</v>
      </c>
    </row>
    <row r="347">
      <c r="A347" s="86" t="inlineStr">
        <is>
          <t>Diabetic Retinopathy Telemedicine Outcomes With Artificial Intelligence-Based Image Analysis, Reflex Dilation, and Image Overread.</t>
        </is>
      </c>
      <c r="B347" s="86" t="inlineStr">
        <is>
          <t>Mehra, Ankur A</t>
        </is>
      </c>
      <c r="C347" s="86" t="n">
        <v>2022</v>
      </c>
      <c r="D347" s="86" t="inlineStr">
        <is>
          <t>Included</t>
        </is>
      </c>
      <c r="E347" s="86" t="n">
        <v>19</v>
      </c>
      <c r="F347" s="86" t="n">
        <v>48</v>
      </c>
      <c r="G347" s="5" t="inlineStr">
        <is>
          <t>Outcome not related to interest</t>
        </is>
      </c>
      <c r="H347" s="5" t="inlineStr">
        <is>
          <t>Outcome not related to interest</t>
        </is>
      </c>
      <c r="I347" s="5" t="inlineStr">
        <is>
          <t>Retrospective study</t>
        </is>
      </c>
      <c r="J347" s="86" t="n">
        <v>304</v>
      </c>
    </row>
    <row r="348">
      <c r="A348" s="86" t="inlineStr">
        <is>
          <t>FunSwin: A deep learning method to analysis diabetic retinopathy grade and macular edema risk based on fundus images.</t>
        </is>
      </c>
      <c r="B348" s="86" t="inlineStr">
        <is>
          <t>Yao, Zhaomin</t>
        </is>
      </c>
      <c r="C348" s="86" t="n">
        <v>2022</v>
      </c>
      <c r="D348" s="86" t="inlineStr">
        <is>
          <t>Included</t>
        </is>
      </c>
      <c r="E348" s="5" t="inlineStr">
        <is>
          <t>Outcome not related to interest</t>
        </is>
      </c>
      <c r="F348" s="5" t="inlineStr">
        <is>
          <t>Outcome not related to interest</t>
        </is>
      </c>
      <c r="G348" s="5" t="inlineStr">
        <is>
          <t>Outcome not related to interest</t>
        </is>
      </c>
      <c r="H348" s="5" t="inlineStr">
        <is>
          <t>Outcome not related to interest</t>
        </is>
      </c>
      <c r="I348" s="5" t="inlineStr">
        <is>
          <t>Retrospective study</t>
        </is>
      </c>
      <c r="J348" s="86" t="n">
        <v>305</v>
      </c>
    </row>
    <row r="349">
      <c r="A349" s="86" t="inlineStr">
        <is>
          <t>Semi-supervised classification of fundus images combined with CNN and GCN.</t>
        </is>
      </c>
      <c r="B349" s="86" t="inlineStr">
        <is>
          <t>Duan, Sixu</t>
        </is>
      </c>
      <c r="C349" s="86" t="n">
        <v>2022</v>
      </c>
      <c r="D349" s="86" t="inlineStr">
        <is>
          <t>Included</t>
        </is>
      </c>
      <c r="E349" s="5" t="inlineStr">
        <is>
          <t>Outcome not related to interest</t>
        </is>
      </c>
      <c r="F349" s="5" t="inlineStr">
        <is>
          <t>Outcome not related to interest</t>
        </is>
      </c>
      <c r="G349" s="5" t="inlineStr">
        <is>
          <t>Outcome not related to interest</t>
        </is>
      </c>
      <c r="H349" s="5" t="inlineStr">
        <is>
          <t>Outcome not related to interest</t>
        </is>
      </c>
      <c r="I349" s="5" t="inlineStr">
        <is>
          <t>Retrospective study</t>
        </is>
      </c>
      <c r="J349" s="86" t="n">
        <v>306</v>
      </c>
    </row>
    <row r="350">
      <c r="A350" s="86" t="inlineStr">
        <is>
          <t>Validating automated eye disease screening AI algorithm in community and in-hospital scenarios.</t>
        </is>
      </c>
      <c r="B350" s="86" t="inlineStr">
        <is>
          <t>Han, Ruoan</t>
        </is>
      </c>
      <c r="C350" s="86" t="n">
        <v>2022</v>
      </c>
      <c r="D350" s="86" t="inlineStr">
        <is>
          <t>Included</t>
        </is>
      </c>
      <c r="E350" s="5" t="inlineStr">
        <is>
          <t>Outcome not related to interest</t>
        </is>
      </c>
      <c r="F350" s="5" t="inlineStr">
        <is>
          <t>Outcome not related to interest</t>
        </is>
      </c>
      <c r="G350" s="5" t="inlineStr">
        <is>
          <t>Outcome not related to interest</t>
        </is>
      </c>
      <c r="H350" s="5" t="inlineStr">
        <is>
          <t>Outcome not related to interest</t>
        </is>
      </c>
      <c r="I350" s="86" t="n">
        <v>44</v>
      </c>
      <c r="J350" s="86" t="n">
        <v>307</v>
      </c>
    </row>
    <row r="351">
      <c r="A351" s="86" t="inlineStr">
        <is>
          <t>PADAr: physician-oriented artificial intelligence-facilitating diagnosis aid for retinal diseases.</t>
        </is>
      </c>
      <c r="B351" s="86" t="inlineStr">
        <is>
          <t>Lin, Po-Kang</t>
        </is>
      </c>
      <c r="C351" s="86" t="n">
        <v>2022</v>
      </c>
      <c r="D351" s="86" t="inlineStr">
        <is>
          <t>Included</t>
        </is>
      </c>
      <c r="E351" s="5" t="inlineStr">
        <is>
          <t>Outcome not related to interest</t>
        </is>
      </c>
      <c r="F351" s="5" t="inlineStr">
        <is>
          <t>Outcome not related to interest</t>
        </is>
      </c>
      <c r="G351" s="5" t="inlineStr">
        <is>
          <t>Outcome not related to interest</t>
        </is>
      </c>
      <c r="H351" s="5" t="inlineStr">
        <is>
          <t>Outcome not related to interest</t>
        </is>
      </c>
      <c r="I351" s="5" t="inlineStr">
        <is>
          <t>Retrospective study</t>
        </is>
      </c>
      <c r="J351" s="86" t="n">
        <v>308</v>
      </c>
    </row>
    <row r="352">
      <c r="A352" s="86" t="inlineStr">
        <is>
          <t>Automated multidimensional deep learning platform for referable diabetic retinopathy detection: a multicentre, retrospective study.</t>
        </is>
      </c>
      <c r="B352" s="86" t="inlineStr">
        <is>
          <t>Zhang, Guihua</t>
        </is>
      </c>
      <c r="C352" s="86" t="n">
        <v>2022</v>
      </c>
      <c r="D352" s="86" t="inlineStr">
        <is>
          <t>Included</t>
        </is>
      </c>
      <c r="E352" s="5" t="inlineStr">
        <is>
          <t>Outcome not related to interest</t>
        </is>
      </c>
      <c r="F352" s="5" t="inlineStr">
        <is>
          <t>Outcome not related to interest</t>
        </is>
      </c>
      <c r="G352" s="5" t="inlineStr">
        <is>
          <t>Outcome not related to interest</t>
        </is>
      </c>
      <c r="H352" s="5" t="inlineStr">
        <is>
          <t>Outcome not related to interest</t>
        </is>
      </c>
      <c r="I352" s="5" t="inlineStr">
        <is>
          <t>Retrospective study</t>
        </is>
      </c>
      <c r="J352" s="86" t="n">
        <v>309</v>
      </c>
    </row>
    <row r="353">
      <c r="A353" s="86" t="inlineStr">
        <is>
          <t>Diabetic Retinopathy Detection from Fundus Images of the Eye Using Hybrid Deep Learning Features.</t>
        </is>
      </c>
      <c r="B353" s="86" t="inlineStr">
        <is>
          <t>Butt, Muhammad Mohsin</t>
        </is>
      </c>
      <c r="C353" s="86" t="n">
        <v>2022</v>
      </c>
      <c r="D353" s="86" t="inlineStr">
        <is>
          <t>Included</t>
        </is>
      </c>
      <c r="E353" s="5" t="inlineStr">
        <is>
          <t>Outcome not related to interest</t>
        </is>
      </c>
      <c r="F353" s="5" t="inlineStr">
        <is>
          <t>Outcome not related to interest</t>
        </is>
      </c>
      <c r="G353" s="5" t="inlineStr">
        <is>
          <t>Outcome not related to interest</t>
        </is>
      </c>
      <c r="H353" s="5" t="inlineStr">
        <is>
          <t>Outcome not related to interest</t>
        </is>
      </c>
      <c r="I353" s="5" t="inlineStr">
        <is>
          <t>Retrospective study</t>
        </is>
      </c>
      <c r="J353" s="86" t="n">
        <v>310</v>
      </c>
    </row>
    <row r="354">
      <c r="A354" s="86" t="inlineStr">
        <is>
          <t>A Multicenter Clinical Study of the Automated Fundus Screening Algorithm.</t>
        </is>
      </c>
      <c r="B354" s="86" t="inlineStr">
        <is>
          <t>Li, Fei</t>
        </is>
      </c>
      <c r="C354" s="86" t="n">
        <v>2022</v>
      </c>
      <c r="D354" s="86" t="inlineStr">
        <is>
          <t>Included</t>
        </is>
      </c>
      <c r="E354" s="5" t="inlineStr">
        <is>
          <t>Outcome not related to interest</t>
        </is>
      </c>
      <c r="F354" s="5" t="inlineStr">
        <is>
          <t>Outcome not related to interest</t>
        </is>
      </c>
      <c r="G354" s="5" t="inlineStr">
        <is>
          <t>Outcome not related to interest</t>
        </is>
      </c>
      <c r="H354" s="86" t="n">
        <v>17</v>
      </c>
      <c r="I354" s="5" t="n">
        <v>45</v>
      </c>
      <c r="J354" s="86" t="n">
        <v>311</v>
      </c>
    </row>
    <row r="355">
      <c r="A355" s="86" t="inlineStr">
        <is>
          <t>An active learning method for diabetic retinopathy classification with uncertainty quantification.</t>
        </is>
      </c>
      <c r="B355" s="86" t="inlineStr">
        <is>
          <t>Ahsan, Muhammad Ahtazaz</t>
        </is>
      </c>
      <c r="C355" s="86" t="n">
        <v>2022</v>
      </c>
      <c r="D355" s="86" t="inlineStr">
        <is>
          <t>Included</t>
        </is>
      </c>
      <c r="E355" s="5" t="inlineStr">
        <is>
          <t>Outcome not related to interest</t>
        </is>
      </c>
      <c r="F355" s="5" t="inlineStr">
        <is>
          <t>Outcome not related to interest</t>
        </is>
      </c>
      <c r="G355" s="5" t="inlineStr">
        <is>
          <t>Outcome not related to interest</t>
        </is>
      </c>
      <c r="H355" s="5" t="inlineStr">
        <is>
          <t>Outcome not related to interest</t>
        </is>
      </c>
      <c r="I355" s="5" t="inlineStr">
        <is>
          <t>Retrospective study</t>
        </is>
      </c>
      <c r="J355" s="86" t="n">
        <v>312</v>
      </c>
    </row>
    <row r="356">
      <c r="A356" s="86" t="inlineStr">
        <is>
          <t>Application of artificial intelligence-based dual-modality analysis combining fundus photography and optical coherence tomography in diabetic retinopathy screening in a community hospital.</t>
        </is>
      </c>
      <c r="B356" s="86" t="inlineStr">
        <is>
          <t>Liu, Rui</t>
        </is>
      </c>
      <c r="C356" s="86" t="n">
        <v>2022</v>
      </c>
      <c r="D356" s="86" t="inlineStr">
        <is>
          <t>Included</t>
        </is>
      </c>
      <c r="E356" s="5" t="inlineStr">
        <is>
          <t>Outcome not related to interest</t>
        </is>
      </c>
      <c r="F356" s="86" t="n">
        <v>49</v>
      </c>
      <c r="G356" s="5" t="inlineStr">
        <is>
          <t>Outcome not related to interest</t>
        </is>
      </c>
      <c r="H356" s="5" t="inlineStr">
        <is>
          <t>Outcome not related to interest</t>
        </is>
      </c>
      <c r="I356" s="86" t="n">
        <v>46</v>
      </c>
      <c r="J356" s="86" t="n">
        <v>313</v>
      </c>
    </row>
    <row r="357">
      <c r="A357" s="86" t="inlineStr">
        <is>
          <t>Influence of Different Types of Retinal Cameras on the Performance of Deep Learning Algorithms in Diabetic Retinopathy Screening.</t>
        </is>
      </c>
      <c r="B357" s="86" t="inlineStr">
        <is>
          <t>Srinivasan, Ramyaa</t>
        </is>
      </c>
      <c r="C357" s="86" t="n">
        <v>2022</v>
      </c>
      <c r="D357" s="86" t="inlineStr">
        <is>
          <t>Included</t>
        </is>
      </c>
      <c r="E357" s="5" t="inlineStr">
        <is>
          <t>Outcome not related to interest</t>
        </is>
      </c>
      <c r="F357" s="5" t="inlineStr">
        <is>
          <t>Outcome not related to interest</t>
        </is>
      </c>
      <c r="G357" s="5" t="inlineStr">
        <is>
          <t>Outcome not related to interest</t>
        </is>
      </c>
      <c r="H357" s="86" t="n">
        <v>18</v>
      </c>
      <c r="I357" s="5" t="inlineStr">
        <is>
          <t>Retrospective study</t>
        </is>
      </c>
      <c r="J357" s="86" t="n">
        <v>314</v>
      </c>
    </row>
    <row r="358">
      <c r="A358" s="86" t="inlineStr">
        <is>
          <t>An automated unsupervised deep learning-based approach for diabetic retinopathy detection.</t>
        </is>
      </c>
      <c r="B358" s="86" t="inlineStr">
        <is>
          <t>Naz, Huma</t>
        </is>
      </c>
      <c r="C358" s="86" t="n">
        <v>2022</v>
      </c>
      <c r="D358" s="86" t="inlineStr">
        <is>
          <t>Included</t>
        </is>
      </c>
      <c r="E358" s="5" t="inlineStr">
        <is>
          <t>Outcome not related to interest</t>
        </is>
      </c>
      <c r="F358" s="5" t="inlineStr">
        <is>
          <t>Outcome not related to interest</t>
        </is>
      </c>
      <c r="G358" s="5" t="inlineStr">
        <is>
          <t>Outcome not related to interest</t>
        </is>
      </c>
      <c r="H358" s="5" t="inlineStr">
        <is>
          <t>Outcome not related to interest</t>
        </is>
      </c>
      <c r="I358" s="5" t="inlineStr">
        <is>
          <t>Retrospective study</t>
        </is>
      </c>
      <c r="J358" s="86" t="n">
        <v>315</v>
      </c>
    </row>
    <row r="359">
      <c r="A359" s="86" t="inlineStr">
        <is>
          <t>Clinical evaluation of AI-assisted screening for diabetic retinopathy in rural areas of midwest China.</t>
        </is>
      </c>
      <c r="B359" s="86" t="inlineStr">
        <is>
          <t>Hao, Shaofeng</t>
        </is>
      </c>
      <c r="C359" s="86" t="n">
        <v>2022</v>
      </c>
      <c r="D359" s="86" t="inlineStr">
        <is>
          <t>Included</t>
        </is>
      </c>
      <c r="E359" s="5" t="inlineStr">
        <is>
          <t>Outcome not related to interest</t>
        </is>
      </c>
      <c r="F359" s="86" t="n">
        <v>50</v>
      </c>
      <c r="G359" s="5" t="inlineStr">
        <is>
          <t>Outcome not related to interest</t>
        </is>
      </c>
      <c r="H359" s="5" t="inlineStr">
        <is>
          <t>Outcome not related to interest</t>
        </is>
      </c>
      <c r="I359" s="5" t="n">
        <v>47</v>
      </c>
      <c r="J359" s="86" t="n">
        <v>316</v>
      </c>
    </row>
    <row r="360">
      <c r="A360" s="86" t="inlineStr">
        <is>
          <t>Recognition of Diabetic Retinopathy with Ground Truth Segmentation Using Fundus Images and Neural Network Algorithm.</t>
        </is>
      </c>
      <c r="B360" s="86" t="inlineStr">
        <is>
          <t>Kshirsagar, Pravin R</t>
        </is>
      </c>
      <c r="C360" s="86" t="n">
        <v>2022</v>
      </c>
      <c r="D360" s="86" t="inlineStr">
        <is>
          <t>Included</t>
        </is>
      </c>
      <c r="E360" s="86" t="inlineStr">
        <is>
          <t>Retracted</t>
        </is>
      </c>
      <c r="F360" s="86" t="inlineStr">
        <is>
          <t>Retracted</t>
        </is>
      </c>
      <c r="G360" s="86" t="inlineStr">
        <is>
          <t>Retracted</t>
        </is>
      </c>
      <c r="H360" s="86" t="inlineStr">
        <is>
          <t>Retracted</t>
        </is>
      </c>
      <c r="I360" s="86" t="inlineStr">
        <is>
          <t>Retracted</t>
        </is>
      </c>
      <c r="J360" s="86" t="inlineStr">
        <is>
          <t>Retracted</t>
        </is>
      </c>
    </row>
    <row r="361">
      <c r="A361" s="86" t="inlineStr">
        <is>
          <t>Three-Dimensional Semantic Segmentation of Diabetic Retinopathy Lesions and Grading Using Transfer Learning.</t>
        </is>
      </c>
      <c r="B361" s="86" t="inlineStr">
        <is>
          <t>Shaukat, Natasha</t>
        </is>
      </c>
      <c r="C361" s="86" t="n">
        <v>2022</v>
      </c>
      <c r="D361" s="86" t="inlineStr">
        <is>
          <t>Included</t>
        </is>
      </c>
      <c r="E361" s="5" t="inlineStr">
        <is>
          <t>Outcome not related to interest</t>
        </is>
      </c>
      <c r="F361" s="5" t="inlineStr">
        <is>
          <t>Outcome not related to interest</t>
        </is>
      </c>
      <c r="G361" s="5" t="inlineStr">
        <is>
          <t>Outcome not related to interest</t>
        </is>
      </c>
      <c r="H361" s="5" t="inlineStr">
        <is>
          <t>Outcome not related to interest</t>
        </is>
      </c>
      <c r="I361" s="5" t="inlineStr">
        <is>
          <t>Retrospective study</t>
        </is>
      </c>
      <c r="J361" s="86" t="n">
        <v>317</v>
      </c>
    </row>
    <row r="362">
      <c r="A362" s="86" t="inlineStr">
        <is>
          <t>Automatic Screening of Diabetic Retinopathy Using Fundus Images and Machine Learning Algorithms.</t>
        </is>
      </c>
      <c r="B362" s="86" t="inlineStr">
        <is>
          <t>Mujeeb Rahman, K K</t>
        </is>
      </c>
      <c r="C362" s="86" t="n">
        <v>2022</v>
      </c>
      <c r="D362" s="86" t="inlineStr">
        <is>
          <t>Included</t>
        </is>
      </c>
      <c r="E362" s="5" t="inlineStr">
        <is>
          <t>Outcome not related to interest</t>
        </is>
      </c>
      <c r="F362" s="5" t="inlineStr">
        <is>
          <t>Outcome not related to interest</t>
        </is>
      </c>
      <c r="G362" s="5" t="inlineStr">
        <is>
          <t>Outcome not related to interest</t>
        </is>
      </c>
      <c r="H362" s="5" t="inlineStr">
        <is>
          <t>Outcome not related to interest</t>
        </is>
      </c>
      <c r="I362" s="5" t="inlineStr">
        <is>
          <t>Retrospective study</t>
        </is>
      </c>
      <c r="J362" s="86" t="n">
        <v>318</v>
      </c>
    </row>
    <row r="363">
      <c r="A363" s="86" t="inlineStr">
        <is>
          <t>A New Deep Learning Algorithm with Activation Mapping for Diabetic Retinopathy: Backtesting after 10 Years of Tele-Ophthalmology.</t>
        </is>
      </c>
      <c r="B363" s="86" t="inlineStr">
        <is>
          <t>Pareja-R穩os, Alicia</t>
        </is>
      </c>
      <c r="C363" s="86" t="n">
        <v>2022</v>
      </c>
      <c r="D363" s="86" t="inlineStr">
        <is>
          <t>Included</t>
        </is>
      </c>
      <c r="E363" s="5" t="inlineStr">
        <is>
          <t>Outcome not related to interest</t>
        </is>
      </c>
      <c r="F363" s="5" t="inlineStr">
        <is>
          <t>Outcome not related to interest</t>
        </is>
      </c>
      <c r="G363" s="5" t="inlineStr">
        <is>
          <t>Outcome not related to interest</t>
        </is>
      </c>
      <c r="H363" s="86" t="n">
        <v>19</v>
      </c>
      <c r="I363" s="86" t="n">
        <v>48</v>
      </c>
      <c r="J363" s="86" t="n">
        <v>319</v>
      </c>
    </row>
    <row r="364">
      <c r="A364" s="86" t="inlineStr">
        <is>
          <t>A Deep Learning Based Approach for Grading of Diabetic Retinopathy Using Large Fundus Image Dataset.</t>
        </is>
      </c>
      <c r="B364" s="86" t="inlineStr">
        <is>
          <t>Mehboob, Ayesha</t>
        </is>
      </c>
      <c r="C364" s="86" t="n">
        <v>2022</v>
      </c>
      <c r="D364" s="86" t="inlineStr">
        <is>
          <t>Included</t>
        </is>
      </c>
      <c r="E364" s="5" t="inlineStr">
        <is>
          <t>Outcome not related to interest</t>
        </is>
      </c>
      <c r="F364" s="5" t="inlineStr">
        <is>
          <t>Outcome not related to interest</t>
        </is>
      </c>
      <c r="G364" s="5" t="inlineStr">
        <is>
          <t>Outcome not related to interest</t>
        </is>
      </c>
      <c r="H364" s="5" t="inlineStr">
        <is>
          <t>Outcome not related to interest</t>
        </is>
      </c>
      <c r="I364" s="5" t="inlineStr">
        <is>
          <t>Retrospective study</t>
        </is>
      </c>
      <c r="J364" s="86" t="n">
        <v>320</v>
      </c>
    </row>
    <row r="365">
      <c r="A365" s="86" t="inlineStr">
        <is>
          <t>Simultaneous screening and classification of diabetic retinopathy and age-related macular degeneration based on fundus photos-a prospective analysis of the RetCAD system.</t>
        </is>
      </c>
      <c r="B365" s="86" t="inlineStr">
        <is>
          <t>Skevas, Christos</t>
        </is>
      </c>
      <c r="C365" s="86" t="n">
        <v>2022</v>
      </c>
      <c r="D365" s="86" t="inlineStr">
        <is>
          <t>Included</t>
        </is>
      </c>
      <c r="E365" s="5" t="inlineStr">
        <is>
          <t>Outcome not related to interest</t>
        </is>
      </c>
      <c r="F365" s="86" t="n">
        <v>51</v>
      </c>
      <c r="G365" s="5" t="inlineStr">
        <is>
          <t>Outcome not related to interest</t>
        </is>
      </c>
      <c r="H365" s="5" t="inlineStr">
        <is>
          <t>Outcome not related to interest</t>
        </is>
      </c>
      <c r="I365" s="86" t="n">
        <v>49</v>
      </c>
      <c r="J365" s="86" t="n">
        <v>321</v>
      </c>
    </row>
    <row r="366">
      <c r="A366" s="86" t="inlineStr">
        <is>
          <t>Combining transfer learning with retinal lesion features for accurate detection of diabetic retinopathy.</t>
        </is>
      </c>
      <c r="B366" s="86" t="inlineStr">
        <is>
          <t>Hassan, Doaa</t>
        </is>
      </c>
      <c r="C366" s="86" t="n">
        <v>2022</v>
      </c>
      <c r="D366" s="86" t="inlineStr">
        <is>
          <t>Included</t>
        </is>
      </c>
      <c r="E366" s="5" t="inlineStr">
        <is>
          <t>Outcome not related to interest</t>
        </is>
      </c>
      <c r="F366" s="5" t="inlineStr">
        <is>
          <t>Outcome not related to interest</t>
        </is>
      </c>
      <c r="G366" s="5" t="inlineStr">
        <is>
          <t>Outcome not related to interest</t>
        </is>
      </c>
      <c r="H366" s="5" t="inlineStr">
        <is>
          <t>Outcome not related to interest</t>
        </is>
      </c>
      <c r="I366" s="5" t="inlineStr">
        <is>
          <t>Retrospective study</t>
        </is>
      </c>
      <c r="J366" s="86" t="n">
        <v>322</v>
      </c>
    </row>
    <row r="367">
      <c r="A367" s="86" t="inlineStr">
        <is>
          <t>Automatic Diagnosis of Diabetic Retinopathy Stage Focusing Exclusively on Retinal Hemorrhage.</t>
        </is>
      </c>
      <c r="B367" s="86" t="inlineStr">
        <is>
          <t>Tokuda, Yoshihiro</t>
        </is>
      </c>
      <c r="C367" s="86" t="n">
        <v>2022</v>
      </c>
      <c r="D367" s="86" t="inlineStr">
        <is>
          <t>Included</t>
        </is>
      </c>
      <c r="E367" s="5" t="inlineStr">
        <is>
          <t>Outcome not related to interest</t>
        </is>
      </c>
      <c r="F367" s="5" t="inlineStr">
        <is>
          <t>Outcome not related to interest</t>
        </is>
      </c>
      <c r="G367" s="5" t="inlineStr">
        <is>
          <t>Outcome not related to interest</t>
        </is>
      </c>
      <c r="H367" s="5" t="inlineStr">
        <is>
          <t>Outcome not related to interest</t>
        </is>
      </c>
      <c r="I367" s="86" t="n">
        <v>50</v>
      </c>
      <c r="J367" s="86" t="n">
        <v>323</v>
      </c>
    </row>
    <row r="368">
      <c r="A368" s="86" t="inlineStr">
        <is>
          <t>The effectiveness of artificial intelligence-based automated grading and training system in education of manual detection of diabetic retinopathy.</t>
        </is>
      </c>
      <c r="B368" s="86" t="inlineStr">
        <is>
          <t>Qian, Xu</t>
        </is>
      </c>
      <c r="C368" s="86" t="n">
        <v>2022</v>
      </c>
      <c r="D368" s="86" t="inlineStr">
        <is>
          <t>Included</t>
        </is>
      </c>
      <c r="E368" s="5" t="inlineStr">
        <is>
          <t>Outcome not related to interest</t>
        </is>
      </c>
      <c r="F368" s="5" t="inlineStr">
        <is>
          <t>Outcome not related to interest</t>
        </is>
      </c>
      <c r="G368" s="5" t="inlineStr">
        <is>
          <t>Outcome not related to interest</t>
        </is>
      </c>
      <c r="H368" s="86" t="n">
        <v>20</v>
      </c>
      <c r="I368" s="5" t="inlineStr">
        <is>
          <t>Retrospective study</t>
        </is>
      </c>
      <c r="J368" s="86" t="n">
        <v>324</v>
      </c>
    </row>
    <row r="369">
      <c r="A369" s="86" t="inlineStr">
        <is>
          <t>Performance of the AIDRScreening system in detecting diabetic retinopathy in the fundus photographs of Chinese patients: a prospective, multicenter, clinical study.</t>
        </is>
      </c>
      <c r="B369" s="86" t="inlineStr">
        <is>
          <t>Yang, Yao</t>
        </is>
      </c>
      <c r="C369" s="86" t="n">
        <v>2022</v>
      </c>
      <c r="D369" s="86" t="inlineStr">
        <is>
          <t>Included</t>
        </is>
      </c>
      <c r="E369" s="5" t="inlineStr">
        <is>
          <t>Outcome not related to interest</t>
        </is>
      </c>
      <c r="F369" s="5" t="inlineStr">
        <is>
          <t>Outcome not related to interest</t>
        </is>
      </c>
      <c r="G369" s="5" t="inlineStr">
        <is>
          <t>Outcome not related to interest</t>
        </is>
      </c>
      <c r="H369" s="5" t="inlineStr">
        <is>
          <t>Outcome not related to interest</t>
        </is>
      </c>
      <c r="I369" s="86" t="n">
        <v>51</v>
      </c>
      <c r="J369" s="86" t="n">
        <v>325</v>
      </c>
    </row>
    <row r="370">
      <c r="A370" s="86" t="inlineStr">
        <is>
          <t>Artificial Intelligence Detection of Diabetic Retinopathy: Subgroup Comparison of the EyeArt System with Ophthalmologists' Dilated Examinations.</t>
        </is>
      </c>
      <c r="B370" s="86" t="inlineStr">
        <is>
          <t>Lim, Jennifer Irene</t>
        </is>
      </c>
      <c r="C370" s="86" t="n">
        <v>2022</v>
      </c>
      <c r="D370" s="86" t="inlineStr">
        <is>
          <t>Included</t>
        </is>
      </c>
      <c r="E370" s="5" t="n">
        <v>20</v>
      </c>
      <c r="F370" s="5" t="n">
        <v>52</v>
      </c>
      <c r="G370" s="5" t="inlineStr">
        <is>
          <t>Outcome not related to interest</t>
        </is>
      </c>
      <c r="H370" s="86" t="n">
        <v>21</v>
      </c>
      <c r="I370" s="86" t="n">
        <v>52</v>
      </c>
      <c r="J370" s="86" t="n">
        <v>326</v>
      </c>
    </row>
    <row r="371">
      <c r="A371" s="86" t="inlineStr">
        <is>
          <t>Deep Learning for the Detection and Classification of Diabetic Retinopathy with an Improved Activation Function.</t>
        </is>
      </c>
      <c r="B371" s="86" t="inlineStr">
        <is>
          <t>Bhimavarapu, Usharani</t>
        </is>
      </c>
      <c r="C371" s="86" t="n">
        <v>2022</v>
      </c>
      <c r="D371" s="86" t="inlineStr">
        <is>
          <t>Included</t>
        </is>
      </c>
      <c r="E371" s="5" t="inlineStr">
        <is>
          <t>Outcome not related to interest</t>
        </is>
      </c>
      <c r="F371" s="5" t="inlineStr">
        <is>
          <t>Outcome not related to interest</t>
        </is>
      </c>
      <c r="G371" s="5" t="inlineStr">
        <is>
          <t>Outcome not related to interest</t>
        </is>
      </c>
      <c r="H371" s="5" t="inlineStr">
        <is>
          <t>Outcome not related to interest</t>
        </is>
      </c>
      <c r="I371" s="5" t="inlineStr">
        <is>
          <t>Retrospective study</t>
        </is>
      </c>
      <c r="J371" s="86" t="n">
        <v>327</v>
      </c>
    </row>
    <row r="372">
      <c r="A372" s="86" t="inlineStr">
        <is>
          <t>EDLDR: An Ensemble Deep Learning Technique for Detection and Classification of Diabetic Retinopathy.</t>
        </is>
      </c>
      <c r="B372" s="86" t="inlineStr">
        <is>
          <t>Mondal, Sambit S</t>
        </is>
      </c>
      <c r="C372" s="86" t="n">
        <v>2022</v>
      </c>
      <c r="D372" s="86" t="inlineStr">
        <is>
          <t>Included</t>
        </is>
      </c>
      <c r="E372" s="5" t="inlineStr">
        <is>
          <t>Outcome not related to interest</t>
        </is>
      </c>
      <c r="F372" s="5" t="inlineStr">
        <is>
          <t>Outcome not related to interest</t>
        </is>
      </c>
      <c r="G372" s="5" t="inlineStr">
        <is>
          <t>Outcome not related to interest</t>
        </is>
      </c>
      <c r="H372" s="5" t="inlineStr">
        <is>
          <t>Outcome not related to interest</t>
        </is>
      </c>
      <c r="I372" s="5" t="inlineStr">
        <is>
          <t>Retrospective study</t>
        </is>
      </c>
      <c r="J372" s="86" t="n">
        <v>328</v>
      </c>
    </row>
    <row r="373">
      <c r="A373" s="86" t="inlineStr">
        <is>
          <t>Predicting the future development of diabetic retinopathy using a deep learning algorithm for the analysis of non-invasive retinal imaging</t>
        </is>
      </c>
      <c r="B373" s="86" t="inlineStr">
        <is>
          <t>Rom, Y.</t>
        </is>
      </c>
      <c r="C373" s="86" t="n">
        <v>2022</v>
      </c>
      <c r="D373" s="86" t="inlineStr">
        <is>
          <t>Included</t>
        </is>
      </c>
      <c r="E373" s="5" t="inlineStr">
        <is>
          <t>Outcome not related to interest</t>
        </is>
      </c>
      <c r="F373" s="5" t="inlineStr">
        <is>
          <t>Outcome not related to interest</t>
        </is>
      </c>
      <c r="G373" s="5" t="inlineStr">
        <is>
          <t>Outcome not related to interest</t>
        </is>
      </c>
      <c r="H373" s="5" t="inlineStr">
        <is>
          <t>Outcome not related to interest</t>
        </is>
      </c>
      <c r="I373" s="5" t="inlineStr">
        <is>
          <t>Retrospective study</t>
        </is>
      </c>
      <c r="J373" s="86" t="n">
        <v>329</v>
      </c>
    </row>
    <row r="374">
      <c r="A374" s="86" t="inlineStr">
        <is>
          <t>Application of artificial intelligence for community-based diabetic retinopathy detection and referral</t>
        </is>
      </c>
      <c r="B374" s="86" t="inlineStr">
        <is>
          <t>Dong, X.</t>
        </is>
      </c>
      <c r="C374" s="86" t="n">
        <v>2022</v>
      </c>
      <c r="D374" s="86" t="inlineStr">
        <is>
          <t>Included</t>
        </is>
      </c>
      <c r="E374" s="5" t="inlineStr">
        <is>
          <t>Outcome not related to interest</t>
        </is>
      </c>
      <c r="F374" s="5" t="inlineStr">
        <is>
          <t>Outcome not related to interest</t>
        </is>
      </c>
      <c r="G374" s="5" t="inlineStr">
        <is>
          <t>Outcome not related to interest</t>
        </is>
      </c>
      <c r="H374" s="5" t="inlineStr">
        <is>
          <t>Outcome not related to interest</t>
        </is>
      </c>
      <c r="I374" s="5" t="inlineStr">
        <is>
          <t>Outcome not related to interest</t>
        </is>
      </c>
      <c r="J374" s="5" t="inlineStr">
        <is>
          <t>Outcome not related to interest</t>
        </is>
      </c>
    </row>
    <row r="375">
      <c r="A375" s="86" t="inlineStr">
        <is>
          <t>Features extraction using encoded local binary pattern for detection and grading diabetic retinopathy</t>
        </is>
      </c>
      <c r="B375" s="86" t="inlineStr">
        <is>
          <t>Berbar, M.A.</t>
        </is>
      </c>
      <c r="C375" s="86" t="n">
        <v>2022</v>
      </c>
      <c r="D375" s="86" t="inlineStr">
        <is>
          <t>Included</t>
        </is>
      </c>
      <c r="E375" s="5" t="inlineStr">
        <is>
          <t>Outcome not related to interest</t>
        </is>
      </c>
      <c r="F375" s="5" t="inlineStr">
        <is>
          <t>Outcome not related to interest</t>
        </is>
      </c>
      <c r="G375" s="5" t="inlineStr">
        <is>
          <t>Outcome not related to interest</t>
        </is>
      </c>
      <c r="H375" s="5" t="inlineStr">
        <is>
          <t>Outcome not related to interest</t>
        </is>
      </c>
      <c r="I375" s="5" t="inlineStr">
        <is>
          <t>Retrospective study</t>
        </is>
      </c>
      <c r="J375" s="86" t="n">
        <v>330</v>
      </c>
    </row>
    <row r="376">
      <c r="A376" s="86" t="inlineStr">
        <is>
          <t>Real world evaluation of Thirona RetCAD artificial intelligence tool for detection of referrable diabetic retinopathy and age-related macular degeneration</t>
        </is>
      </c>
      <c r="B376" s="86" t="inlineStr">
        <is>
          <t>Taylor, J.</t>
        </is>
      </c>
      <c r="C376" s="86" t="n">
        <v>2022</v>
      </c>
      <c r="D376" s="86" t="inlineStr">
        <is>
          <t>Included</t>
        </is>
      </c>
      <c r="E376" s="5" t="inlineStr">
        <is>
          <t>Outcome not related to interest</t>
        </is>
      </c>
      <c r="F376" s="86" t="n">
        <v>53</v>
      </c>
      <c r="G376" s="5" t="inlineStr">
        <is>
          <t>Outcome not related to interest</t>
        </is>
      </c>
      <c r="H376" s="5" t="inlineStr">
        <is>
          <t>Outcome not related to interest</t>
        </is>
      </c>
      <c r="I376" s="86" t="n">
        <v>53</v>
      </c>
      <c r="J376" s="86" t="n">
        <v>331</v>
      </c>
    </row>
    <row r="377">
      <c r="A377" s="86" t="inlineStr">
        <is>
          <t>Resampling-based cost loss attention network for explainable imbalanced diabetic retinopathy grading</t>
        </is>
      </c>
      <c r="B377" s="86" t="inlineStr">
        <is>
          <t>Li, H.</t>
        </is>
      </c>
      <c r="C377" s="86" t="n">
        <v>2022</v>
      </c>
      <c r="D377" s="86" t="inlineStr">
        <is>
          <t>Included</t>
        </is>
      </c>
      <c r="E377" s="5" t="inlineStr">
        <is>
          <t>Outcome not related to interest</t>
        </is>
      </c>
      <c r="F377" s="5" t="inlineStr">
        <is>
          <t>Outcome not related to interest</t>
        </is>
      </c>
      <c r="G377" s="5" t="inlineStr">
        <is>
          <t>Outcome not related to interest</t>
        </is>
      </c>
      <c r="H377" s="5" t="inlineStr">
        <is>
          <t>Outcome not related to interest</t>
        </is>
      </c>
      <c r="I377" s="5" t="inlineStr">
        <is>
          <t>Retrospective study</t>
        </is>
      </c>
      <c r="J377" s="86" t="n">
        <v>332</v>
      </c>
    </row>
    <row r="378">
      <c r="A378" s="86" t="inlineStr">
        <is>
          <t>Combining Transfer Learning with Retinal Lesions Features for Accurate Detection of Diabetic Retinopathy</t>
        </is>
      </c>
      <c r="B378" s="86" t="inlineStr">
        <is>
          <t>Hassan, D.</t>
        </is>
      </c>
      <c r="C378" s="86" t="n">
        <v>2022</v>
      </c>
      <c r="D378" s="86" t="inlineStr">
        <is>
          <t>Included</t>
        </is>
      </c>
      <c r="E378" s="5" t="inlineStr">
        <is>
          <t>Outcome not related to interest</t>
        </is>
      </c>
      <c r="F378" s="5" t="inlineStr">
        <is>
          <t>Outcome not related to interest</t>
        </is>
      </c>
      <c r="G378" s="5" t="inlineStr">
        <is>
          <t>Outcome not related to interest</t>
        </is>
      </c>
      <c r="H378" s="5" t="inlineStr">
        <is>
          <t>Outcome not related to interest</t>
        </is>
      </c>
      <c r="I378" s="5" t="inlineStr">
        <is>
          <t>Retrospective study</t>
        </is>
      </c>
      <c r="J378" s="86" t="n">
        <v>333</v>
      </c>
    </row>
    <row r="379">
      <c r="A379" s="86" t="inlineStr">
        <is>
          <t>OHGCNet: Optimal feature selection-based hybrid graph convolutional network model for joint DR-DME classification</t>
        </is>
      </c>
      <c r="B379" s="86" t="inlineStr">
        <is>
          <t>Purna Chandra Reddy, V.</t>
        </is>
      </c>
      <c r="C379" s="86" t="n">
        <v>2022</v>
      </c>
      <c r="D379" s="86" t="inlineStr">
        <is>
          <t>Included</t>
        </is>
      </c>
      <c r="E379" s="5" t="inlineStr">
        <is>
          <t>Outcome not related to interest</t>
        </is>
      </c>
      <c r="F379" s="5" t="inlineStr">
        <is>
          <t>Outcome not related to interest</t>
        </is>
      </c>
      <c r="G379" s="5" t="inlineStr">
        <is>
          <t>Outcome not related to interest</t>
        </is>
      </c>
      <c r="H379" s="5" t="inlineStr">
        <is>
          <t>Outcome not related to interest</t>
        </is>
      </c>
      <c r="I379" s="5" t="inlineStr">
        <is>
          <t>Retrospective study</t>
        </is>
      </c>
      <c r="J379" s="86" t="n">
        <v>334</v>
      </c>
    </row>
    <row r="380">
      <c r="A380" s="86" t="inlineStr">
        <is>
          <t>Multi-classification of fundus diseases based on DSRA-CNN</t>
        </is>
      </c>
      <c r="B380" s="86" t="inlineStr">
        <is>
          <t>Yang, X.-L.</t>
        </is>
      </c>
      <c r="C380" s="86" t="n">
        <v>2022</v>
      </c>
      <c r="D380" s="86" t="inlineStr">
        <is>
          <t>Included</t>
        </is>
      </c>
      <c r="E380" s="5" t="inlineStr">
        <is>
          <t>Outcome not related to interest</t>
        </is>
      </c>
      <c r="F380" s="5" t="inlineStr">
        <is>
          <t>Outcome not related to interest</t>
        </is>
      </c>
      <c r="G380" s="5" t="inlineStr">
        <is>
          <t>Outcome not related to interest</t>
        </is>
      </c>
      <c r="H380" s="5" t="inlineStr">
        <is>
          <t>Outcome not related to interest</t>
        </is>
      </c>
      <c r="I380" s="5" t="inlineStr">
        <is>
          <t>Retrospective study</t>
        </is>
      </c>
      <c r="J380" s="86" t="n">
        <v>335</v>
      </c>
    </row>
    <row r="381">
      <c r="A381" s="86" t="inlineStr">
        <is>
          <t>Diabetic retinopathy classification using a novel DAG network based on multi-feature of fundus images</t>
        </is>
      </c>
      <c r="B381" s="86" t="inlineStr">
        <is>
          <t>Fang, L.</t>
        </is>
      </c>
      <c r="C381" s="86" t="n">
        <v>2022</v>
      </c>
      <c r="D381" s="86" t="inlineStr">
        <is>
          <t>Included</t>
        </is>
      </c>
      <c r="E381" s="5" t="inlineStr">
        <is>
          <t>Outcome not related to interest</t>
        </is>
      </c>
      <c r="F381" s="5" t="inlineStr">
        <is>
          <t>Outcome not related to interest</t>
        </is>
      </c>
      <c r="G381" s="5" t="inlineStr">
        <is>
          <t>Outcome not related to interest</t>
        </is>
      </c>
      <c r="H381" s="5" t="inlineStr">
        <is>
          <t>Outcome not related to interest</t>
        </is>
      </c>
      <c r="I381" s="5" t="inlineStr">
        <is>
          <t>Retrospective study</t>
        </is>
      </c>
      <c r="J381" s="86" t="n">
        <v>336</v>
      </c>
    </row>
    <row r="382">
      <c r="A382" s="86" t="inlineStr">
        <is>
          <t>Ar-HGSO: Autoregressive-Henry Gas Sailfish Optimization enabled deep learning model for diabetic retinopathy detection and severity level classification</t>
        </is>
      </c>
      <c r="B382" s="86" t="inlineStr">
        <is>
          <t>Elwin, J.G.R.</t>
        </is>
      </c>
      <c r="C382" s="86" t="n">
        <v>2022</v>
      </c>
      <c r="D382" s="86" t="inlineStr">
        <is>
          <t>Included</t>
        </is>
      </c>
      <c r="E382" s="5" t="inlineStr">
        <is>
          <t>Outcome not related to interest</t>
        </is>
      </c>
      <c r="F382" s="5" t="inlineStr">
        <is>
          <t>Outcome not related to interest</t>
        </is>
      </c>
      <c r="G382" s="5" t="inlineStr">
        <is>
          <t>Outcome not related to interest</t>
        </is>
      </c>
      <c r="H382" s="5" t="inlineStr">
        <is>
          <t>Outcome not related to interest</t>
        </is>
      </c>
      <c r="I382" s="5" t="inlineStr">
        <is>
          <t>Retrospective study</t>
        </is>
      </c>
      <c r="J382" s="86" t="n">
        <v>337</v>
      </c>
    </row>
    <row r="383">
      <c r="A383" s="86" t="inlineStr">
        <is>
          <t>Application of artificial intelligence remote screening system for diabetic retinopathy in Yinchuan community of Ningxia</t>
        </is>
      </c>
      <c r="B383" s="86" t="inlineStr">
        <is>
          <t>Li, Z.</t>
        </is>
      </c>
      <c r="C383" s="86" t="n">
        <v>2022</v>
      </c>
      <c r="D383" s="86" t="inlineStr">
        <is>
          <t>Included</t>
        </is>
      </c>
      <c r="E383" s="5" t="inlineStr">
        <is>
          <t>Outcome not related to interest</t>
        </is>
      </c>
      <c r="F383" s="86" t="n">
        <v>54</v>
      </c>
      <c r="G383" s="5" t="inlineStr">
        <is>
          <t>Outcome not related to interest</t>
        </is>
      </c>
      <c r="H383" s="5" t="inlineStr">
        <is>
          <t>Outcome not related to interest</t>
        </is>
      </c>
      <c r="I383" s="86" t="n">
        <v>54</v>
      </c>
      <c r="J383" s="86" t="n">
        <v>338</v>
      </c>
    </row>
    <row r="384">
      <c r="A384" s="86" t="inlineStr">
        <is>
          <t>Enhancing CNNs through the use of hand-crafted features in automated fundus image classification</t>
        </is>
      </c>
      <c r="B384" s="86" t="inlineStr">
        <is>
          <t>Bogacsovics, G.</t>
        </is>
      </c>
      <c r="C384" s="86" t="n">
        <v>2022</v>
      </c>
      <c r="D384" s="86" t="inlineStr">
        <is>
          <t>Included</t>
        </is>
      </c>
      <c r="E384" s="5" t="inlineStr">
        <is>
          <t>Outcome not related to interest</t>
        </is>
      </c>
      <c r="F384" s="5" t="inlineStr">
        <is>
          <t>Outcome not related to interest</t>
        </is>
      </c>
      <c r="G384" s="5" t="inlineStr">
        <is>
          <t>Outcome not related to interest</t>
        </is>
      </c>
      <c r="H384" s="5" t="inlineStr">
        <is>
          <t>Outcome not related to interest</t>
        </is>
      </c>
      <c r="I384" s="5" t="inlineStr">
        <is>
          <t>Retrospective study</t>
        </is>
      </c>
      <c r="J384" s="86" t="n">
        <v>339</v>
      </c>
    </row>
    <row r="385">
      <c r="A385" s="86" t="inlineStr">
        <is>
          <t>Comparison of Handheld Retinal Imaging with ETDRS 7-Standard Field Photography for Diabetic Retinopathy and Diabetic Macular Edema</t>
        </is>
      </c>
      <c r="B385" s="86" t="inlineStr">
        <is>
          <t>Salongcay, R.P.</t>
        </is>
      </c>
      <c r="C385" s="86" t="n">
        <v>2022</v>
      </c>
      <c r="D385" s="86" t="inlineStr">
        <is>
          <t>Included</t>
        </is>
      </c>
      <c r="E385" s="86" t="inlineStr">
        <is>
          <t>Not deep learning</t>
        </is>
      </c>
      <c r="F385" s="86" t="inlineStr">
        <is>
          <t>Not deep learning</t>
        </is>
      </c>
      <c r="G385" s="86" t="inlineStr">
        <is>
          <t>Not deep learning</t>
        </is>
      </c>
      <c r="H385" s="86" t="inlineStr">
        <is>
          <t>Not deep learning</t>
        </is>
      </c>
      <c r="I385" s="86" t="inlineStr">
        <is>
          <t>Not deep learning</t>
        </is>
      </c>
      <c r="J385" s="86" t="inlineStr">
        <is>
          <t>Not deep learning</t>
        </is>
      </c>
    </row>
    <row r="386">
      <c r="A386" s="86" t="inlineStr">
        <is>
          <t>Contrastive learning improves representation and transferability of diabetic retinopathy classification models</t>
        </is>
      </c>
      <c r="B386" s="86" t="inlineStr">
        <is>
          <t>Alam, M.N.</t>
        </is>
      </c>
      <c r="C386" s="86" t="n">
        <v>2022</v>
      </c>
      <c r="D386" s="86" t="inlineStr">
        <is>
          <t>Included</t>
        </is>
      </c>
      <c r="E386" s="5" t="inlineStr">
        <is>
          <t>Outcome not related to interest</t>
        </is>
      </c>
      <c r="F386" s="5" t="inlineStr">
        <is>
          <t>Outcome not related to interest</t>
        </is>
      </c>
      <c r="G386" s="5" t="inlineStr">
        <is>
          <t>Outcome not related to interest</t>
        </is>
      </c>
      <c r="H386" s="5" t="inlineStr">
        <is>
          <t>Outcome not related to interest</t>
        </is>
      </c>
      <c r="I386" s="5" t="inlineStr">
        <is>
          <t>Retrospective study</t>
        </is>
      </c>
      <c r="J386" s="86" t="n">
        <v>340</v>
      </c>
    </row>
    <row r="387">
      <c r="A387" s="86" t="inlineStr">
        <is>
          <t>Deep Learning Artificial Intelligence in Vision-Threatening Disease in Clinical and Community Screenings</t>
        </is>
      </c>
      <c r="B387" s="86" t="inlineStr">
        <is>
          <t>Zhu, A.</t>
        </is>
      </c>
      <c r="C387" s="86" t="n">
        <v>2022</v>
      </c>
      <c r="D387" s="86" t="inlineStr">
        <is>
          <t>Included</t>
        </is>
      </c>
      <c r="E387" s="5" t="inlineStr">
        <is>
          <t>Outcome not related to interest</t>
        </is>
      </c>
      <c r="F387" s="5" t="n">
        <v>55</v>
      </c>
      <c r="G387" s="5" t="inlineStr">
        <is>
          <t>Outcome not related to interest</t>
        </is>
      </c>
      <c r="H387" s="5" t="inlineStr">
        <is>
          <t>Outcome not related to interest</t>
        </is>
      </c>
      <c r="I387" s="5" t="n">
        <v>55</v>
      </c>
      <c r="J387" s="86" t="n">
        <v>341</v>
      </c>
    </row>
    <row r="388">
      <c r="A388" s="86" t="inlineStr">
        <is>
          <t>Accuracy of Integrated Artificial Intelligence (AI) Grading at the Point of Care (POC) Using Handheld Retinal Imaging in a CommunityBased Diabetic Retinopathy (DR) Screening Program (DRSP)</t>
        </is>
      </c>
      <c r="B388" s="86" t="inlineStr">
        <is>
          <t>Salongcay, R.</t>
        </is>
      </c>
      <c r="C388" s="86" t="n">
        <v>2022</v>
      </c>
      <c r="D388" s="86" t="inlineStr">
        <is>
          <t>Included</t>
        </is>
      </c>
      <c r="E388" s="5" t="inlineStr">
        <is>
          <t>Outcome not related to interest</t>
        </is>
      </c>
      <c r="F388" s="86" t="n">
        <v>56</v>
      </c>
      <c r="G388" s="5" t="inlineStr">
        <is>
          <t>Outcome not related to interest</t>
        </is>
      </c>
      <c r="H388" s="5" t="inlineStr">
        <is>
          <t>Outcome not related to interest</t>
        </is>
      </c>
      <c r="I388" s="86" t="n">
        <v>56</v>
      </c>
      <c r="J388" s="86" t="n">
        <v>342</v>
      </c>
    </row>
    <row r="389">
      <c r="A389" s="86" t="inlineStr">
        <is>
          <t>Detecting patients with ocular comorbidities when screening for diabetic retinopathy (DR): an out-of-distribution (OOD) perspective</t>
        </is>
      </c>
      <c r="B389" s="86" t="inlineStr">
        <is>
          <t>Novosel, J.</t>
        </is>
      </c>
      <c r="C389" s="86" t="n">
        <v>2022</v>
      </c>
      <c r="D389" s="86" t="inlineStr">
        <is>
          <t>Included</t>
        </is>
      </c>
      <c r="E389" s="5" t="inlineStr">
        <is>
          <t>Outcome not related to interest</t>
        </is>
      </c>
      <c r="F389" s="5" t="inlineStr">
        <is>
          <t>Outcome not related to interest</t>
        </is>
      </c>
      <c r="G389" s="5" t="inlineStr">
        <is>
          <t>Outcome not related to interest</t>
        </is>
      </c>
      <c r="H389" s="5" t="inlineStr">
        <is>
          <t>Outcome not related to interest</t>
        </is>
      </c>
      <c r="I389" s="5" t="inlineStr">
        <is>
          <t>Retrospective study</t>
        </is>
      </c>
      <c r="J389" s="86" t="n">
        <v>343</v>
      </c>
    </row>
    <row r="390">
      <c r="A390" s="86" t="inlineStr">
        <is>
          <t>Coherence analysis between an artificial intelligence algorithm and human experts in diabetic retinopathy screening</t>
        </is>
      </c>
      <c r="B390" s="86" t="inlineStr">
        <is>
          <t>Abreu, R.</t>
        </is>
      </c>
      <c r="C390" s="86" t="n">
        <v>2022</v>
      </c>
      <c r="D390" s="86" t="inlineStr">
        <is>
          <t>Included</t>
        </is>
      </c>
      <c r="E390" s="5" t="inlineStr">
        <is>
          <t>Outcome not related to interest</t>
        </is>
      </c>
      <c r="F390" s="5" t="inlineStr">
        <is>
          <t>Outcome not related to interest</t>
        </is>
      </c>
      <c r="G390" s="5" t="inlineStr">
        <is>
          <t>Outcome not related to interest</t>
        </is>
      </c>
      <c r="H390" s="5" t="inlineStr">
        <is>
          <t>Outcome not related to interest</t>
        </is>
      </c>
      <c r="I390" s="5" t="inlineStr">
        <is>
          <t>Retrospective study</t>
        </is>
      </c>
      <c r="J390" s="86" t="n">
        <v>344</v>
      </c>
    </row>
    <row r="391">
      <c r="A391" s="86" t="inlineStr">
        <is>
          <t>Effect of Simulated Cataract on the Accuracy of an Artificial Intelligence Algorithm in Detecting Diabetic Retinopathy in Color Fundus Photos</t>
        </is>
      </c>
      <c r="B391" s="86" t="inlineStr">
        <is>
          <t>Crane, A.</t>
        </is>
      </c>
      <c r="C391" s="86" t="n">
        <v>2022</v>
      </c>
      <c r="D391" s="86" t="inlineStr">
        <is>
          <t>Included</t>
        </is>
      </c>
      <c r="E391" s="5" t="inlineStr">
        <is>
          <t>Outcome not related to interest</t>
        </is>
      </c>
      <c r="F391" s="5" t="inlineStr">
        <is>
          <t>Outcome not related to interest</t>
        </is>
      </c>
      <c r="G391" s="5" t="inlineStr">
        <is>
          <t>Outcome not related to interest</t>
        </is>
      </c>
      <c r="H391" s="5" t="inlineStr">
        <is>
          <t>Outcome not related to interest</t>
        </is>
      </c>
      <c r="I391" s="5" t="inlineStr">
        <is>
          <t>Retrospective study</t>
        </is>
      </c>
      <c r="J391" s="86" t="n">
        <v>345</v>
      </c>
    </row>
    <row r="392">
      <c r="A392" s="86" t="inlineStr">
        <is>
          <t>Deep learning (DL) model to identify moderately severe and severe nonproliferative diabetic retinopathy (NPDR) from 7-field color fundus photographs (7F-CFP)</t>
        </is>
      </c>
      <c r="B392" s="86" t="inlineStr">
        <is>
          <t>Benmansour, F.</t>
        </is>
      </c>
      <c r="C392" s="86" t="n">
        <v>2022</v>
      </c>
      <c r="D392" s="86" t="inlineStr">
        <is>
          <t>Included</t>
        </is>
      </c>
      <c r="E392" s="5" t="inlineStr">
        <is>
          <t>Outcome not related to interest</t>
        </is>
      </c>
      <c r="F392" s="5" t="inlineStr">
        <is>
          <t>Outcome not related to interest</t>
        </is>
      </c>
      <c r="G392" s="5" t="inlineStr">
        <is>
          <t>Outcome not related to interest</t>
        </is>
      </c>
      <c r="H392" s="5" t="inlineStr">
        <is>
          <t>Outcome not related to interest</t>
        </is>
      </c>
      <c r="I392" s="5" t="inlineStr">
        <is>
          <t>Retrospective study</t>
        </is>
      </c>
      <c r="J392" s="86" t="n">
        <v>346</v>
      </c>
    </row>
    <row r="393">
      <c r="A393" s="86" t="inlineStr">
        <is>
          <t>Artificial Intelligence (AI) Enabled Pre-Screening for Diabetic Retinopathy (DR) Clinical Trials</t>
        </is>
      </c>
      <c r="B393" s="86" t="inlineStr">
        <is>
          <t>Barrett, N.</t>
        </is>
      </c>
      <c r="C393" s="86" t="n">
        <v>2022</v>
      </c>
      <c r="D393" s="86" t="inlineStr">
        <is>
          <t>Included</t>
        </is>
      </c>
      <c r="E393" s="5" t="inlineStr">
        <is>
          <t>Outcome not related to interest</t>
        </is>
      </c>
      <c r="F393" s="5" t="inlineStr">
        <is>
          <t>Outcome not related to interest</t>
        </is>
      </c>
      <c r="G393" s="5" t="inlineStr">
        <is>
          <t>Outcome not related to interest</t>
        </is>
      </c>
      <c r="H393" s="5" t="inlineStr">
        <is>
          <t>Outcome not related to interest</t>
        </is>
      </c>
      <c r="I393" s="5" t="inlineStr">
        <is>
          <t>Retrospective study</t>
        </is>
      </c>
      <c r="J393" s="86" t="n">
        <v>347</v>
      </c>
    </row>
    <row r="394">
      <c r="A394" s="86" t="inlineStr">
        <is>
          <t>Performance of a Diabetic Retinopathy Deep Learning Model for Ultra-widefield Imaging</t>
        </is>
      </c>
      <c r="B394" s="86" t="inlineStr">
        <is>
          <t>Peto, T.</t>
        </is>
      </c>
      <c r="C394" s="86" t="n">
        <v>2022</v>
      </c>
      <c r="D394" s="86" t="inlineStr">
        <is>
          <t>Included</t>
        </is>
      </c>
      <c r="E394" s="5" t="inlineStr">
        <is>
          <t>Outcome not related to interest</t>
        </is>
      </c>
      <c r="F394" s="5" t="inlineStr">
        <is>
          <t>Outcome not related to interest</t>
        </is>
      </c>
      <c r="G394" s="5" t="inlineStr">
        <is>
          <t>Outcome not related to interest</t>
        </is>
      </c>
      <c r="H394" s="5" t="inlineStr">
        <is>
          <t>Outcome not related to interest</t>
        </is>
      </c>
      <c r="I394" s="5" t="inlineStr">
        <is>
          <t>Retrospective study</t>
        </is>
      </c>
      <c r="J394" s="86" t="n">
        <v>348</v>
      </c>
    </row>
    <row r="395">
      <c r="A395" s="86" t="inlineStr">
        <is>
          <t>Automated machine learning (AutoML) models for diabetic retinopathy (DR) image classification from handheld retinal images</t>
        </is>
      </c>
      <c r="B395" s="86" t="inlineStr">
        <is>
          <t>Doan, D.</t>
        </is>
      </c>
      <c r="C395" s="86" t="n">
        <v>2022</v>
      </c>
      <c r="D395" s="86" t="inlineStr">
        <is>
          <t>Included</t>
        </is>
      </c>
      <c r="E395" s="86" t="n">
        <v>21</v>
      </c>
      <c r="F395" s="86" t="n">
        <v>57</v>
      </c>
      <c r="G395" s="5" t="inlineStr">
        <is>
          <t>Outcome not related to interest</t>
        </is>
      </c>
      <c r="H395" s="5" t="inlineStr">
        <is>
          <t>Outcome not related to interest</t>
        </is>
      </c>
      <c r="I395" s="5" t="inlineStr">
        <is>
          <t>Retrospective study</t>
        </is>
      </c>
      <c r="J395" s="86" t="n">
        <v>349</v>
      </c>
    </row>
    <row r="396">
      <c r="A396" s="86" t="inlineStr">
        <is>
          <t>Implementation of a Large-Scale Retinal Image Curation Workflow Using Deep Learning Framework</t>
        </is>
      </c>
      <c r="B396" s="86" t="inlineStr">
        <is>
          <t>Balaji, R.</t>
        </is>
      </c>
      <c r="C396" s="86" t="n">
        <v>2022</v>
      </c>
      <c r="D396" s="86" t="inlineStr">
        <is>
          <t>Included</t>
        </is>
      </c>
      <c r="E396" s="5" t="inlineStr">
        <is>
          <t>Outcome not related to interest</t>
        </is>
      </c>
      <c r="F396" s="5" t="inlineStr">
        <is>
          <t>Outcome not related to interest</t>
        </is>
      </c>
      <c r="G396" s="5" t="inlineStr">
        <is>
          <t>Outcome not related to interest</t>
        </is>
      </c>
      <c r="H396" s="5" t="inlineStr">
        <is>
          <t>Outcome not related to interest</t>
        </is>
      </c>
      <c r="I396" s="5" t="inlineStr">
        <is>
          <t>Retrospective study</t>
        </is>
      </c>
      <c r="J396" s="86" t="n">
        <v>350</v>
      </c>
    </row>
    <row r="397">
      <c r="A397" s="86" t="inlineStr">
        <is>
          <t>Eye-Net: A Novel Transparent Machine Learning Ensemble for the Efficient Diagnosis and Localization of Lesions in Diabetic Retinopathy</t>
        </is>
      </c>
      <c r="B397" s="86" t="inlineStr">
        <is>
          <t>Liu, J.</t>
        </is>
      </c>
      <c r="C397" s="86" t="n">
        <v>2022</v>
      </c>
      <c r="D397" s="86" t="inlineStr">
        <is>
          <t>Included</t>
        </is>
      </c>
      <c r="E397" s="5" t="inlineStr">
        <is>
          <t>Outcome not related to interest</t>
        </is>
      </c>
      <c r="F397" s="5" t="inlineStr">
        <is>
          <t>Outcome not related to interest</t>
        </is>
      </c>
      <c r="G397" s="5" t="inlineStr">
        <is>
          <t>Outcome not related to interest</t>
        </is>
      </c>
      <c r="H397" s="5" t="inlineStr">
        <is>
          <t>Outcome not related to interest</t>
        </is>
      </c>
      <c r="I397" s="5" t="inlineStr">
        <is>
          <t>Retrospective study</t>
        </is>
      </c>
      <c r="J397" s="86" t="n">
        <v>351</v>
      </c>
    </row>
    <row r="398">
      <c r="A398" s="86" t="inlineStr">
        <is>
          <t>Automated machine learning (AutoML) model for diabetic retinopathy (DR) image classification from ultrawide field (UWF) retinal images</t>
        </is>
      </c>
      <c r="B398" s="86" t="inlineStr">
        <is>
          <t>Silva, P.S.</t>
        </is>
      </c>
      <c r="C398" s="86" t="n">
        <v>2022</v>
      </c>
      <c r="D398" s="86" t="inlineStr">
        <is>
          <t>Included</t>
        </is>
      </c>
      <c r="E398" s="86" t="n">
        <v>22</v>
      </c>
      <c r="F398" s="86" t="n">
        <v>58</v>
      </c>
      <c r="G398" s="5" t="inlineStr">
        <is>
          <t>Outcome not related to interest</t>
        </is>
      </c>
      <c r="H398" s="5" t="inlineStr">
        <is>
          <t>Outcome not related to interest</t>
        </is>
      </c>
      <c r="I398" s="5" t="inlineStr">
        <is>
          <t>Retrospective study</t>
        </is>
      </c>
      <c r="J398" s="86" t="n">
        <v>352</v>
      </c>
    </row>
    <row r="399">
      <c r="A399" s="86" t="inlineStr">
        <is>
          <t>Deep learning for eye fundus diagnosis based on multispectral imaging</t>
        </is>
      </c>
      <c r="B399" s="86" t="inlineStr">
        <is>
          <t>Burgos-Fernandez, F.J.</t>
        </is>
      </c>
      <c r="C399" s="86" t="n">
        <v>2022</v>
      </c>
      <c r="D399" s="86" t="inlineStr">
        <is>
          <t>Included</t>
        </is>
      </c>
      <c r="E399" s="5" t="inlineStr">
        <is>
          <t>Outcome not related to interest</t>
        </is>
      </c>
      <c r="F399" s="5" t="inlineStr">
        <is>
          <t>Outcome not related to interest</t>
        </is>
      </c>
      <c r="G399" s="5" t="inlineStr">
        <is>
          <t>Outcome not related to interest</t>
        </is>
      </c>
      <c r="H399" s="5" t="inlineStr">
        <is>
          <t>Outcome not related to interest</t>
        </is>
      </c>
      <c r="I399" s="5" t="inlineStr">
        <is>
          <t>Retrospective study</t>
        </is>
      </c>
      <c r="J399" s="86" t="n">
        <v>353</v>
      </c>
    </row>
    <row r="400">
      <c r="A400" s="86" t="inlineStr">
        <is>
          <t>Assessment of AI Algorithms for Diabetic Retinopathy Classification Using Model Cards</t>
        </is>
      </c>
      <c r="B400" s="86" t="inlineStr">
        <is>
          <t>Chen, D.</t>
        </is>
      </c>
      <c r="C400" s="86" t="n">
        <v>2022</v>
      </c>
      <c r="D400" s="86" t="inlineStr">
        <is>
          <t>Included</t>
        </is>
      </c>
      <c r="E400" s="5" t="inlineStr">
        <is>
          <t>Outcome not related to interest</t>
        </is>
      </c>
      <c r="F400" s="5" t="inlineStr">
        <is>
          <t>Outcome not related to interest</t>
        </is>
      </c>
      <c r="G400" s="5" t="inlineStr">
        <is>
          <t>Outcome not related to interest</t>
        </is>
      </c>
      <c r="H400" s="5" t="inlineStr">
        <is>
          <t>Outcome not related to interest</t>
        </is>
      </c>
      <c r="I400" s="5" t="inlineStr">
        <is>
          <t>Outcome not related to interest</t>
        </is>
      </c>
      <c r="J400" s="5" t="inlineStr">
        <is>
          <t>Outcome not related to interest</t>
        </is>
      </c>
    </row>
    <row r="401">
      <c r="A401" s="86" t="inlineStr">
        <is>
          <t>A deep learning model for screening type 2 diabetes from retinal photographs</t>
        </is>
      </c>
      <c r="B401" s="86" t="inlineStr">
        <is>
          <t>Yun, J.-S.</t>
        </is>
      </c>
      <c r="C401" s="86" t="n">
        <v>2022</v>
      </c>
      <c r="D401" s="86" t="inlineStr">
        <is>
          <t>Included</t>
        </is>
      </c>
      <c r="E401" s="5" t="inlineStr">
        <is>
          <t>Outcome not related to interest</t>
        </is>
      </c>
      <c r="F401" s="5" t="inlineStr">
        <is>
          <t>Outcome not related to interest</t>
        </is>
      </c>
      <c r="G401" s="5" t="inlineStr">
        <is>
          <t>Outcome not related to interest</t>
        </is>
      </c>
      <c r="H401" s="5" t="inlineStr">
        <is>
          <t>Outcome not related to interest</t>
        </is>
      </c>
      <c r="I401" s="5" t="inlineStr">
        <is>
          <t>Outcome not related to interest</t>
        </is>
      </c>
      <c r="J401" s="5" t="inlineStr">
        <is>
          <t>Outcome not related to interest</t>
        </is>
      </c>
    </row>
    <row r="402">
      <c r="A402" s="86" t="inlineStr">
        <is>
          <t>Predicting the future development of diabetic retinopathy using a deep learning algorithm for the analysis of non-invasive retinal imaging</t>
        </is>
      </c>
      <c r="B402" s="86" t="inlineStr">
        <is>
          <t>Rom, Y.</t>
        </is>
      </c>
      <c r="C402" s="86" t="n">
        <v>2022</v>
      </c>
      <c r="D402" s="86" t="inlineStr">
        <is>
          <t>Included</t>
        </is>
      </c>
      <c r="E402" s="86" t="inlineStr">
        <is>
          <t>Repeated article</t>
        </is>
      </c>
      <c r="F402" s="86" t="inlineStr">
        <is>
          <t>Repeated article</t>
        </is>
      </c>
      <c r="G402" s="86" t="inlineStr">
        <is>
          <t>Repeated article</t>
        </is>
      </c>
      <c r="H402" s="86" t="inlineStr">
        <is>
          <t>Repeated article</t>
        </is>
      </c>
      <c r="I402" s="86" t="inlineStr">
        <is>
          <t>Repeated article</t>
        </is>
      </c>
      <c r="J402" s="86" t="inlineStr">
        <is>
          <t>Repeated article</t>
        </is>
      </c>
    </row>
    <row r="403">
      <c r="A403" s="86" t="inlineStr">
        <is>
          <t>IDF21-0299 An automatic deep learning-based system for screening and management of DME</t>
        </is>
      </c>
      <c r="B403" s="86" t="inlineStr">
        <is>
          <t>Galdran, A.</t>
        </is>
      </c>
      <c r="C403" s="86" t="n">
        <v>2022</v>
      </c>
      <c r="D403" s="86" t="inlineStr">
        <is>
          <t>Included</t>
        </is>
      </c>
      <c r="E403" s="5" t="inlineStr">
        <is>
          <t>Outcome not related to interest</t>
        </is>
      </c>
      <c r="F403" s="5" t="inlineStr">
        <is>
          <t>Outcome not related to interest</t>
        </is>
      </c>
      <c r="G403" s="5" t="inlineStr">
        <is>
          <t>Outcome not related to interest</t>
        </is>
      </c>
      <c r="H403" s="5" t="inlineStr">
        <is>
          <t>Outcome not related to interest</t>
        </is>
      </c>
      <c r="I403" s="5" t="inlineStr">
        <is>
          <t>Retrospective study</t>
        </is>
      </c>
      <c r="J403" s="86" t="n">
        <v>354</v>
      </c>
    </row>
    <row r="404">
      <c r="A404" s="86" t="inlineStr">
        <is>
          <t>PREVALENCE OF DIABETIC RETINOPATHY SCREENED BY ARTIFICIAL INTELLIGENCE BASED DEEP LEARNING ALGORITHM WITH HIGH SENSITIVITY: A MULTICENTRIC CROSS SECTIONAL STUDY FROM INDIA</t>
        </is>
      </c>
      <c r="B404" s="86" t="inlineStr">
        <is>
          <t>Dey, A.</t>
        </is>
      </c>
      <c r="C404" s="86" t="n">
        <v>2022</v>
      </c>
      <c r="D404" s="86" t="inlineStr">
        <is>
          <t>Included</t>
        </is>
      </c>
      <c r="E404" s="5" t="inlineStr">
        <is>
          <t>Outcome not related to interest</t>
        </is>
      </c>
      <c r="F404" s="86" t="n">
        <v>59</v>
      </c>
      <c r="G404" s="5" t="inlineStr">
        <is>
          <t>Outcome not related to interest</t>
        </is>
      </c>
      <c r="H404" s="5" t="inlineStr">
        <is>
          <t>Outcome not related to interest</t>
        </is>
      </c>
      <c r="I404" s="86" t="n">
        <v>57</v>
      </c>
      <c r="J404" s="86" t="n">
        <v>355</v>
      </c>
    </row>
    <row r="405">
      <c r="A405" s="86" t="inlineStr">
        <is>
          <t>Joint DR-DME classification using deep learning-CNN based modified grey-wolf optimizer with variable weights</t>
        </is>
      </c>
      <c r="B405" s="86" t="inlineStr">
        <is>
          <t>Purna Chandra Reddy, V.</t>
        </is>
      </c>
      <c r="C405" s="86" t="n">
        <v>2022</v>
      </c>
      <c r="D405" s="86" t="inlineStr">
        <is>
          <t>Included</t>
        </is>
      </c>
      <c r="E405" s="5" t="inlineStr">
        <is>
          <t>Outcome not related to interest</t>
        </is>
      </c>
      <c r="F405" s="5" t="inlineStr">
        <is>
          <t>Outcome not related to interest</t>
        </is>
      </c>
      <c r="G405" s="5" t="inlineStr">
        <is>
          <t>Outcome not related to interest</t>
        </is>
      </c>
      <c r="H405" s="5" t="inlineStr">
        <is>
          <t>Outcome not related to interest</t>
        </is>
      </c>
      <c r="I405" s="5" t="inlineStr">
        <is>
          <t>Retrospective study</t>
        </is>
      </c>
      <c r="J405" s="86" t="n">
        <v>356</v>
      </c>
    </row>
    <row r="406">
      <c r="A406" s="86" t="inlineStr">
        <is>
          <t>Diabetic Retinopathy Grading by a Source-Free Transfer Learning Approach</t>
        </is>
      </c>
      <c r="B406" s="86" t="inlineStr">
        <is>
          <t>Zhang, C.</t>
        </is>
      </c>
      <c r="C406" s="86" t="n">
        <v>2022</v>
      </c>
      <c r="D406" s="86" t="inlineStr">
        <is>
          <t>Included</t>
        </is>
      </c>
      <c r="E406" s="5" t="inlineStr">
        <is>
          <t>Outcome not related to interest</t>
        </is>
      </c>
      <c r="F406" s="5" t="inlineStr">
        <is>
          <t>Outcome not related to interest</t>
        </is>
      </c>
      <c r="G406" s="5" t="inlineStr">
        <is>
          <t>Outcome not related to interest</t>
        </is>
      </c>
      <c r="H406" s="5" t="inlineStr">
        <is>
          <t>Outcome not related to interest</t>
        </is>
      </c>
      <c r="I406" s="5" t="inlineStr">
        <is>
          <t>Retrospective study</t>
        </is>
      </c>
      <c r="J406" s="86" t="n">
        <v>357</v>
      </c>
    </row>
    <row r="407">
      <c r="A407" s="86" t="inlineStr">
        <is>
          <t>Automatic Microaneurysms Detection for Early Diagnosis of Diabetic Retinopathy Using Improved Discrete Particle Swarm Optimization</t>
        </is>
      </c>
      <c r="B407" s="86" t="inlineStr">
        <is>
          <t>Bhimavarapu, U.</t>
        </is>
      </c>
      <c r="C407" s="86" t="n">
        <v>2022</v>
      </c>
      <c r="D407" s="86" t="inlineStr">
        <is>
          <t>Included</t>
        </is>
      </c>
      <c r="E407" s="86" t="inlineStr">
        <is>
          <t>Not deep learning</t>
        </is>
      </c>
      <c r="F407" s="86" t="inlineStr">
        <is>
          <t>Not deep learning</t>
        </is>
      </c>
      <c r="G407" s="86" t="inlineStr">
        <is>
          <t>Not deep learning</t>
        </is>
      </c>
      <c r="H407" s="86" t="inlineStr">
        <is>
          <t>Not deep learning</t>
        </is>
      </c>
      <c r="I407" s="86" t="inlineStr">
        <is>
          <t>Not deep learning</t>
        </is>
      </c>
      <c r="J407" s="86" t="inlineStr">
        <is>
          <t>Not deep learning</t>
        </is>
      </c>
    </row>
    <row r="408">
      <c r="A408" s="86" t="inlineStr">
        <is>
          <t>Development of a deep learning algorithm for provision of a South Western Sydney diabetes retinal screening service</t>
        </is>
      </c>
      <c r="B408" s="86" t="inlineStr">
        <is>
          <t>Daley, J.R.</t>
        </is>
      </c>
      <c r="C408" s="86" t="n">
        <v>2022</v>
      </c>
      <c r="D408" s="86" t="inlineStr">
        <is>
          <t>Included</t>
        </is>
      </c>
      <c r="E408" s="5" t="inlineStr">
        <is>
          <t>Outcome not related to interest</t>
        </is>
      </c>
      <c r="F408" s="5" t="inlineStr">
        <is>
          <t>Outcome not related to interest</t>
        </is>
      </c>
      <c r="G408" s="5" t="inlineStr">
        <is>
          <t>Outcome not related to interest</t>
        </is>
      </c>
      <c r="H408" s="5" t="inlineStr">
        <is>
          <t>Outcome not related to interest</t>
        </is>
      </c>
      <c r="I408" s="86" t="n">
        <v>58</v>
      </c>
      <c r="J408" s="86" t="n">
        <v>358</v>
      </c>
    </row>
    <row r="409">
      <c r="A409" s="86" t="inlineStr">
        <is>
          <t>A multi-centre prospective trial of THEIA to detect diabetic retinopathy and diabetic macular oedema in the New Zealand screening program</t>
        </is>
      </c>
      <c r="B409" s="86" t="inlineStr">
        <is>
          <t>Vaghefi, E.</t>
        </is>
      </c>
      <c r="C409" s="86" t="n">
        <v>2022</v>
      </c>
      <c r="D409" s="86" t="inlineStr">
        <is>
          <t>Included</t>
        </is>
      </c>
      <c r="E409" s="5" t="inlineStr">
        <is>
          <t>Outcome not related to interest</t>
        </is>
      </c>
      <c r="F409" s="86" t="n">
        <v>60</v>
      </c>
      <c r="G409" s="5" t="inlineStr">
        <is>
          <t>Outcome not related to interest</t>
        </is>
      </c>
      <c r="H409" s="5" t="inlineStr">
        <is>
          <t>Outcome not related to interest</t>
        </is>
      </c>
      <c r="I409" s="86" t="n">
        <v>59</v>
      </c>
      <c r="J409" s="86" t="n">
        <v>359</v>
      </c>
    </row>
    <row r="410">
      <c r="A410" s="86" t="inlineStr">
        <is>
          <t>Evaluating artificial intelligence decision support for diabetic retinopathy grading: A prospective study of eye health professionals</t>
        </is>
      </c>
      <c r="B410" s="86" t="inlineStr">
        <is>
          <t>Rothschild, P.S.</t>
        </is>
      </c>
      <c r="C410" s="86" t="n">
        <v>2022</v>
      </c>
      <c r="D410" s="86" t="inlineStr">
        <is>
          <t>Included</t>
        </is>
      </c>
      <c r="E410" s="5" t="inlineStr">
        <is>
          <t>Outcome not related to interest</t>
        </is>
      </c>
      <c r="F410" s="5" t="inlineStr">
        <is>
          <t>Outcome not related to interest</t>
        </is>
      </c>
      <c r="G410" s="5" t="inlineStr">
        <is>
          <t>Outcome not related to interest</t>
        </is>
      </c>
      <c r="H410" s="5" t="inlineStr">
        <is>
          <t>Outcome not related to interest</t>
        </is>
      </c>
      <c r="I410" s="5" t="inlineStr">
        <is>
          <t>Outcome not related to interest</t>
        </is>
      </c>
      <c r="J410" s="5" t="inlineStr">
        <is>
          <t>Outcome not related to interest</t>
        </is>
      </c>
    </row>
    <row r="411">
      <c r="A411" s="86" t="inlineStr">
        <is>
          <t>On the value of deep learning for diagnosing diabetic retinopathy</t>
        </is>
      </c>
      <c r="B411" s="86" t="inlineStr">
        <is>
          <t>Lahmar, C.</t>
        </is>
      </c>
      <c r="C411" s="86" t="n">
        <v>2022</v>
      </c>
      <c r="D411" s="86" t="inlineStr">
        <is>
          <t>Included</t>
        </is>
      </c>
      <c r="E411" s="5" t="inlineStr">
        <is>
          <t>Outcome not related to interest</t>
        </is>
      </c>
      <c r="F411" s="5" t="inlineStr">
        <is>
          <t>Outcome not related to interest</t>
        </is>
      </c>
      <c r="G411" s="5" t="inlineStr">
        <is>
          <t>Outcome not related to interest</t>
        </is>
      </c>
      <c r="H411" s="5" t="inlineStr">
        <is>
          <t>Outcome not related to interest</t>
        </is>
      </c>
      <c r="I411" s="5" t="inlineStr">
        <is>
          <t>Retrospective study</t>
        </is>
      </c>
      <c r="J411" s="86" t="n">
        <v>360</v>
      </c>
    </row>
    <row r="412">
      <c r="A412" s="86" t="inlineStr">
        <is>
          <t>A Transfer Learning and U-Net-based automatic detection of diabetic retinopathy from fundus images</t>
        </is>
      </c>
      <c r="B412" s="86" t="inlineStr">
        <is>
          <t>Bilal, A.</t>
        </is>
      </c>
      <c r="C412" s="86" t="n">
        <v>2022</v>
      </c>
      <c r="D412" s="86" t="inlineStr">
        <is>
          <t>Included</t>
        </is>
      </c>
      <c r="E412" s="5" t="inlineStr">
        <is>
          <t>Outcome not related to interest</t>
        </is>
      </c>
      <c r="F412" s="5" t="inlineStr">
        <is>
          <t>Outcome not related to interest</t>
        </is>
      </c>
      <c r="G412" s="5" t="inlineStr">
        <is>
          <t>Outcome not related to interest</t>
        </is>
      </c>
      <c r="H412" s="5" t="inlineStr">
        <is>
          <t>Outcome not related to interest</t>
        </is>
      </c>
      <c r="I412" s="5" t="inlineStr">
        <is>
          <t>Retrospective study</t>
        </is>
      </c>
      <c r="J412" s="86" t="n">
        <v>361</v>
      </c>
    </row>
    <row r="413">
      <c r="A413" s="86" t="inlineStr">
        <is>
          <t>Application of convolutional neural networks for recognition of diabetic retinopathy in digital images</t>
        </is>
      </c>
      <c r="B413" s="86" t="inlineStr">
        <is>
          <t>Mamedov, T.H.</t>
        </is>
      </c>
      <c r="C413" s="86" t="n">
        <v>2022</v>
      </c>
      <c r="D413" s="86" t="inlineStr">
        <is>
          <t>Included</t>
        </is>
      </c>
      <c r="E413" s="5" t="inlineStr">
        <is>
          <t>Outcome not related to interest</t>
        </is>
      </c>
      <c r="F413" s="5" t="inlineStr">
        <is>
          <t>Outcome not related to interest</t>
        </is>
      </c>
      <c r="G413" s="5" t="inlineStr">
        <is>
          <t>Outcome not related to interest</t>
        </is>
      </c>
      <c r="H413" s="5" t="inlineStr">
        <is>
          <t>Outcome not related to interest</t>
        </is>
      </c>
      <c r="I413" s="5" t="inlineStr">
        <is>
          <t>Retrospective study</t>
        </is>
      </c>
      <c r="J413" s="86" t="n">
        <v>362</v>
      </c>
    </row>
    <row r="414">
      <c r="A414" s="86" t="inlineStr">
        <is>
          <t>Attentional Mechanisms and Improved Residual Networks for Diabetic Retinopathy Severity Classification</t>
        </is>
      </c>
      <c r="B414" s="86" t="inlineStr">
        <is>
          <t>Cao, J.</t>
        </is>
      </c>
      <c r="C414" s="86" t="n">
        <v>2022</v>
      </c>
      <c r="D414" s="86" t="inlineStr">
        <is>
          <t>Included</t>
        </is>
      </c>
      <c r="E414" s="5" t="inlineStr">
        <is>
          <t>Outcome not related to interest</t>
        </is>
      </c>
      <c r="F414" s="5" t="inlineStr">
        <is>
          <t>Outcome not related to interest</t>
        </is>
      </c>
      <c r="G414" s="5" t="inlineStr">
        <is>
          <t>Outcome not related to interest</t>
        </is>
      </c>
      <c r="H414" s="5" t="inlineStr">
        <is>
          <t>Outcome not related to interest</t>
        </is>
      </c>
      <c r="I414" s="5" t="inlineStr">
        <is>
          <t>Retrospective study</t>
        </is>
      </c>
      <c r="J414" s="86" t="n">
        <v>363</v>
      </c>
    </row>
    <row r="415">
      <c r="A415" s="86" t="inlineStr">
        <is>
          <t>Automated Diabetic Retinopathy Detection and Grading using Fusion based Pretrained Convolutional Neural Networks</t>
        </is>
      </c>
      <c r="B415" s="86" t="inlineStr">
        <is>
          <t>Rajkumar, R.</t>
        </is>
      </c>
      <c r="C415" s="86" t="n">
        <v>2022</v>
      </c>
      <c r="D415" s="86" t="inlineStr">
        <is>
          <t>Included</t>
        </is>
      </c>
      <c r="E415" s="5" t="inlineStr">
        <is>
          <t>Outcome not related to interest</t>
        </is>
      </c>
      <c r="F415" s="5" t="inlineStr">
        <is>
          <t>Outcome not related to interest</t>
        </is>
      </c>
      <c r="G415" s="5" t="inlineStr">
        <is>
          <t>Outcome not related to interest</t>
        </is>
      </c>
      <c r="H415" s="5" t="inlineStr">
        <is>
          <t>Outcome not related to interest</t>
        </is>
      </c>
      <c r="I415" s="5" t="inlineStr">
        <is>
          <t>Retrospective study</t>
        </is>
      </c>
      <c r="J415" s="86" t="n">
        <v>364</v>
      </c>
    </row>
    <row r="416">
      <c r="A416" s="86" t="inlineStr">
        <is>
          <t>Hierarchical Fuzzy Expert System for the accurate Detection of Diabetic Retinopathy with more efficient means</t>
        </is>
      </c>
      <c r="B416" s="86" t="inlineStr">
        <is>
          <t>Kumar, K.</t>
        </is>
      </c>
      <c r="C416" s="86" t="n">
        <v>2022</v>
      </c>
      <c r="D416" s="86" t="inlineStr">
        <is>
          <t>Included</t>
        </is>
      </c>
      <c r="E416" s="5" t="inlineStr">
        <is>
          <t>Outcome not related to interest</t>
        </is>
      </c>
      <c r="F416" s="5" t="inlineStr">
        <is>
          <t>Outcome not related to interest</t>
        </is>
      </c>
      <c r="G416" s="5" t="inlineStr">
        <is>
          <t>Outcome not related to interest</t>
        </is>
      </c>
      <c r="H416" s="5" t="inlineStr">
        <is>
          <t>Outcome not related to interest</t>
        </is>
      </c>
      <c r="I416" s="5" t="inlineStr">
        <is>
          <t>Retrospective study</t>
        </is>
      </c>
      <c r="J416" s="86" t="n">
        <v>365</v>
      </c>
    </row>
    <row r="417">
      <c r="A417" s="86" t="inlineStr">
        <is>
          <t>Binary - CNN Based Classifications Of Effective Diabetic Eye</t>
        </is>
      </c>
      <c r="B417" s="86" t="inlineStr">
        <is>
          <t>Jadhav, D.A.</t>
        </is>
      </c>
      <c r="C417" s="86" t="n">
        <v>2022</v>
      </c>
      <c r="D417" s="86" t="inlineStr">
        <is>
          <t>Included</t>
        </is>
      </c>
      <c r="E417" s="5" t="inlineStr">
        <is>
          <t>Outcome not related to interest</t>
        </is>
      </c>
      <c r="F417" s="5" t="inlineStr">
        <is>
          <t>Outcome not related to interest</t>
        </is>
      </c>
      <c r="G417" s="5" t="inlineStr">
        <is>
          <t>Outcome not related to interest</t>
        </is>
      </c>
      <c r="H417" s="5" t="inlineStr">
        <is>
          <t>Outcome not related to interest</t>
        </is>
      </c>
      <c r="I417" s="5" t="inlineStr">
        <is>
          <t>Retrospective study</t>
        </is>
      </c>
      <c r="J417" s="86" t="n">
        <v>366</v>
      </c>
    </row>
    <row r="418">
      <c r="A418" s="86" t="inlineStr">
        <is>
          <t>A Classification System for Diabetic Retinopathy</t>
        </is>
      </c>
      <c r="B418" s="86" t="inlineStr">
        <is>
          <t>Gupta, P.</t>
        </is>
      </c>
      <c r="C418" s="86" t="n">
        <v>2022</v>
      </c>
      <c r="D418" s="86" t="inlineStr">
        <is>
          <t>Included</t>
        </is>
      </c>
      <c r="E418" s="86" t="inlineStr">
        <is>
          <t>Insufficient to constrct confusion matrix</t>
        </is>
      </c>
      <c r="F418" s="86" t="inlineStr">
        <is>
          <t>Insufficient to constrct confusion matrix</t>
        </is>
      </c>
      <c r="G418" s="86" t="inlineStr">
        <is>
          <t>Insufficient to constrct confusion matrix</t>
        </is>
      </c>
      <c r="H418" s="86" t="inlineStr">
        <is>
          <t>Insufficient to constrct confusion matrix</t>
        </is>
      </c>
      <c r="I418" s="86" t="inlineStr">
        <is>
          <t>Insufficient to constrct confusion matrix</t>
        </is>
      </c>
      <c r="J418" s="86" t="inlineStr">
        <is>
          <t>Insufficient to constrct confusion matrix</t>
        </is>
      </c>
    </row>
    <row r="419">
      <c r="A419" s="86" t="inlineStr">
        <is>
          <t>DIAGNOSIS OF DIABETIC RETINOPATHY USING MACHINE LEARNING TECHNIQUES</t>
        </is>
      </c>
      <c r="B419" s="86" t="inlineStr">
        <is>
          <t>Kumar, K.A.</t>
        </is>
      </c>
      <c r="C419" s="86" t="n">
        <v>2022</v>
      </c>
      <c r="D419" s="86" t="inlineStr">
        <is>
          <t>Included</t>
        </is>
      </c>
      <c r="E419" s="86" t="inlineStr">
        <is>
          <t>Not deep learning</t>
        </is>
      </c>
      <c r="F419" s="86" t="inlineStr">
        <is>
          <t>Not deep learning</t>
        </is>
      </c>
      <c r="G419" s="86" t="inlineStr">
        <is>
          <t>Not deep learning</t>
        </is>
      </c>
      <c r="H419" s="86" t="inlineStr">
        <is>
          <t>Not deep learning</t>
        </is>
      </c>
      <c r="I419" s="86" t="inlineStr">
        <is>
          <t>Not deep learning</t>
        </is>
      </c>
      <c r="J419" s="86" t="inlineStr">
        <is>
          <t>Not deep learning</t>
        </is>
      </c>
    </row>
    <row r="420">
      <c r="A420" s="86" t="inlineStr">
        <is>
          <t>Evaluation of an AI system for the detection of diabetic retinopathy from images captured with a handheld portable fundus camera: the MAILOR AI study.</t>
        </is>
      </c>
      <c r="B420" s="86" t="inlineStr">
        <is>
          <t>Rogers, T W</t>
        </is>
      </c>
      <c r="C420" s="86" t="n">
        <v>2021</v>
      </c>
      <c r="D420" s="86" t="inlineStr">
        <is>
          <t>Included</t>
        </is>
      </c>
      <c r="E420" s="5" t="inlineStr">
        <is>
          <t>Outcome not related to interest</t>
        </is>
      </c>
      <c r="F420" s="5" t="inlineStr">
        <is>
          <t>Outcome not related to interest</t>
        </is>
      </c>
      <c r="G420" s="5" t="inlineStr">
        <is>
          <t>Outcome not related to interest</t>
        </is>
      </c>
      <c r="H420" s="5" t="inlineStr">
        <is>
          <t>Outcome not related to interest</t>
        </is>
      </c>
      <c r="I420" s="5" t="inlineStr">
        <is>
          <t>Retrospective study</t>
        </is>
      </c>
      <c r="J420" s="86" t="n">
        <v>367</v>
      </c>
    </row>
    <row r="421">
      <c r="A421" s="86" t="inlineStr">
        <is>
          <t>Diagnostic accuracy of diabetic retinopathy grading by an artificial intelligence-enabled algorithm compared with a human standard for wide-field true-colour confocal scanning and standard digital retinal images.</t>
        </is>
      </c>
      <c r="B421" s="86" t="inlineStr">
        <is>
          <t>Olvera-Barrios, Abraham</t>
        </is>
      </c>
      <c r="C421" s="86" t="n">
        <v>2021</v>
      </c>
      <c r="D421" s="86" t="inlineStr">
        <is>
          <t>Included</t>
        </is>
      </c>
      <c r="E421" s="86" t="n">
        <v>23</v>
      </c>
      <c r="F421" s="86" t="n">
        <v>61</v>
      </c>
      <c r="G421" s="5" t="inlineStr">
        <is>
          <t>Outcome not related to interest</t>
        </is>
      </c>
      <c r="H421" s="5" t="inlineStr">
        <is>
          <t>Outcome not related to interest</t>
        </is>
      </c>
      <c r="I421" s="86" t="n">
        <v>60</v>
      </c>
      <c r="J421" s="86" t="n">
        <v>368</v>
      </c>
    </row>
    <row r="422">
      <c r="A422" s="86" t="inlineStr">
        <is>
          <t>Comparison of automated and expert human grading of diabetic retinopathy using smartphone-based retinal photography.</t>
        </is>
      </c>
      <c r="B422" s="86" t="inlineStr">
        <is>
          <t>Kim, Tyson N</t>
        </is>
      </c>
      <c r="C422" s="86" t="n">
        <v>2021</v>
      </c>
      <c r="D422" s="86" t="inlineStr">
        <is>
          <t>Included</t>
        </is>
      </c>
      <c r="E422" s="86" t="n">
        <v>24</v>
      </c>
      <c r="F422" s="86" t="n">
        <v>62</v>
      </c>
      <c r="G422" s="5" t="inlineStr">
        <is>
          <t>Outcome not related to interest</t>
        </is>
      </c>
      <c r="H422" s="86" t="n">
        <v>22</v>
      </c>
      <c r="I422" s="86" t="n">
        <v>61</v>
      </c>
      <c r="J422" s="86" t="n">
        <v>369</v>
      </c>
    </row>
    <row r="423">
      <c r="A423" s="86" t="inlineStr">
        <is>
          <t>Application of deep learning image assessment software VeriSee for diabetic retinopathy screening.</t>
        </is>
      </c>
      <c r="B423" s="86" t="inlineStr">
        <is>
          <t>Hsieh, Yi-Ting</t>
        </is>
      </c>
      <c r="C423" s="86" t="n">
        <v>2021</v>
      </c>
      <c r="D423" s="86" t="inlineStr">
        <is>
          <t>Included</t>
        </is>
      </c>
      <c r="E423" s="5" t="inlineStr">
        <is>
          <t>Outcome not related to interest</t>
        </is>
      </c>
      <c r="F423" s="5" t="n">
        <v>63</v>
      </c>
      <c r="G423" s="5" t="inlineStr">
        <is>
          <t>Outcome not related to interest</t>
        </is>
      </c>
      <c r="H423" s="5" t="n">
        <v>23</v>
      </c>
      <c r="I423" s="5" t="inlineStr">
        <is>
          <t>Retrospective study</t>
        </is>
      </c>
      <c r="J423" s="86" t="n">
        <v>370</v>
      </c>
    </row>
    <row r="424">
      <c r="A424" s="86" t="inlineStr">
        <is>
          <t>Validation of Automated Screening for Referable Diabetic Retinopathy With an Autonomous Diagnostic Artificial Intelligence System in a Spanish Population.</t>
        </is>
      </c>
      <c r="B424" s="86" t="inlineStr">
        <is>
          <t>Shah, Abhay</t>
        </is>
      </c>
      <c r="C424" s="86" t="n">
        <v>2021</v>
      </c>
      <c r="D424" s="86" t="inlineStr">
        <is>
          <t>Included</t>
        </is>
      </c>
      <c r="E424" s="86" t="n">
        <v>25</v>
      </c>
      <c r="F424" s="86" t="n">
        <v>64</v>
      </c>
      <c r="G424" s="5" t="inlineStr">
        <is>
          <t>Outcome not related to interest</t>
        </is>
      </c>
      <c r="H424" s="5" t="inlineStr">
        <is>
          <t>Outcome not related to interest</t>
        </is>
      </c>
      <c r="I424" s="86" t="n">
        <v>62</v>
      </c>
      <c r="J424" s="86" t="n">
        <v>371</v>
      </c>
    </row>
    <row r="425">
      <c r="A425" s="86" t="inlineStr">
        <is>
          <t>Prospective evaluation of an artificial intelligence-enabled algorithm for automated diabetic retinopathy screening of 30000 patients.</t>
        </is>
      </c>
      <c r="B425" s="86" t="inlineStr">
        <is>
          <t>Heydon, Peter</t>
        </is>
      </c>
      <c r="C425" s="86" t="n">
        <v>2021</v>
      </c>
      <c r="D425" s="86" t="inlineStr">
        <is>
          <t>Included</t>
        </is>
      </c>
      <c r="E425" s="86" t="n">
        <v>26</v>
      </c>
      <c r="F425" s="86" t="n">
        <v>65</v>
      </c>
      <c r="G425" s="5" t="inlineStr">
        <is>
          <t>Outcome not related to interest</t>
        </is>
      </c>
      <c r="H425" s="5" t="inlineStr">
        <is>
          <t>Outcome not related to interest</t>
        </is>
      </c>
      <c r="I425" s="86" t="n">
        <v>63</v>
      </c>
      <c r="J425" s="86" t="n">
        <v>372</v>
      </c>
    </row>
    <row r="426">
      <c r="A426" s="86" t="inlineStr">
        <is>
          <t>THEIA development, and testing of artificial intelligence-based primary triage of diabetic retinopathy screening images in New Zealand.</t>
        </is>
      </c>
      <c r="B426" s="86" t="inlineStr">
        <is>
          <t>Vaghefi, E</t>
        </is>
      </c>
      <c r="C426" s="86" t="n">
        <v>2021</v>
      </c>
      <c r="D426" s="86" t="inlineStr">
        <is>
          <t>Included</t>
        </is>
      </c>
      <c r="E426" s="5" t="inlineStr">
        <is>
          <t>Outcome not related to interest</t>
        </is>
      </c>
      <c r="F426" s="86" t="n">
        <v>66</v>
      </c>
      <c r="G426" s="5" t="inlineStr">
        <is>
          <t>Outcome not related to interest</t>
        </is>
      </c>
      <c r="H426" s="5" t="inlineStr">
        <is>
          <t>Outcome not related to interest</t>
        </is>
      </c>
      <c r="I426" s="5" t="inlineStr">
        <is>
          <t>Outcome not related to interest</t>
        </is>
      </c>
      <c r="J426" s="86" t="n">
        <v>373</v>
      </c>
    </row>
    <row r="427">
      <c r="A427" s="86" t="inlineStr">
        <is>
          <t>Use in clinical practice of an automated screening method of diabetic retinopathy that can be derived using a diagnostic artificial intelligence system.</t>
        </is>
      </c>
      <c r="B427" s="86" t="inlineStr">
        <is>
          <t>Peris-Mart穩nez, Cristina</t>
        </is>
      </c>
      <c r="C427" s="86" t="n">
        <v>2021</v>
      </c>
      <c r="D427" s="86" t="inlineStr">
        <is>
          <t>Included</t>
        </is>
      </c>
      <c r="E427" s="5" t="inlineStr">
        <is>
          <t>Outcome not related to interest</t>
        </is>
      </c>
      <c r="F427" s="5" t="inlineStr">
        <is>
          <t>Outcome not related to interest</t>
        </is>
      </c>
      <c r="G427" s="5" t="inlineStr">
        <is>
          <t>Outcome not related to interest</t>
        </is>
      </c>
      <c r="H427" s="5" t="inlineStr">
        <is>
          <t>Outcome not related to interest</t>
        </is>
      </c>
      <c r="I427" s="5" t="inlineStr">
        <is>
          <t>Retrospective study</t>
        </is>
      </c>
      <c r="J427" s="86" t="n">
        <v>374</v>
      </c>
    </row>
    <row r="428">
      <c r="A428" s="86" t="inlineStr">
        <is>
          <t>Screening for Diabetic Retinopathy Using an Automated Diagnostic System Based on Deep Learning: Diagnostic Accuracy Assessment.</t>
        </is>
      </c>
      <c r="B428" s="86" t="inlineStr">
        <is>
          <t>R礙go, S穩lvia</t>
        </is>
      </c>
      <c r="C428" s="86" t="n">
        <v>2021</v>
      </c>
      <c r="D428" s="86" t="inlineStr">
        <is>
          <t>Included</t>
        </is>
      </c>
      <c r="E428" s="5" t="inlineStr">
        <is>
          <t>Outcome not related to interest</t>
        </is>
      </c>
      <c r="F428" s="5" t="inlineStr">
        <is>
          <t>Outcome not related to interest</t>
        </is>
      </c>
      <c r="G428" s="5" t="inlineStr">
        <is>
          <t>Outcome not related to interest</t>
        </is>
      </c>
      <c r="H428" s="5" t="inlineStr">
        <is>
          <t>Outcome not related to interest</t>
        </is>
      </c>
      <c r="I428" s="5" t="inlineStr">
        <is>
          <t>Retrospective study</t>
        </is>
      </c>
      <c r="J428" s="86" t="n">
        <v>375</v>
      </c>
    </row>
    <row r="429">
      <c r="A429" s="86" t="inlineStr">
        <is>
          <t>Detection of Diabetic Retinopathy from Ultra-Widefield Scanning Laser Ophthalmoscope Images: A Multicenter Deep Learning Analysis.</t>
        </is>
      </c>
      <c r="B429" s="86" t="inlineStr">
        <is>
          <t>Tang, Fangyao</t>
        </is>
      </c>
      <c r="C429" s="86" t="n">
        <v>2021</v>
      </c>
      <c r="D429" s="86" t="inlineStr">
        <is>
          <t>Included</t>
        </is>
      </c>
      <c r="E429" s="5" t="inlineStr">
        <is>
          <t>Outcome not related to interest</t>
        </is>
      </c>
      <c r="F429" s="5" t="inlineStr">
        <is>
          <t>Outcome not related to interest</t>
        </is>
      </c>
      <c r="G429" s="5" t="inlineStr">
        <is>
          <t>Outcome not related to interest</t>
        </is>
      </c>
      <c r="H429" s="5" t="inlineStr">
        <is>
          <t>Outcome not related to interest</t>
        </is>
      </c>
      <c r="I429" s="5" t="inlineStr">
        <is>
          <t>Retrospective study</t>
        </is>
      </c>
      <c r="J429" s="86" t="n">
        <v>376</v>
      </c>
    </row>
    <row r="430">
      <c r="A430" s="86" t="inlineStr">
        <is>
          <t>Early detection of diabetic retinopathy based on deep learning and ultra-wide-field fundus images.</t>
        </is>
      </c>
      <c r="B430" s="86" t="inlineStr">
        <is>
          <t>Oh, Kangrok</t>
        </is>
      </c>
      <c r="C430" s="86" t="n">
        <v>2021</v>
      </c>
      <c r="D430" s="86" t="inlineStr">
        <is>
          <t>Included</t>
        </is>
      </c>
      <c r="E430" s="5" t="inlineStr">
        <is>
          <t>Outcome not related to interest</t>
        </is>
      </c>
      <c r="F430" s="5" t="inlineStr">
        <is>
          <t>Outcome not related to interest</t>
        </is>
      </c>
      <c r="G430" s="5" t="inlineStr">
        <is>
          <t>Outcome not related to interest</t>
        </is>
      </c>
      <c r="H430" s="5" t="inlineStr">
        <is>
          <t>Outcome not related to interest</t>
        </is>
      </c>
      <c r="I430" s="5" t="inlineStr">
        <is>
          <t>Retrospective study</t>
        </is>
      </c>
      <c r="J430" s="86" t="n">
        <v>377</v>
      </c>
    </row>
    <row r="431">
      <c r="A431" s="86" t="inlineStr">
        <is>
          <t>The SEE Study: Safety, Efficacy, and Equity of Implementing Autonomous Artificial Intelligence for Diagnosing Diabetic Retinopathy in Youth.</t>
        </is>
      </c>
      <c r="B431" s="86" t="inlineStr">
        <is>
          <t>Wolf, Risa M</t>
        </is>
      </c>
      <c r="C431" s="86" t="n">
        <v>2021</v>
      </c>
      <c r="D431" s="86" t="inlineStr">
        <is>
          <t>Included</t>
        </is>
      </c>
      <c r="E431" s="86" t="inlineStr">
        <is>
          <t>Not adult</t>
        </is>
      </c>
      <c r="F431" s="86" t="inlineStr">
        <is>
          <t>Not adult</t>
        </is>
      </c>
      <c r="G431" s="86" t="inlineStr">
        <is>
          <t>Not adult</t>
        </is>
      </c>
      <c r="H431" s="86" t="inlineStr">
        <is>
          <t>Not adult</t>
        </is>
      </c>
      <c r="I431" s="86" t="inlineStr">
        <is>
          <t>Not adult</t>
        </is>
      </c>
      <c r="J431" s="86" t="inlineStr">
        <is>
          <t>Not adult</t>
        </is>
      </c>
    </row>
    <row r="432">
      <c r="A432" s="86" t="inlineStr">
        <is>
          <t>Multicenter, Head-to-Head, Real-World Validation Study of Seven Automated Artificial Intelligence Diabetic Retinopathy Screening Systems.</t>
        </is>
      </c>
      <c r="B432" s="86" t="inlineStr">
        <is>
          <t>Lee, Aaron Y</t>
        </is>
      </c>
      <c r="C432" s="86" t="n">
        <v>2021</v>
      </c>
      <c r="D432" s="86" t="inlineStr">
        <is>
          <t>Included</t>
        </is>
      </c>
      <c r="E432" s="86" t="inlineStr">
        <is>
          <t>Provider name masked</t>
        </is>
      </c>
      <c r="F432" s="86" t="inlineStr">
        <is>
          <t>Provider name masked</t>
        </is>
      </c>
      <c r="G432" s="86" t="inlineStr">
        <is>
          <t>Provider name masked</t>
        </is>
      </c>
      <c r="H432" s="86" t="n">
        <v>24</v>
      </c>
      <c r="I432" s="5" t="inlineStr">
        <is>
          <t>Retrospective study</t>
        </is>
      </c>
      <c r="J432" s="86" t="n">
        <v>378</v>
      </c>
    </row>
    <row r="433">
      <c r="A433" s="86" t="inlineStr">
        <is>
          <t>Evaluation of a novel artificial intelligence-based screening system for diabetic retinopathy in community of China: a real-world study.</t>
        </is>
      </c>
      <c r="B433" s="86" t="inlineStr">
        <is>
          <t>Ming, Shuai</t>
        </is>
      </c>
      <c r="C433" s="86" t="n">
        <v>2021</v>
      </c>
      <c r="D433" s="86" t="inlineStr">
        <is>
          <t>Included</t>
        </is>
      </c>
      <c r="E433" s="5" t="inlineStr">
        <is>
          <t>Outcome not related to interest</t>
        </is>
      </c>
      <c r="F433" s="86" t="n">
        <v>67</v>
      </c>
      <c r="G433" s="5" t="inlineStr">
        <is>
          <t>Outcome not related to interest</t>
        </is>
      </c>
      <c r="H433" s="5" t="inlineStr">
        <is>
          <t>Outcome not related to interest</t>
        </is>
      </c>
      <c r="I433" s="86" t="n">
        <v>64</v>
      </c>
      <c r="J433" s="86" t="n">
        <v>379</v>
      </c>
    </row>
    <row r="434">
      <c r="A434" s="86" t="inlineStr">
        <is>
          <t>Automated diabetic retinopathy screening for primary care settings using deep learning.</t>
        </is>
      </c>
      <c r="B434" s="86" t="inlineStr">
        <is>
          <t>Bhuiyan, Alauddin</t>
        </is>
      </c>
      <c r="C434" s="86" t="n">
        <v>2021</v>
      </c>
      <c r="D434" s="86" t="inlineStr">
        <is>
          <t>Included</t>
        </is>
      </c>
      <c r="E434" s="5" t="inlineStr">
        <is>
          <t>Outcome not related to interest</t>
        </is>
      </c>
      <c r="F434" s="5" t="inlineStr">
        <is>
          <t>Outcome not related to interest</t>
        </is>
      </c>
      <c r="G434" s="5" t="inlineStr">
        <is>
          <t>Outcome not related to interest</t>
        </is>
      </c>
      <c r="H434" s="5" t="inlineStr">
        <is>
          <t>Outcome not related to interest</t>
        </is>
      </c>
      <c r="I434" s="5" t="inlineStr">
        <is>
          <t>Retrospective study</t>
        </is>
      </c>
      <c r="J434" s="86" t="n">
        <v>380</v>
      </c>
    </row>
    <row r="435">
      <c r="A435" s="86" t="inlineStr">
        <is>
          <t>DeepUWF: An Automated Ultra-Wide-Field Fundus Screening System via Deep Learning.</t>
        </is>
      </c>
      <c r="B435" s="86" t="inlineStr">
        <is>
          <t>Zhang, Wei</t>
        </is>
      </c>
      <c r="C435" s="86" t="n">
        <v>2021</v>
      </c>
      <c r="D435" s="86" t="inlineStr">
        <is>
          <t>Included</t>
        </is>
      </c>
      <c r="E435" s="5" t="inlineStr">
        <is>
          <t>Outcome not related to interest</t>
        </is>
      </c>
      <c r="F435" s="5" t="inlineStr">
        <is>
          <t>Outcome not related to interest</t>
        </is>
      </c>
      <c r="G435" s="5" t="inlineStr">
        <is>
          <t>Outcome not related to interest</t>
        </is>
      </c>
      <c r="H435" s="5" t="inlineStr">
        <is>
          <t>Outcome not related to interest</t>
        </is>
      </c>
      <c r="I435" s="5" t="inlineStr">
        <is>
          <t>Retrospective study</t>
        </is>
      </c>
      <c r="J435" s="86" t="n">
        <v>381</v>
      </c>
    </row>
    <row r="436">
      <c r="A436" s="86" t="inlineStr">
        <is>
          <t>Understanding inherent image features in CNN-based assessment of diabetic retinopathy.</t>
        </is>
      </c>
      <c r="B436" s="86" t="inlineStr">
        <is>
          <t>Reguant, Roc</t>
        </is>
      </c>
      <c r="C436" s="86" t="n">
        <v>2021</v>
      </c>
      <c r="D436" s="86" t="inlineStr">
        <is>
          <t>Included</t>
        </is>
      </c>
      <c r="E436" s="5" t="inlineStr">
        <is>
          <t>Outcome not related to interest</t>
        </is>
      </c>
      <c r="F436" s="5" t="inlineStr">
        <is>
          <t>Outcome not related to interest</t>
        </is>
      </c>
      <c r="G436" s="5" t="inlineStr">
        <is>
          <t>Outcome not related to interest</t>
        </is>
      </c>
      <c r="H436" s="5" t="inlineStr">
        <is>
          <t>Outcome not related to interest</t>
        </is>
      </c>
      <c r="I436" s="5" t="inlineStr">
        <is>
          <t>Retrospective study</t>
        </is>
      </c>
      <c r="J436" s="86" t="n">
        <v>382</v>
      </c>
    </row>
    <row r="437">
      <c r="A437" s="86" t="inlineStr">
        <is>
          <t>Deep learning for gradability classification of handheld, non-mydriatic retinal images.</t>
        </is>
      </c>
      <c r="B437" s="86" t="inlineStr">
        <is>
          <t>Nderitu, Paul</t>
        </is>
      </c>
      <c r="C437" s="86" t="n">
        <v>2021</v>
      </c>
      <c r="D437" s="86" t="inlineStr">
        <is>
          <t>Included</t>
        </is>
      </c>
      <c r="E437" s="5" t="inlineStr">
        <is>
          <t>Outcome not related to interest</t>
        </is>
      </c>
      <c r="F437" s="5" t="inlineStr">
        <is>
          <t>Outcome not related to interest</t>
        </is>
      </c>
      <c r="G437" s="5" t="inlineStr">
        <is>
          <t>Outcome not related to interest</t>
        </is>
      </c>
      <c r="H437" s="86" t="n">
        <v>25</v>
      </c>
      <c r="I437" s="5" t="inlineStr">
        <is>
          <t>Retrospective study</t>
        </is>
      </c>
      <c r="J437" s="86" t="n">
        <v>383</v>
      </c>
    </row>
    <row r="438">
      <c r="A438" s="86" t="inlineStr">
        <is>
          <t>Development of a Fundus Image-Based Deep Learning Diagnostic Tool for Various Retinal Diseases.</t>
        </is>
      </c>
      <c r="B438" s="86" t="inlineStr">
        <is>
          <t>Kim, Kyoung Min</t>
        </is>
      </c>
      <c r="C438" s="86" t="n">
        <v>2021</v>
      </c>
      <c r="D438" s="86" t="inlineStr">
        <is>
          <t>Included</t>
        </is>
      </c>
      <c r="E438" s="5" t="inlineStr">
        <is>
          <t>Outcome not related to interest</t>
        </is>
      </c>
      <c r="F438" s="5" t="inlineStr">
        <is>
          <t>Outcome not related to interest</t>
        </is>
      </c>
      <c r="G438" s="5" t="inlineStr">
        <is>
          <t>Outcome not related to interest</t>
        </is>
      </c>
      <c r="H438" s="5" t="inlineStr">
        <is>
          <t>Outcome not related to interest</t>
        </is>
      </c>
      <c r="I438" s="5" t="inlineStr">
        <is>
          <t>Retrospective study</t>
        </is>
      </c>
      <c r="J438" s="86" t="n">
        <v>384</v>
      </c>
    </row>
    <row r="439">
      <c r="A439" s="86" t="inlineStr">
        <is>
          <t>Accuracy of Diabetic Retinopathy Staging with a Deep Convolutional Neural Network Using Ultra-Wide-Field Fundus Ophthalmoscopy and Optical Coherence Tomography Angiography.</t>
        </is>
      </c>
      <c r="B439" s="86" t="inlineStr">
        <is>
          <t>Nagasawa, Toshihiko</t>
        </is>
      </c>
      <c r="C439" s="86" t="n">
        <v>2021</v>
      </c>
      <c r="D439" s="86" t="inlineStr">
        <is>
          <t>Included</t>
        </is>
      </c>
      <c r="E439" s="5" t="inlineStr">
        <is>
          <t>Outcome not related to interest</t>
        </is>
      </c>
      <c r="F439" s="5" t="inlineStr">
        <is>
          <t>Outcome not related to interest</t>
        </is>
      </c>
      <c r="G439" s="5" t="inlineStr">
        <is>
          <t>Outcome not related to interest</t>
        </is>
      </c>
      <c r="H439" s="5" t="inlineStr">
        <is>
          <t>Outcome not related to interest</t>
        </is>
      </c>
      <c r="I439" s="5" t="inlineStr">
        <is>
          <t>Retrospective study</t>
        </is>
      </c>
      <c r="J439" s="86" t="n">
        <v>385</v>
      </c>
    </row>
    <row r="440">
      <c r="A440" s="86" t="inlineStr">
        <is>
          <t>Facilitating diabetic retinopathy screening using automated retinal image analysis in underresourced settings.</t>
        </is>
      </c>
      <c r="B440" s="86" t="inlineStr">
        <is>
          <t>Quinn, Nicola</t>
        </is>
      </c>
      <c r="C440" s="86" t="n">
        <v>2021</v>
      </c>
      <c r="D440" s="86" t="inlineStr">
        <is>
          <t>Included</t>
        </is>
      </c>
      <c r="E440" s="86" t="inlineStr">
        <is>
          <t>Not deep learning</t>
        </is>
      </c>
      <c r="F440" s="86" t="inlineStr">
        <is>
          <t>Not deep learning</t>
        </is>
      </c>
      <c r="G440" s="86" t="inlineStr">
        <is>
          <t>Not deep learning</t>
        </is>
      </c>
      <c r="H440" s="86" t="inlineStr">
        <is>
          <t>Not deep learning</t>
        </is>
      </c>
      <c r="I440" s="86" t="inlineStr">
        <is>
          <t>Not deep learning</t>
        </is>
      </c>
      <c r="J440" s="86" t="inlineStr">
        <is>
          <t>Not deep learning</t>
        </is>
      </c>
    </row>
    <row r="441">
      <c r="A441" s="86" t="inlineStr">
        <is>
          <t>The Clinical Influence after Implementation of Convolutional Neural Network-Based Software for Diabetic Retinopathy Detection in the Primary Care Setting.</t>
        </is>
      </c>
      <c r="B441" s="86" t="inlineStr">
        <is>
          <t>Li, Yu-Hsuan</t>
        </is>
      </c>
      <c r="C441" s="86" t="n">
        <v>2021</v>
      </c>
      <c r="D441" s="86" t="inlineStr">
        <is>
          <t>Included</t>
        </is>
      </c>
      <c r="E441" s="5" t="inlineStr">
        <is>
          <t>Outcome not related to interest</t>
        </is>
      </c>
      <c r="F441" s="86" t="n">
        <v>68</v>
      </c>
      <c r="G441" s="5" t="inlineStr">
        <is>
          <t>Outcome not related to interest</t>
        </is>
      </c>
      <c r="H441" s="5" t="n">
        <v>26</v>
      </c>
      <c r="I441" s="86" t="n">
        <v>65</v>
      </c>
      <c r="J441" s="86" t="n">
        <v>386</v>
      </c>
    </row>
    <row r="442">
      <c r="A442" s="86" t="inlineStr">
        <is>
          <t>Predicting the risk of developing diabetic retinopathy using deep learning.</t>
        </is>
      </c>
      <c r="B442" s="86" t="inlineStr">
        <is>
          <t>Bora, Ashish</t>
        </is>
      </c>
      <c r="C442" s="86" t="n">
        <v>2021</v>
      </c>
      <c r="D442" s="86" t="inlineStr">
        <is>
          <t>Included</t>
        </is>
      </c>
      <c r="E442" s="5" t="inlineStr">
        <is>
          <t>Outcome not related to interest</t>
        </is>
      </c>
      <c r="F442" s="5" t="inlineStr">
        <is>
          <t>Outcome not related to interest</t>
        </is>
      </c>
      <c r="G442" s="5" t="inlineStr">
        <is>
          <t>Ou+G436tcome not related to interest</t>
        </is>
      </c>
      <c r="H442" s="5" t="inlineStr">
        <is>
          <t>Outcome not related to interest</t>
        </is>
      </c>
      <c r="I442" s="5" t="inlineStr">
        <is>
          <t>Outcome not related to interest</t>
        </is>
      </c>
      <c r="J442" s="86" t="n">
        <v>387</v>
      </c>
    </row>
    <row r="443">
      <c r="A443" s="86" t="inlineStr">
        <is>
          <t>Deep learning-based detection and stage grading for optimising diagnosis of diabetic retinopathy.</t>
        </is>
      </c>
      <c r="B443" s="86" t="inlineStr">
        <is>
          <t>Wang, Yuelin</t>
        </is>
      </c>
      <c r="C443" s="86" t="n">
        <v>2021</v>
      </c>
      <c r="D443" s="86" t="inlineStr">
        <is>
          <t>Included</t>
        </is>
      </c>
      <c r="E443" s="5" t="inlineStr">
        <is>
          <t>Outcome not related to interest</t>
        </is>
      </c>
      <c r="F443" s="5" t="inlineStr">
        <is>
          <t>Outcome not related to interest</t>
        </is>
      </c>
      <c r="G443" s="5" t="inlineStr">
        <is>
          <t>Outcome not related to interest</t>
        </is>
      </c>
      <c r="H443" s="5" t="inlineStr">
        <is>
          <t>Outcome not related to interest</t>
        </is>
      </c>
      <c r="I443" s="5" t="inlineStr">
        <is>
          <t>Retrospective study</t>
        </is>
      </c>
      <c r="J443" s="86" t="n">
        <v>388</v>
      </c>
    </row>
    <row r="444">
      <c r="A444" s="86" t="inlineStr">
        <is>
          <t>Analyzing fundus images to detect diabetic retinopathy (DR) using deep learning system in the Yangtze River delta region of China.</t>
        </is>
      </c>
      <c r="B444" s="86" t="inlineStr">
        <is>
          <t>Lu, Li</t>
        </is>
      </c>
      <c r="C444" s="86" t="n">
        <v>2021</v>
      </c>
      <c r="D444" s="86" t="inlineStr">
        <is>
          <t>Included</t>
        </is>
      </c>
      <c r="E444" s="5" t="inlineStr">
        <is>
          <t>Outcome not related to interest</t>
        </is>
      </c>
      <c r="F444" s="5" t="inlineStr">
        <is>
          <t>Outcome not related to interest</t>
        </is>
      </c>
      <c r="G444" s="5" t="inlineStr">
        <is>
          <t>Outcome not related to interest</t>
        </is>
      </c>
      <c r="H444" s="5" t="inlineStr">
        <is>
          <t>Outcome not related to interest</t>
        </is>
      </c>
      <c r="I444" s="5" t="inlineStr">
        <is>
          <t>Retrospective study</t>
        </is>
      </c>
      <c r="J444" s="86" t="n">
        <v>389</v>
      </c>
    </row>
    <row r="445">
      <c r="A445" s="86" t="inlineStr">
        <is>
          <t>Diabetic Retinal Grading Using Attention-Based Bilinear Convolutional Neural Network and Complement Cross Entropy.</t>
        </is>
      </c>
      <c r="B445" s="86" t="inlineStr">
        <is>
          <t>Liu, Pingping</t>
        </is>
      </c>
      <c r="C445" s="86" t="n">
        <v>2021</v>
      </c>
      <c r="D445" s="86" t="inlineStr">
        <is>
          <t>Included</t>
        </is>
      </c>
      <c r="E445" s="5" t="inlineStr">
        <is>
          <t>Outcome not related to interest</t>
        </is>
      </c>
      <c r="F445" s="5" t="inlineStr">
        <is>
          <t>Outcome not related to interest</t>
        </is>
      </c>
      <c r="G445" s="5" t="inlineStr">
        <is>
          <t>Outcome not related to interest</t>
        </is>
      </c>
      <c r="H445" s="5" t="inlineStr">
        <is>
          <t>Outcome not related to interest</t>
        </is>
      </c>
      <c r="I445" s="5" t="inlineStr">
        <is>
          <t>Retrospective study</t>
        </is>
      </c>
      <c r="J445" s="86" t="n">
        <v>390</v>
      </c>
    </row>
    <row r="446">
      <c r="A446" s="86" t="inlineStr">
        <is>
          <t>An Effective Method for Detecting and Classifying Diabetic Retinopathy Lesions Based on Deep Learning.</t>
        </is>
      </c>
      <c r="B446" s="86" t="inlineStr">
        <is>
          <t>Erciyas, Abd羹ssamed</t>
        </is>
      </c>
      <c r="C446" s="86" t="n">
        <v>2021</v>
      </c>
      <c r="D446" s="86" t="inlineStr">
        <is>
          <t>Included</t>
        </is>
      </c>
      <c r="E446" s="5" t="inlineStr">
        <is>
          <t>Outcome not related to interest</t>
        </is>
      </c>
      <c r="F446" s="5" t="inlineStr">
        <is>
          <t>Outcome not related to interest</t>
        </is>
      </c>
      <c r="G446" s="5" t="inlineStr">
        <is>
          <t>Outcome not related to interest</t>
        </is>
      </c>
      <c r="H446" s="5" t="inlineStr">
        <is>
          <t>Outcome not related to interest</t>
        </is>
      </c>
      <c r="I446" s="5" t="inlineStr">
        <is>
          <t>Retrospective study</t>
        </is>
      </c>
      <c r="J446" s="86" t="n">
        <v>391</v>
      </c>
    </row>
    <row r="447">
      <c r="A447" s="86" t="inlineStr">
        <is>
          <t>Diabetic Retinopathy Fundus Image Classification and Lesions Localization System Using Deep Learning.</t>
        </is>
      </c>
      <c r="B447" s="86" t="inlineStr">
        <is>
          <t>Alyoubi, Wejdan L</t>
        </is>
      </c>
      <c r="C447" s="86" t="n">
        <v>2021</v>
      </c>
      <c r="D447" s="86" t="inlineStr">
        <is>
          <t>Included</t>
        </is>
      </c>
      <c r="E447" s="5" t="inlineStr">
        <is>
          <t>Outcome not related to interest</t>
        </is>
      </c>
      <c r="F447" s="5" t="inlineStr">
        <is>
          <t>Outcome not related to interest</t>
        </is>
      </c>
      <c r="G447" s="5" t="inlineStr">
        <is>
          <t>Outcome not related to interest</t>
        </is>
      </c>
      <c r="H447" s="5" t="inlineStr">
        <is>
          <t>Outcome not related to interest</t>
        </is>
      </c>
      <c r="I447" s="5" t="inlineStr">
        <is>
          <t>Retrospective study</t>
        </is>
      </c>
      <c r="J447" s="86" t="n">
        <v>392</v>
      </c>
    </row>
    <row r="448">
      <c r="A448" s="86" t="inlineStr">
        <is>
          <t>Analysis and Comparison of Two Artificial Intelligence Diabetic Retinopathy Screening Algorithms in a Pilot Study: IDx-DR and Retinalyze.</t>
        </is>
      </c>
      <c r="B448" s="86" t="inlineStr">
        <is>
          <t>Grzybowski, Andrzej</t>
        </is>
      </c>
      <c r="C448" s="86" t="n">
        <v>2021</v>
      </c>
      <c r="D448" s="86" t="inlineStr">
        <is>
          <t>Included</t>
        </is>
      </c>
      <c r="E448" s="86" t="n">
        <v>27</v>
      </c>
      <c r="F448" s="86" t="n">
        <v>68</v>
      </c>
      <c r="G448" s="86" t="n">
        <v>6</v>
      </c>
      <c r="H448" s="5" t="inlineStr">
        <is>
          <t>Outcome not related to interest</t>
        </is>
      </c>
      <c r="I448" s="5" t="inlineStr">
        <is>
          <t>Retrospective study</t>
        </is>
      </c>
      <c r="J448" s="86" t="n">
        <v>393</v>
      </c>
    </row>
    <row r="449">
      <c r="A449" s="86" t="inlineStr">
        <is>
          <t>A deep learning system for detecting diabetic retinopathy across the disease spectrum.</t>
        </is>
      </c>
      <c r="B449" s="86" t="inlineStr">
        <is>
          <t>Dai, Ling</t>
        </is>
      </c>
      <c r="C449" s="86" t="n">
        <v>2021</v>
      </c>
      <c r="D449" s="86" t="inlineStr">
        <is>
          <t>Included</t>
        </is>
      </c>
      <c r="E449" s="5" t="inlineStr">
        <is>
          <t>Outcome not related to interest</t>
        </is>
      </c>
      <c r="F449" s="5" t="inlineStr">
        <is>
          <t>Outcome not related to interest</t>
        </is>
      </c>
      <c r="G449" s="5" t="inlineStr">
        <is>
          <t>Outcome not related to interest</t>
        </is>
      </c>
      <c r="H449" s="5" t="inlineStr">
        <is>
          <t>Outcome not related to interest</t>
        </is>
      </c>
      <c r="I449" s="86" t="n">
        <v>66</v>
      </c>
      <c r="J449" s="86" t="n">
        <v>394</v>
      </c>
    </row>
    <row r="450">
      <c r="A450" s="86" t="inlineStr">
        <is>
          <t>Comparison of Ultra-Widefield Imaging and Standard Imaging in Assessment of Early Treatment Diabetic Retinopathy Severity Scale.</t>
        </is>
      </c>
      <c r="B450" s="86" t="inlineStr">
        <is>
          <t>Domalpally, Amitha</t>
        </is>
      </c>
      <c r="C450" s="86" t="n">
        <v>2021</v>
      </c>
      <c r="D450" s="86" t="inlineStr">
        <is>
          <t>Included</t>
        </is>
      </c>
      <c r="E450" s="5" t="inlineStr">
        <is>
          <t>Outcome not related to interest</t>
        </is>
      </c>
      <c r="F450" s="5" t="inlineStr">
        <is>
          <t>Outcome not related to interest</t>
        </is>
      </c>
      <c r="G450" s="5" t="inlineStr">
        <is>
          <t>Outcome not related to interest</t>
        </is>
      </c>
      <c r="H450" s="5" t="inlineStr">
        <is>
          <t>Outcome not related to interest</t>
        </is>
      </c>
      <c r="I450" s="5" t="inlineStr">
        <is>
          <t>Outcome not related to interest</t>
        </is>
      </c>
      <c r="J450" s="5" t="inlineStr">
        <is>
          <t>Outcome not related to interest</t>
        </is>
      </c>
    </row>
    <row r="451">
      <c r="A451" s="86" t="inlineStr">
        <is>
          <t>Diabetic retinopathy classification based on multipath CNN and machine learning classifiers.</t>
        </is>
      </c>
      <c r="B451" s="86" t="inlineStr">
        <is>
          <t>Gayathri, S</t>
        </is>
      </c>
      <c r="C451" s="86" t="n">
        <v>2021</v>
      </c>
      <c r="D451" s="86" t="inlineStr">
        <is>
          <t>Included</t>
        </is>
      </c>
      <c r="E451" s="5" t="inlineStr">
        <is>
          <t>Outcome not related to interest</t>
        </is>
      </c>
      <c r="F451" s="5" t="inlineStr">
        <is>
          <t>Outcome not related to interest</t>
        </is>
      </c>
      <c r="G451" s="5" t="inlineStr">
        <is>
          <t>Outcome not related to interest</t>
        </is>
      </c>
      <c r="H451" s="5" t="inlineStr">
        <is>
          <t>Outcome not related to interest</t>
        </is>
      </c>
      <c r="I451" s="5" t="inlineStr">
        <is>
          <t>Retrospective study</t>
        </is>
      </c>
      <c r="J451" s="86" t="n">
        <v>395</v>
      </c>
    </row>
    <row r="452">
      <c r="A452" s="86" t="inlineStr">
        <is>
          <t>Diabetic retinopathy detection through convolutional neural networks with synaptic metaplasticity.</t>
        </is>
      </c>
      <c r="B452" s="86" t="inlineStr">
        <is>
          <t>Vives-Boix, V穩ctor</t>
        </is>
      </c>
      <c r="C452" s="86" t="n">
        <v>2021</v>
      </c>
      <c r="D452" s="86" t="inlineStr">
        <is>
          <t>Included</t>
        </is>
      </c>
      <c r="E452" s="5" t="inlineStr">
        <is>
          <t>Outcome not related to interest</t>
        </is>
      </c>
      <c r="F452" s="5" t="inlineStr">
        <is>
          <t>Outcome not related to interest</t>
        </is>
      </c>
      <c r="G452" s="5" t="inlineStr">
        <is>
          <t>Outcome not related to interest</t>
        </is>
      </c>
      <c r="H452" s="5" t="inlineStr">
        <is>
          <t>Outcome not related to interest</t>
        </is>
      </c>
      <c r="I452" s="5" t="inlineStr">
        <is>
          <t>Retrospective study</t>
        </is>
      </c>
      <c r="J452" s="86" t="n">
        <v>396</v>
      </c>
    </row>
    <row r="453">
      <c r="A453" s="86" t="inlineStr">
        <is>
          <t>Addressing Artificial Intelligence Bias in Retinal Diagnostics.</t>
        </is>
      </c>
      <c r="B453" s="86" t="inlineStr">
        <is>
          <t>Burlina, Philippe</t>
        </is>
      </c>
      <c r="C453" s="86" t="n">
        <v>2021</v>
      </c>
      <c r="D453" s="86" t="inlineStr">
        <is>
          <t>Included</t>
        </is>
      </c>
      <c r="E453" s="5" t="inlineStr">
        <is>
          <t>Outcome not related to interest</t>
        </is>
      </c>
      <c r="F453" s="5" t="inlineStr">
        <is>
          <t>Outcome not related to interest</t>
        </is>
      </c>
      <c r="G453" s="5" t="inlineStr">
        <is>
          <t>Outcome not related to interest</t>
        </is>
      </c>
      <c r="H453" s="5" t="inlineStr">
        <is>
          <t>Outcome not related to interest</t>
        </is>
      </c>
      <c r="I453" s="5" t="inlineStr">
        <is>
          <t>Retrospective study</t>
        </is>
      </c>
      <c r="J453" s="86" t="n">
        <v>397</v>
      </c>
    </row>
    <row r="454">
      <c r="A454" s="86" t="inlineStr">
        <is>
          <t>Simple methods for the lesion detection and severity grading of diabetic retinopathy by image processing and transfer learning.</t>
        </is>
      </c>
      <c r="B454" s="86" t="inlineStr">
        <is>
          <t>Sugeno, Ayaka</t>
        </is>
      </c>
      <c r="C454" s="86" t="n">
        <v>2021</v>
      </c>
      <c r="D454" s="86" t="inlineStr">
        <is>
          <t>Included</t>
        </is>
      </c>
      <c r="E454" s="5" t="inlineStr">
        <is>
          <t>Outcome not related to interest</t>
        </is>
      </c>
      <c r="F454" s="5" t="inlineStr">
        <is>
          <t>Outcome not related to interest</t>
        </is>
      </c>
      <c r="G454" s="5" t="inlineStr">
        <is>
          <t>Outcome not related to interest</t>
        </is>
      </c>
      <c r="H454" s="5" t="inlineStr">
        <is>
          <t>Outcome not related to interest</t>
        </is>
      </c>
      <c r="I454" s="5" t="inlineStr">
        <is>
          <t>Retrospective study</t>
        </is>
      </c>
      <c r="J454" s="86" t="n">
        <v>398</v>
      </c>
    </row>
    <row r="455">
      <c r="A455" s="86" t="inlineStr">
        <is>
          <t>[Accuracy of artificial intelligence compared to trained medical technologists in diabetic retinopathy screening].</t>
        </is>
      </c>
      <c r="B455" s="86" t="inlineStr">
        <is>
          <t>Ib獺簽ez-Bruron, Mar穩a C</t>
        </is>
      </c>
      <c r="C455" s="86" t="n">
        <v>2021</v>
      </c>
      <c r="D455" s="86" t="inlineStr">
        <is>
          <t>Included</t>
        </is>
      </c>
      <c r="E455" s="86" t="inlineStr">
        <is>
          <t>Not deep learning</t>
        </is>
      </c>
      <c r="F455" s="86" t="inlineStr">
        <is>
          <t>Not deep learning</t>
        </is>
      </c>
      <c r="G455" s="86" t="inlineStr">
        <is>
          <t>Not deep learning</t>
        </is>
      </c>
      <c r="H455" s="86" t="inlineStr">
        <is>
          <t>Not deep learning</t>
        </is>
      </c>
      <c r="I455" s="86" t="inlineStr">
        <is>
          <t>Not deep learning</t>
        </is>
      </c>
      <c r="J455" s="86" t="inlineStr">
        <is>
          <t>Not deep learning</t>
        </is>
      </c>
    </row>
    <row r="456">
      <c r="A456" s="86" t="inlineStr">
        <is>
          <t>Testing a Deep Learning Algorithm for Detection of Diabetic Retinopathy in a Spanish Diabetic Population and with MESSIDOR Database.</t>
        </is>
      </c>
      <c r="B456" s="86" t="inlineStr">
        <is>
          <t>Baget-Bernaldiz, Marc</t>
        </is>
      </c>
      <c r="C456" s="86" t="n">
        <v>2021</v>
      </c>
      <c r="D456" s="86" t="inlineStr">
        <is>
          <t>Included</t>
        </is>
      </c>
      <c r="E456" s="5" t="inlineStr">
        <is>
          <t>Outcome not related to interest</t>
        </is>
      </c>
      <c r="F456" s="5" t="inlineStr">
        <is>
          <t>Outcome not related to interest</t>
        </is>
      </c>
      <c r="G456" s="5" t="inlineStr">
        <is>
          <t>Outcome not related to interest</t>
        </is>
      </c>
      <c r="H456" s="5" t="inlineStr">
        <is>
          <t>Outcome not related to interest</t>
        </is>
      </c>
      <c r="I456" s="5" t="inlineStr">
        <is>
          <t>Retrospective study</t>
        </is>
      </c>
      <c r="J456" s="86" t="n">
        <v>399</v>
      </c>
    </row>
    <row r="457">
      <c r="A457" s="86" t="inlineStr">
        <is>
          <t>Screening Diabetic Retinopathy Using an Automated Retinal Image Analysis System in Independent and Assistive Use Cases in Mexico: Randomized Controlled Trial.</t>
        </is>
      </c>
      <c r="B457" s="86" t="inlineStr">
        <is>
          <t>Noriega, Alejandro</t>
        </is>
      </c>
      <c r="C457" s="86" t="n">
        <v>2021</v>
      </c>
      <c r="D457" s="86" t="inlineStr">
        <is>
          <t>Included</t>
        </is>
      </c>
      <c r="E457" s="5" t="inlineStr">
        <is>
          <t>Outcome not related to interest</t>
        </is>
      </c>
      <c r="F457" s="5" t="inlineStr">
        <is>
          <t>Outcome not related to interest</t>
        </is>
      </c>
      <c r="G457" s="5" t="inlineStr">
        <is>
          <t>Outcome not related to interest</t>
        </is>
      </c>
      <c r="H457" s="86" t="n">
        <v>27</v>
      </c>
      <c r="I457" s="86" t="n">
        <v>67</v>
      </c>
      <c r="J457" s="86" t="n">
        <v>400</v>
      </c>
    </row>
    <row r="458">
      <c r="A458" s="86" t="inlineStr">
        <is>
          <t>Real-world嚜 artificial intelligence-based opportunistic screening for diabetic retinopathy in endocrinology and indigenous healthcare settings in Australia.</t>
        </is>
      </c>
      <c r="B458" s="86" t="inlineStr">
        <is>
          <t>Scheetz, Jane</t>
        </is>
      </c>
      <c r="C458" s="86" t="n">
        <v>2021</v>
      </c>
      <c r="D458" s="86" t="inlineStr">
        <is>
          <t>Included</t>
        </is>
      </c>
      <c r="E458" s="5" t="inlineStr">
        <is>
          <t>Outcome not related to interest</t>
        </is>
      </c>
      <c r="F458" s="5" t="inlineStr">
        <is>
          <t>Outcome not related to interest</t>
        </is>
      </c>
      <c r="G458" s="5" t="inlineStr">
        <is>
          <t>Outcome not related to interest</t>
        </is>
      </c>
      <c r="H458" s="5" t="inlineStr">
        <is>
          <t>Outcome not related to interest</t>
        </is>
      </c>
      <c r="I458" s="5" t="n">
        <v>68</v>
      </c>
      <c r="J458" s="86" t="n">
        <v>401</v>
      </c>
    </row>
    <row r="459">
      <c r="A459" s="86" t="inlineStr">
        <is>
          <t>Application of Comprehensive Artificial intelligence Retinal Expert (CARE) system: a national real-world evidence study.</t>
        </is>
      </c>
      <c r="B459" s="86" t="inlineStr">
        <is>
          <t>Lin, Duoru</t>
        </is>
      </c>
      <c r="C459" s="86" t="n">
        <v>2021</v>
      </c>
      <c r="D459" s="86" t="inlineStr">
        <is>
          <t>Included</t>
        </is>
      </c>
      <c r="E459" s="5" t="inlineStr">
        <is>
          <t>Outcome not related to interest</t>
        </is>
      </c>
      <c r="F459" s="86" t="n">
        <v>69</v>
      </c>
      <c r="G459" s="5" t="inlineStr">
        <is>
          <t>Outcome not related to interest</t>
        </is>
      </c>
      <c r="H459" s="5" t="inlineStr">
        <is>
          <t>Outcome not related to interest</t>
        </is>
      </c>
      <c r="I459" s="86" t="n">
        <v>69</v>
      </c>
      <c r="J459" s="86" t="n">
        <v>402</v>
      </c>
    </row>
    <row r="460">
      <c r="A460" s="86" t="inlineStr">
        <is>
          <t>An interpretable multiple-instance approach for the detection of referable diabetic retinopathy in fundus images.</t>
        </is>
      </c>
      <c r="B460" s="86" t="inlineStr">
        <is>
          <t>Papadopoulos, Alexandros</t>
        </is>
      </c>
      <c r="C460" s="86" t="n">
        <v>2021</v>
      </c>
      <c r="D460" s="86" t="inlineStr">
        <is>
          <t>Included</t>
        </is>
      </c>
      <c r="E460" s="5" t="inlineStr">
        <is>
          <t>Outcome not related to interest</t>
        </is>
      </c>
      <c r="F460" s="5" t="inlineStr">
        <is>
          <t>Outcome not related to interest</t>
        </is>
      </c>
      <c r="G460" s="5" t="inlineStr">
        <is>
          <t>Outcome not related to interest</t>
        </is>
      </c>
      <c r="H460" s="5" t="inlineStr">
        <is>
          <t>Outcome not related to interest</t>
        </is>
      </c>
      <c r="I460" s="5" t="inlineStr">
        <is>
          <t>Retrospective study</t>
        </is>
      </c>
      <c r="J460" s="86" t="n">
        <v>403</v>
      </c>
    </row>
    <row r="461">
      <c r="A461" s="86" t="inlineStr">
        <is>
          <t>In-Person Verification of Deep Learning Algorithm for Diabetic Retinopathy Screening Using Different Techniques Across Fundus Image Devices.</t>
        </is>
      </c>
      <c r="B461" s="86" t="inlineStr">
        <is>
          <t>Wongchaisuwat, Nida</t>
        </is>
      </c>
      <c r="C461" s="86" t="n">
        <v>2021</v>
      </c>
      <c r="D461" s="86" t="inlineStr">
        <is>
          <t>Included</t>
        </is>
      </c>
      <c r="E461" s="5" t="inlineStr">
        <is>
          <t>Outcome not related to interest</t>
        </is>
      </c>
      <c r="F461" s="5" t="inlineStr">
        <is>
          <t>Outcome not related to interest</t>
        </is>
      </c>
      <c r="G461" s="5" t="inlineStr">
        <is>
          <t>Outcome not related to interest</t>
        </is>
      </c>
      <c r="H461" s="5" t="inlineStr">
        <is>
          <t>Outcome not related to interest</t>
        </is>
      </c>
      <c r="I461" s="86" t="n">
        <v>70</v>
      </c>
      <c r="J461" s="86" t="n">
        <v>404</v>
      </c>
    </row>
    <row r="462">
      <c r="A462" s="86" t="inlineStr">
        <is>
          <t>Classification of diabetic retinopathy using unlabeled data and knowledge distillation.</t>
        </is>
      </c>
      <c r="B462" s="86" t="inlineStr">
        <is>
          <t>Abbasi, Sajjad</t>
        </is>
      </c>
      <c r="C462" s="86" t="n">
        <v>2021</v>
      </c>
      <c r="D462" s="86" t="inlineStr">
        <is>
          <t>Included</t>
        </is>
      </c>
      <c r="E462" s="5" t="inlineStr">
        <is>
          <t>Outcome not related to interest</t>
        </is>
      </c>
      <c r="F462" s="5" t="inlineStr">
        <is>
          <t>Outcome not related to interest</t>
        </is>
      </c>
      <c r="G462" s="5" t="inlineStr">
        <is>
          <t>Outcome not related to interest</t>
        </is>
      </c>
      <c r="H462" s="5" t="inlineStr">
        <is>
          <t>Outcome not related to interest</t>
        </is>
      </c>
      <c r="I462" s="5" t="inlineStr">
        <is>
          <t>Retrospective study</t>
        </is>
      </c>
      <c r="J462" s="86" t="n">
        <v>405</v>
      </c>
    </row>
    <row r="463">
      <c r="A463" s="86" t="inlineStr">
        <is>
          <t>Validation of Artificial Intelligence Algorithm in the Detection and Staging of Diabetic Retinopathy through Fundus Photography: An Automated Tool for Detection and Grading of Diabetic Retinopathy.</t>
        </is>
      </c>
      <c r="B463" s="86" t="inlineStr">
        <is>
          <t>Pawar, Bhargavi</t>
        </is>
      </c>
      <c r="C463" s="86" t="n">
        <v>2021</v>
      </c>
      <c r="D463" s="86" t="inlineStr">
        <is>
          <t>Included</t>
        </is>
      </c>
      <c r="E463" s="5" t="inlineStr">
        <is>
          <t>Outcome not related to interest</t>
        </is>
      </c>
      <c r="F463" s="5" t="inlineStr">
        <is>
          <t>Outcome not related to interest</t>
        </is>
      </c>
      <c r="G463" s="5" t="inlineStr">
        <is>
          <t>Outcome not related to interest</t>
        </is>
      </c>
      <c r="H463" s="5" t="inlineStr">
        <is>
          <t>Outcome not related to interest</t>
        </is>
      </c>
      <c r="I463" s="86" t="n">
        <v>71</v>
      </c>
      <c r="J463" s="86" t="n">
        <v>406</v>
      </c>
    </row>
    <row r="464">
      <c r="A464" s="86" t="inlineStr">
        <is>
          <t>General deep learning model for detecting diabetic retinopathy.</t>
        </is>
      </c>
      <c r="B464" s="86" t="inlineStr">
        <is>
          <t>Chen, Ping-Nan</t>
        </is>
      </c>
      <c r="C464" s="86" t="n">
        <v>2021</v>
      </c>
      <c r="D464" s="86" t="inlineStr">
        <is>
          <t>Included</t>
        </is>
      </c>
      <c r="E464" s="5" t="inlineStr">
        <is>
          <t>Outcome not related to interest</t>
        </is>
      </c>
      <c r="F464" s="5" t="inlineStr">
        <is>
          <t>Outcome not related to interest</t>
        </is>
      </c>
      <c r="G464" s="5" t="inlineStr">
        <is>
          <t>Outcome not related to interest</t>
        </is>
      </c>
      <c r="H464" s="5" t="inlineStr">
        <is>
          <t>Outcome not related to interest</t>
        </is>
      </c>
      <c r="I464" s="5" t="inlineStr">
        <is>
          <t>Retrospective study</t>
        </is>
      </c>
      <c r="J464" s="86" t="n">
        <v>407</v>
      </c>
    </row>
    <row r="465">
      <c r="A465" s="86" t="inlineStr">
        <is>
          <t>A novel four-step feature selection technique for diabetic retinopathy grading.</t>
        </is>
      </c>
      <c r="B465" s="86" t="inlineStr">
        <is>
          <t>Jagan Mohan, N</t>
        </is>
      </c>
      <c r="C465" s="86" t="n">
        <v>2021</v>
      </c>
      <c r="D465" s="86" t="inlineStr">
        <is>
          <t>Included</t>
        </is>
      </c>
      <c r="E465" s="5" t="inlineStr">
        <is>
          <t>Outcome not related to interest</t>
        </is>
      </c>
      <c r="F465" s="5" t="inlineStr">
        <is>
          <t>Outcome not related to interest</t>
        </is>
      </c>
      <c r="G465" s="5" t="inlineStr">
        <is>
          <t>Outcome not related to interest</t>
        </is>
      </c>
      <c r="H465" s="5" t="inlineStr">
        <is>
          <t>Outcome not related to interest</t>
        </is>
      </c>
      <c r="I465" s="5" t="inlineStr">
        <is>
          <t>Retrospective study</t>
        </is>
      </c>
      <c r="J465" s="86" t="n">
        <v>408</v>
      </c>
    </row>
    <row r="466">
      <c r="A466" s="86" t="inlineStr">
        <is>
          <t>Use of offline artificial intelligence in a smartphone-based fundus camera for community screening of diabetic retinopathy.</t>
        </is>
      </c>
      <c r="B466" s="86" t="inlineStr">
        <is>
          <t>Jain, Astha</t>
        </is>
      </c>
      <c r="C466" s="86" t="n">
        <v>2021</v>
      </c>
      <c r="D466" s="86" t="inlineStr">
        <is>
          <t>Included</t>
        </is>
      </c>
      <c r="E466" s="5" t="inlineStr">
        <is>
          <t>Outcome not related to interest</t>
        </is>
      </c>
      <c r="F466" s="86" t="n">
        <v>70</v>
      </c>
      <c r="G466" s="5" t="inlineStr">
        <is>
          <t>Outcome not related to interest</t>
        </is>
      </c>
      <c r="H466" s="5" t="inlineStr">
        <is>
          <t>Outcome not related to interest</t>
        </is>
      </c>
      <c r="I466" s="5" t="n">
        <v>72</v>
      </c>
      <c r="J466" s="86" t="n">
        <v>409</v>
      </c>
    </row>
    <row r="467">
      <c r="A467" s="86" t="inlineStr">
        <is>
          <t>Severity Grading and Early Retinopathy Lesion Detection through Hybrid Inception-ResNet Architecture.</t>
        </is>
      </c>
      <c r="B467" s="86" t="inlineStr">
        <is>
          <t>Yasin, Sana</t>
        </is>
      </c>
      <c r="C467" s="86" t="n">
        <v>2021</v>
      </c>
      <c r="D467" s="86" t="inlineStr">
        <is>
          <t>Included</t>
        </is>
      </c>
      <c r="E467" s="5" t="inlineStr">
        <is>
          <t>Outcome not related to interest</t>
        </is>
      </c>
      <c r="F467" s="5" t="inlineStr">
        <is>
          <t>Outcome not related to interest</t>
        </is>
      </c>
      <c r="G467" s="5" t="inlineStr">
        <is>
          <t>Outcome not related to interest</t>
        </is>
      </c>
      <c r="H467" s="5" t="inlineStr">
        <is>
          <t>Outcome not related to interest</t>
        </is>
      </c>
      <c r="I467" s="5" t="inlineStr">
        <is>
          <t>Retrospective study</t>
        </is>
      </c>
      <c r="J467" s="86" t="n">
        <v>410</v>
      </c>
    </row>
    <row r="468">
      <c r="A468" s="86" t="inlineStr">
        <is>
          <t>Vision Transformer-based recognition of diabetic retinopathy grade.</t>
        </is>
      </c>
      <c r="B468" s="86" t="inlineStr">
        <is>
          <t>Wu, Jianfang</t>
        </is>
      </c>
      <c r="C468" s="86" t="n">
        <v>2021</v>
      </c>
      <c r="D468" s="86" t="inlineStr">
        <is>
          <t>Included</t>
        </is>
      </c>
      <c r="E468" s="5" t="inlineStr">
        <is>
          <t>Outcome not related to interest</t>
        </is>
      </c>
      <c r="F468" s="5" t="inlineStr">
        <is>
          <t>Outcome not related to interest</t>
        </is>
      </c>
      <c r="G468" s="5" t="inlineStr">
        <is>
          <t>Outcome not related to interest</t>
        </is>
      </c>
      <c r="H468" s="5" t="inlineStr">
        <is>
          <t>Outcome not related to interest</t>
        </is>
      </c>
      <c r="I468" s="5" t="inlineStr">
        <is>
          <t>Retrospective study</t>
        </is>
      </c>
      <c r="J468" s="86" t="n">
        <v>411</v>
      </c>
    </row>
    <row r="469">
      <c r="A469" s="86" t="inlineStr">
        <is>
          <t>DFTSA-Net: Deep Feature Transfer-Based Stacked Autoencoder Network for DME Diagnosis.</t>
        </is>
      </c>
      <c r="B469" s="86" t="inlineStr">
        <is>
          <t>Atteia, Ghada</t>
        </is>
      </c>
      <c r="C469" s="86" t="n">
        <v>2021</v>
      </c>
      <c r="D469" s="86" t="inlineStr">
        <is>
          <t>Included</t>
        </is>
      </c>
      <c r="E469" s="5" t="inlineStr">
        <is>
          <t>Outcome not related to interest</t>
        </is>
      </c>
      <c r="F469" s="5" t="inlineStr">
        <is>
          <t>Outcome not related to interest</t>
        </is>
      </c>
      <c r="G469" s="5" t="inlineStr">
        <is>
          <t>Outcome not related to interest</t>
        </is>
      </c>
      <c r="H469" s="5" t="inlineStr">
        <is>
          <t>Outcome not related to interest</t>
        </is>
      </c>
      <c r="I469" s="5" t="inlineStr">
        <is>
          <t>Retrospective study</t>
        </is>
      </c>
      <c r="J469" s="86" t="n">
        <v>412</v>
      </c>
    </row>
    <row r="470">
      <c r="A470" s="86" t="inlineStr">
        <is>
          <t>Combined automated screening for age-related macular degeneration and diabetic retinopathy in primary care settings.</t>
        </is>
      </c>
      <c r="B470" s="86" t="inlineStr">
        <is>
          <t>Bhuiyan, Alauddin</t>
        </is>
      </c>
      <c r="C470" s="86" t="n">
        <v>2021</v>
      </c>
      <c r="D470" s="86" t="inlineStr">
        <is>
          <t>Included</t>
        </is>
      </c>
      <c r="E470" s="5" t="inlineStr">
        <is>
          <t>Outcome not related to interest</t>
        </is>
      </c>
      <c r="F470" s="5" t="inlineStr">
        <is>
          <t>Outcome not related to interest</t>
        </is>
      </c>
      <c r="G470" s="5" t="inlineStr">
        <is>
          <t>Outcome not related to interest</t>
        </is>
      </c>
      <c r="H470" s="5" t="inlineStr">
        <is>
          <t>Outcome not related to interest</t>
        </is>
      </c>
      <c r="I470" s="86" t="n">
        <v>73</v>
      </c>
      <c r="J470" s="86" t="n">
        <v>413</v>
      </c>
    </row>
    <row r="471">
      <c r="A471" s="86" t="inlineStr">
        <is>
          <t>Association of Subregional Quantitative Ultra-widefield Fluorescence Angiography Characteristics With the Occurrence of Diabetic Macular Edema and Proliferative Diabetic Retinopathy.</t>
        </is>
      </c>
      <c r="B471" s="86" t="inlineStr">
        <is>
          <t>Sun, Gongpeng</t>
        </is>
      </c>
      <c r="C471" s="86" t="n">
        <v>2021</v>
      </c>
      <c r="D471" s="86" t="inlineStr">
        <is>
          <t>Included</t>
        </is>
      </c>
      <c r="E471" s="86" t="inlineStr">
        <is>
          <t>Fundus Fluorescein Angiography</t>
        </is>
      </c>
      <c r="F471" s="86" t="inlineStr">
        <is>
          <t>Fundus Fluorescein Angiography</t>
        </is>
      </c>
      <c r="G471" s="86" t="inlineStr">
        <is>
          <t>Fundus Fluorescein Angiography</t>
        </is>
      </c>
      <c r="H471" s="86" t="inlineStr">
        <is>
          <t>Fundus Fluorescein Angiography</t>
        </is>
      </c>
      <c r="I471" s="86" t="inlineStr">
        <is>
          <t>Fundus Fluorescein Angiography</t>
        </is>
      </c>
      <c r="J471" s="86" t="inlineStr">
        <is>
          <t>Fundus Fluorescein Angiography</t>
        </is>
      </c>
    </row>
    <row r="472">
      <c r="A472" s="86" t="inlineStr">
        <is>
          <t>Effective methods of diabetic retinopathy detection based on deep convolutional neural networks.</t>
        </is>
      </c>
      <c r="B472" s="86" t="inlineStr">
        <is>
          <t>Gu, Yunchao</t>
        </is>
      </c>
      <c r="C472" s="86" t="n">
        <v>2021</v>
      </c>
      <c r="D472" s="86" t="inlineStr">
        <is>
          <t>Included</t>
        </is>
      </c>
      <c r="E472" s="5" t="inlineStr">
        <is>
          <t>Outcome not related to interest</t>
        </is>
      </c>
      <c r="F472" s="5" t="inlineStr">
        <is>
          <t>Outcome not related to interest</t>
        </is>
      </c>
      <c r="G472" s="5" t="inlineStr">
        <is>
          <t>Outcome not related to interest</t>
        </is>
      </c>
      <c r="H472" s="5" t="inlineStr">
        <is>
          <t>Outcome not related to interest</t>
        </is>
      </c>
      <c r="I472" s="5" t="inlineStr">
        <is>
          <t>Retrospective study</t>
        </is>
      </c>
      <c r="J472" s="86" t="n">
        <v>414</v>
      </c>
    </row>
    <row r="473">
      <c r="A473" s="86" t="inlineStr">
        <is>
          <t>The Importance of Close Follow-Up in Patients with Early-Grade Diabetic Retinopathy: A Taiwan Population-Based Study Grading via Deep Learning Model.</t>
        </is>
      </c>
      <c r="B473" s="86" t="inlineStr">
        <is>
          <t>Lee, Chia-Cheng</t>
        </is>
      </c>
      <c r="C473" s="86" t="n">
        <v>2021</v>
      </c>
      <c r="D473" s="86" t="inlineStr">
        <is>
          <t>Included</t>
        </is>
      </c>
      <c r="E473" s="5" t="inlineStr">
        <is>
          <t>Outcome not related to interest</t>
        </is>
      </c>
      <c r="F473" s="5" t="inlineStr">
        <is>
          <t>Outcome not related to interest</t>
        </is>
      </c>
      <c r="G473" s="5" t="inlineStr">
        <is>
          <t>Outcome not related to interest</t>
        </is>
      </c>
      <c r="H473" s="5" t="inlineStr">
        <is>
          <t>Outcome not related to interest</t>
        </is>
      </c>
      <c r="I473" s="5" t="inlineStr">
        <is>
          <t>Outcome not related to interest</t>
        </is>
      </c>
      <c r="J473" s="5" t="inlineStr">
        <is>
          <t>Outcome not related to interest</t>
        </is>
      </c>
    </row>
    <row r="474">
      <c r="A474" s="86" t="inlineStr">
        <is>
          <t>A Smart Healthcare Recommendation System for Multidisciplinary Diabetes Patients with Data Fusion Based on Deep Ensemble Learning.</t>
        </is>
      </c>
      <c r="B474" s="86" t="inlineStr">
        <is>
          <t>Ihnaini, Baha</t>
        </is>
      </c>
      <c r="C474" s="86" t="n">
        <v>2021</v>
      </c>
      <c r="D474" s="86" t="inlineStr">
        <is>
          <t>Included</t>
        </is>
      </c>
      <c r="E474" s="5" t="inlineStr">
        <is>
          <t>Outcome not related to interest</t>
        </is>
      </c>
      <c r="F474" s="5" t="inlineStr">
        <is>
          <t>Outcome not related to interest</t>
        </is>
      </c>
      <c r="G474" s="5" t="inlineStr">
        <is>
          <t>Outcome not related to interest</t>
        </is>
      </c>
      <c r="H474" s="5" t="inlineStr">
        <is>
          <t>Outcome not related to interest</t>
        </is>
      </c>
      <c r="I474" s="5" t="inlineStr">
        <is>
          <t>Outcome not related to interest</t>
        </is>
      </c>
      <c r="J474" s="5" t="inlineStr">
        <is>
          <t>Outcome not related to interest</t>
        </is>
      </c>
    </row>
    <row r="475">
      <c r="A475" s="86" t="inlineStr">
        <is>
          <t>EAD-Net: A Novel Lesion Segmentation Method in Diabetic Retinopathy Using Neural Networks.</t>
        </is>
      </c>
      <c r="B475" s="86" t="inlineStr">
        <is>
          <t>Wan, Cheng</t>
        </is>
      </c>
      <c r="C475" s="86" t="n">
        <v>2021</v>
      </c>
      <c r="D475" s="86" t="inlineStr">
        <is>
          <t>Included</t>
        </is>
      </c>
      <c r="E475" s="5" t="inlineStr">
        <is>
          <t>Outcome not related to interest</t>
        </is>
      </c>
      <c r="F475" s="5" t="inlineStr">
        <is>
          <t>Outcome not related to interest</t>
        </is>
      </c>
      <c r="G475" s="5" t="inlineStr">
        <is>
          <t>Outcome not related to interest</t>
        </is>
      </c>
      <c r="H475" s="5" t="inlineStr">
        <is>
          <t>Outcome not related to interest</t>
        </is>
      </c>
      <c r="I475" s="5" t="inlineStr">
        <is>
          <t>Retrospective study</t>
        </is>
      </c>
      <c r="J475" s="86" t="n">
        <v>415</v>
      </c>
    </row>
    <row r="476">
      <c r="A476" s="86" t="inlineStr">
        <is>
          <t>Validation of an Automated Screening System for Diabetic Retinopathy Operating under Real Clinical Conditions.</t>
        </is>
      </c>
      <c r="B476" s="86" t="inlineStr">
        <is>
          <t>Jimenez-Carmona, Soledad</t>
        </is>
      </c>
      <c r="C476" s="86" t="n">
        <v>2021</v>
      </c>
      <c r="D476" s="86" t="inlineStr">
        <is>
          <t>Included</t>
        </is>
      </c>
      <c r="E476" s="86" t="inlineStr">
        <is>
          <t>Not deep learning</t>
        </is>
      </c>
      <c r="F476" s="86" t="inlineStr">
        <is>
          <t>Not deep learning</t>
        </is>
      </c>
      <c r="G476" s="86" t="inlineStr">
        <is>
          <t>Not deep learning</t>
        </is>
      </c>
      <c r="H476" s="86" t="inlineStr">
        <is>
          <t>Not deep learning</t>
        </is>
      </c>
      <c r="I476" s="86" t="inlineStr">
        <is>
          <t>Not deep learning</t>
        </is>
      </c>
      <c r="J476" s="86" t="inlineStr">
        <is>
          <t>Not deep learning</t>
        </is>
      </c>
    </row>
    <row r="477">
      <c r="A477" s="86" t="inlineStr">
        <is>
          <t>Performance Analysis of Deep-Neural-Network-Based Automatic Diagnosis of Diabetic Retinopathy.</t>
        </is>
      </c>
      <c r="B477" s="86" t="inlineStr">
        <is>
          <t>Tariq, Hassan</t>
        </is>
      </c>
      <c r="C477" s="86" t="n">
        <v>2021</v>
      </c>
      <c r="D477" s="86" t="inlineStr">
        <is>
          <t>Included</t>
        </is>
      </c>
      <c r="E477" s="5" t="inlineStr">
        <is>
          <t>Outcome not related to interest</t>
        </is>
      </c>
      <c r="F477" s="5" t="inlineStr">
        <is>
          <t>Outcome not related to interest</t>
        </is>
      </c>
      <c r="G477" s="5" t="inlineStr">
        <is>
          <t>Outcome not related to interest</t>
        </is>
      </c>
      <c r="H477" s="5" t="inlineStr">
        <is>
          <t>Outcome not related to interest</t>
        </is>
      </c>
      <c r="I477" s="5" t="inlineStr">
        <is>
          <t>Retrospective study</t>
        </is>
      </c>
      <c r="J477" s="86" t="n">
        <v>416</v>
      </c>
    </row>
    <row r="478">
      <c r="A478" s="86" t="inlineStr">
        <is>
          <t>DR-IIXRN : Detection Algorithm of Diabetic Retinopathy Based on Deep Ensemble Learning and Attention Mechanism.</t>
        </is>
      </c>
      <c r="B478" s="86" t="inlineStr">
        <is>
          <t>Ai, Zhuang</t>
        </is>
      </c>
      <c r="C478" s="86" t="n">
        <v>2021</v>
      </c>
      <c r="D478" s="86" t="inlineStr">
        <is>
          <t>Included</t>
        </is>
      </c>
      <c r="E478" s="5" t="inlineStr">
        <is>
          <t>Outcome not related to interest</t>
        </is>
      </c>
      <c r="F478" s="5" t="inlineStr">
        <is>
          <t>Outcome not related to interest</t>
        </is>
      </c>
      <c r="G478" s="5" t="inlineStr">
        <is>
          <t>Outcome not related to interest</t>
        </is>
      </c>
      <c r="H478" s="5" t="inlineStr">
        <is>
          <t>Outcome not related to interest</t>
        </is>
      </c>
      <c r="I478" s="5" t="inlineStr">
        <is>
          <t>Retrospective study</t>
        </is>
      </c>
      <c r="J478" s="86" t="n">
        <v>417</v>
      </c>
    </row>
    <row r="479">
      <c r="A479" s="86" t="inlineStr">
        <is>
          <t>Usefulness of Machine Learning for Identification of Referable Diabetic Retinopathy in a Large-Scale Population-Based Study.</t>
        </is>
      </c>
      <c r="B479" s="86" t="inlineStr">
        <is>
          <t>Yang, Cheng</t>
        </is>
      </c>
      <c r="C479" s="86" t="n">
        <v>2021</v>
      </c>
      <c r="D479" s="86" t="inlineStr">
        <is>
          <t>Included</t>
        </is>
      </c>
      <c r="E479" s="86" t="inlineStr">
        <is>
          <t>Not deep learning</t>
        </is>
      </c>
      <c r="F479" s="86" t="inlineStr">
        <is>
          <t>Not deep learning</t>
        </is>
      </c>
      <c r="G479" s="86" t="inlineStr">
        <is>
          <t>Not deep learning</t>
        </is>
      </c>
      <c r="H479" s="86" t="inlineStr">
        <is>
          <t>Not deep learning</t>
        </is>
      </c>
      <c r="I479" s="86" t="inlineStr">
        <is>
          <t>Not deep learning</t>
        </is>
      </c>
      <c r="J479" s="86" t="inlineStr">
        <is>
          <t>Not deep learning</t>
        </is>
      </c>
    </row>
    <row r="480">
      <c r="A480" s="86" t="inlineStr">
        <is>
          <t>Screening Referable Diabetic Retinopathy Using a Semi-automated Deep Learning Algorithm Assisted Approach.</t>
        </is>
      </c>
      <c r="B480" s="86" t="inlineStr">
        <is>
          <t>Wang, Yueye</t>
        </is>
      </c>
      <c r="C480" s="86" t="n">
        <v>2021</v>
      </c>
      <c r="D480" s="86" t="inlineStr">
        <is>
          <t>Included</t>
        </is>
      </c>
      <c r="E480" s="5" t="inlineStr">
        <is>
          <t>Outcome not related to interest</t>
        </is>
      </c>
      <c r="F480" s="5" t="inlineStr">
        <is>
          <t>Outcome not related to interest</t>
        </is>
      </c>
      <c r="G480" s="5" t="inlineStr">
        <is>
          <t>Outcome not related to interest</t>
        </is>
      </c>
      <c r="H480" s="5" t="inlineStr">
        <is>
          <t>Outcome not related to interest</t>
        </is>
      </c>
      <c r="I480" s="5" t="inlineStr">
        <is>
          <t>Retrospective study</t>
        </is>
      </c>
      <c r="J480" s="86" t="n">
        <v>418</v>
      </c>
    </row>
    <row r="481">
      <c r="A481" s="86" t="inlineStr">
        <is>
          <t>Improved Automatic Grading of Diabetic Retinopathy Using Deep Learning and Principal Component Analysis.</t>
        </is>
      </c>
      <c r="B481" s="86" t="inlineStr">
        <is>
          <t>Mohamed, Eman</t>
        </is>
      </c>
      <c r="C481" s="86" t="n">
        <v>2021</v>
      </c>
      <c r="D481" s="86" t="inlineStr">
        <is>
          <t>Included</t>
        </is>
      </c>
      <c r="E481" s="5" t="inlineStr">
        <is>
          <t>Outcome not related to interest</t>
        </is>
      </c>
      <c r="F481" s="5" t="inlineStr">
        <is>
          <t>Outcome not related to interest</t>
        </is>
      </c>
      <c r="G481" s="5" t="inlineStr">
        <is>
          <t>Outcome not related to interest</t>
        </is>
      </c>
      <c r="H481" s="5" t="inlineStr">
        <is>
          <t>Outcome not related to interest</t>
        </is>
      </c>
      <c r="I481" s="5" t="inlineStr">
        <is>
          <t>Retrospective study</t>
        </is>
      </c>
      <c r="J481" s="86" t="n">
        <v>419</v>
      </c>
    </row>
    <row r="482">
      <c r="A482" s="86" t="inlineStr">
        <is>
          <t>Detection of Fundus Lesions through a Convolutional Neural Network in Patients with Diabetic Retinopathy.</t>
        </is>
      </c>
      <c r="B482" s="86" t="inlineStr">
        <is>
          <t>Santos, Carlos</t>
        </is>
      </c>
      <c r="C482" s="86" t="n">
        <v>2021</v>
      </c>
      <c r="D482" s="86" t="inlineStr">
        <is>
          <t>Included</t>
        </is>
      </c>
      <c r="E482" s="5" t="inlineStr">
        <is>
          <t>Outcome not related to interest</t>
        </is>
      </c>
      <c r="F482" s="5" t="inlineStr">
        <is>
          <t>Outcome not related to interest</t>
        </is>
      </c>
      <c r="G482" s="5" t="inlineStr">
        <is>
          <t>Outcome not related to interest</t>
        </is>
      </c>
      <c r="H482" s="5" t="inlineStr">
        <is>
          <t>Outcome not related to interest</t>
        </is>
      </c>
      <c r="I482" s="5" t="inlineStr">
        <is>
          <t>Retrospective study</t>
        </is>
      </c>
      <c r="J482" s="86" t="n">
        <v>420</v>
      </c>
    </row>
    <row r="483">
      <c r="A483" s="86" t="inlineStr">
        <is>
          <t>Two Eyes Are Better Than One: Exploiting Binocular Correlation for Diabetic Retinopathy Severity Grading.</t>
        </is>
      </c>
      <c r="B483" s="86" t="inlineStr">
        <is>
          <t>Qian, Peisheng</t>
        </is>
      </c>
      <c r="C483" s="86" t="n">
        <v>2021</v>
      </c>
      <c r="D483" s="86" t="inlineStr">
        <is>
          <t>Included</t>
        </is>
      </c>
      <c r="E483" s="5" t="inlineStr">
        <is>
          <t>Outcome not related to interest</t>
        </is>
      </c>
      <c r="F483" s="5" t="inlineStr">
        <is>
          <t>Outcome not related to interest</t>
        </is>
      </c>
      <c r="G483" s="5" t="inlineStr">
        <is>
          <t>Outcome not related to interest</t>
        </is>
      </c>
      <c r="H483" s="5" t="inlineStr">
        <is>
          <t>Outcome not related to interest</t>
        </is>
      </c>
      <c r="I483" s="5" t="inlineStr">
        <is>
          <t>Retrospective study</t>
        </is>
      </c>
      <c r="J483" s="86" t="n">
        <v>421</v>
      </c>
    </row>
    <row r="484">
      <c r="A484" s="86" t="inlineStr">
        <is>
          <t>RF-GANs: A Method to Synthesize Retinal Fundus Images Based on Generative Adversarial Network.</t>
        </is>
      </c>
      <c r="B484" s="86" t="inlineStr">
        <is>
          <t>Chen, Yu</t>
        </is>
      </c>
      <c r="C484" s="86" t="n">
        <v>2021</v>
      </c>
      <c r="D484" s="86" t="inlineStr">
        <is>
          <t>Included</t>
        </is>
      </c>
      <c r="E484" s="5" t="inlineStr">
        <is>
          <t>Outcome not related to interest</t>
        </is>
      </c>
      <c r="F484" s="5" t="inlineStr">
        <is>
          <t>Outcome not related to interest</t>
        </is>
      </c>
      <c r="G484" s="5" t="inlineStr">
        <is>
          <t>Outcome not related to interest</t>
        </is>
      </c>
      <c r="H484" s="5" t="inlineStr">
        <is>
          <t>Outcome not related to interest</t>
        </is>
      </c>
      <c r="I484" s="5" t="inlineStr">
        <is>
          <t>Retrospective study</t>
        </is>
      </c>
      <c r="J484" s="86" t="n">
        <v>422</v>
      </c>
    </row>
    <row r="485">
      <c r="A485" s="86" t="inlineStr">
        <is>
          <t>Pivotal Evaluation of an Artificial Intelligence System for Autonomous Detection of Referrable and Vision-Threatening Diabetic Retinopathy.</t>
        </is>
      </c>
      <c r="B485" s="86" t="inlineStr">
        <is>
          <t>Ipp, Eli</t>
        </is>
      </c>
      <c r="C485" s="86" t="n">
        <v>2021</v>
      </c>
      <c r="D485" s="86" t="inlineStr">
        <is>
          <t>Included</t>
        </is>
      </c>
      <c r="E485" s="86" t="n">
        <v>28</v>
      </c>
      <c r="F485" s="86" t="n">
        <v>71</v>
      </c>
      <c r="G485" s="5" t="inlineStr">
        <is>
          <t>Outcome not related to interest</t>
        </is>
      </c>
      <c r="H485" s="5" t="inlineStr">
        <is>
          <t>Outcome not related to interest</t>
        </is>
      </c>
      <c r="I485" s="86" t="n">
        <v>74</v>
      </c>
      <c r="J485" s="86" t="n">
        <v>423</v>
      </c>
    </row>
    <row r="486">
      <c r="A486" s="86" t="inlineStr">
        <is>
          <t>Data Homogeneity Effect in Deep Learning-Based Prediction of Type 1 Diabetic Retinopathy.</t>
        </is>
      </c>
      <c r="B486" s="86" t="inlineStr">
        <is>
          <t>Lo, Jui-En</t>
        </is>
      </c>
      <c r="C486" s="86" t="n">
        <v>2021</v>
      </c>
      <c r="D486" s="86" t="inlineStr">
        <is>
          <t>Included</t>
        </is>
      </c>
      <c r="E486" s="5" t="inlineStr">
        <is>
          <t>Outcome not related to interest</t>
        </is>
      </c>
      <c r="F486" s="5" t="inlineStr">
        <is>
          <t>Outcome not related to interest</t>
        </is>
      </c>
      <c r="G486" s="5" t="inlineStr">
        <is>
          <t>Outcome not related to interest</t>
        </is>
      </c>
      <c r="H486" s="5" t="inlineStr">
        <is>
          <t>Outcome not related to interest</t>
        </is>
      </c>
      <c r="I486" s="5" t="inlineStr">
        <is>
          <t>Retrospective study</t>
        </is>
      </c>
      <c r="J486" s="86" t="n">
        <v>424</v>
      </c>
    </row>
    <row r="487">
      <c r="A487" s="86" t="inlineStr">
        <is>
          <t>Diabetic and Hypertensive Retinopathy Screening in Fundus Images Using Artificially Intelligent Shallow Architectures.</t>
        </is>
      </c>
      <c r="B487" s="86" t="inlineStr">
        <is>
          <t>Arsalan, Muhammad</t>
        </is>
      </c>
      <c r="C487" s="86" t="n">
        <v>2021</v>
      </c>
      <c r="D487" s="86" t="inlineStr">
        <is>
          <t>Included</t>
        </is>
      </c>
      <c r="E487" s="5" t="inlineStr">
        <is>
          <t>Outcome not related to interest</t>
        </is>
      </c>
      <c r="F487" s="5" t="inlineStr">
        <is>
          <t>Outcome not related to interest</t>
        </is>
      </c>
      <c r="G487" s="5" t="inlineStr">
        <is>
          <t>Outcome not related to interest</t>
        </is>
      </c>
      <c r="H487" s="5" t="inlineStr">
        <is>
          <t>Outcome not related to interest</t>
        </is>
      </c>
      <c r="I487" s="5" t="inlineStr">
        <is>
          <t>Retrospective study</t>
        </is>
      </c>
      <c r="J487" s="86" t="n">
        <v>425</v>
      </c>
    </row>
    <row r="488">
      <c r="A488" s="86" t="inlineStr">
        <is>
          <t>Evaluation of deep learning network model based on attention mechanism in diabetic retinopathy screening in China</t>
        </is>
      </c>
      <c r="B488" s="86" t="inlineStr">
        <is>
          <t>Ziwei, D.</t>
        </is>
      </c>
      <c r="C488" s="86" t="n">
        <v>2021</v>
      </c>
      <c r="D488" s="86" t="inlineStr">
        <is>
          <t>Included</t>
        </is>
      </c>
      <c r="E488" s="5" t="inlineStr">
        <is>
          <t>Outcome not related to interest</t>
        </is>
      </c>
      <c r="F488" s="5" t="inlineStr">
        <is>
          <t>Outcome not related to interest</t>
        </is>
      </c>
      <c r="G488" s="5" t="inlineStr">
        <is>
          <t>Outcome not related to interest</t>
        </is>
      </c>
      <c r="H488" s="5" t="inlineStr">
        <is>
          <t>Outcome not related to interest</t>
        </is>
      </c>
      <c r="I488" s="86" t="n">
        <v>75</v>
      </c>
      <c r="J488" s="86" t="n">
        <v>426</v>
      </c>
    </row>
    <row r="489">
      <c r="A489" s="86" t="inlineStr">
        <is>
          <t>Detection of diabetic retinopathy from ultra-widefield scanning laser ophthalmoscope images</t>
        </is>
      </c>
      <c r="B489" s="86" t="inlineStr">
        <is>
          <t>Iglicki, M.</t>
        </is>
      </c>
      <c r="C489" s="86" t="n">
        <v>2021</v>
      </c>
      <c r="D489" s="86" t="inlineStr">
        <is>
          <t>Included</t>
        </is>
      </c>
      <c r="E489" s="5" t="inlineStr">
        <is>
          <t>Outcome not related to interest</t>
        </is>
      </c>
      <c r="F489" s="5" t="inlineStr">
        <is>
          <t>Outcome not related to interest</t>
        </is>
      </c>
      <c r="G489" s="5" t="inlineStr">
        <is>
          <t>Outcome not related to interest</t>
        </is>
      </c>
      <c r="H489" s="5" t="inlineStr">
        <is>
          <t>Outcome not related to interest</t>
        </is>
      </c>
      <c r="I489" s="5" t="inlineStr">
        <is>
          <t>Retrospective study</t>
        </is>
      </c>
      <c r="J489" s="86" t="n">
        <v>427</v>
      </c>
    </row>
    <row r="490">
      <c r="A490" s="86" t="inlineStr">
        <is>
          <t>Deep learning model for automated screening of moderately severe and severe non-proliferative diabetic retinopathy from 7-field colour fundus photographs</t>
        </is>
      </c>
      <c r="B490" s="86" t="inlineStr">
        <is>
          <t>Yang, Q.</t>
        </is>
      </c>
      <c r="C490" s="86" t="n">
        <v>2021</v>
      </c>
      <c r="D490" s="86" t="inlineStr">
        <is>
          <t>Included</t>
        </is>
      </c>
      <c r="E490" s="5" t="inlineStr">
        <is>
          <t>Outcome not related to interest</t>
        </is>
      </c>
      <c r="F490" s="5" t="inlineStr">
        <is>
          <t>Outcome not related to interest</t>
        </is>
      </c>
      <c r="G490" s="5" t="inlineStr">
        <is>
          <t>Outcome not related to interest</t>
        </is>
      </c>
      <c r="H490" s="5" t="inlineStr">
        <is>
          <t>Outcome not related to interest</t>
        </is>
      </c>
      <c r="I490" s="5" t="inlineStr">
        <is>
          <t>Retrospective study</t>
        </is>
      </c>
      <c r="J490" s="86" t="n">
        <v>428</v>
      </c>
    </row>
    <row r="491">
      <c r="A491" s="86" t="inlineStr">
        <is>
          <t>Synergic Adversarial Label Learning for Grading Retinal Diseases via Knowledge Distillation and Multi-Task Learning</t>
        </is>
      </c>
      <c r="B491" s="86" t="inlineStr">
        <is>
          <t>Ju, L.</t>
        </is>
      </c>
      <c r="C491" s="86" t="n">
        <v>2021</v>
      </c>
      <c r="D491" s="86" t="inlineStr">
        <is>
          <t>Included</t>
        </is>
      </c>
      <c r="E491" s="5" t="inlineStr">
        <is>
          <t>Outcome not related to interest</t>
        </is>
      </c>
      <c r="F491" s="5" t="inlineStr">
        <is>
          <t>Outcome not related to interest</t>
        </is>
      </c>
      <c r="G491" s="5" t="inlineStr">
        <is>
          <t>Outcome not related to interest</t>
        </is>
      </c>
      <c r="H491" s="5" t="inlineStr">
        <is>
          <t>Outcome not related to interest</t>
        </is>
      </c>
      <c r="I491" s="5" t="inlineStr">
        <is>
          <t>Retrospective study</t>
        </is>
      </c>
      <c r="J491" s="86" t="n">
        <v>429</v>
      </c>
    </row>
    <row r="492">
      <c r="A492" s="86" t="inlineStr">
        <is>
          <t>Leveraging Regular Fundus Images for Training UWF Fundus Diagnosis Models via Adversarial Learning and Pseudo-Labeling</t>
        </is>
      </c>
      <c r="B492" s="86" t="inlineStr">
        <is>
          <t>Ju, L.</t>
        </is>
      </c>
      <c r="C492" s="86" t="n">
        <v>2021</v>
      </c>
      <c r="D492" s="86" t="inlineStr">
        <is>
          <t>Included</t>
        </is>
      </c>
      <c r="E492" s="5" t="inlineStr">
        <is>
          <t>Outcome not related to interest</t>
        </is>
      </c>
      <c r="F492" s="5" t="inlineStr">
        <is>
          <t>Outcome not related to interest</t>
        </is>
      </c>
      <c r="G492" s="5" t="inlineStr">
        <is>
          <t>Outcome not related to interest</t>
        </is>
      </c>
      <c r="H492" s="5" t="inlineStr">
        <is>
          <t>Outcome not related to interest</t>
        </is>
      </c>
      <c r="I492" s="5" t="inlineStr">
        <is>
          <t>Retrospective study</t>
        </is>
      </c>
      <c r="J492" s="86" t="n">
        <v>430</v>
      </c>
    </row>
    <row r="493">
      <c r="A493" s="86" t="inlineStr">
        <is>
          <t>Evaluation of the implementation of an approved artificial intelligence system for the detection of diabetic retinopathy</t>
        </is>
      </c>
      <c r="B493" s="86" t="inlineStr">
        <is>
          <t>Roser, P.</t>
        </is>
      </c>
      <c r="C493" s="86" t="n">
        <v>2021</v>
      </c>
      <c r="D493" s="86" t="inlineStr">
        <is>
          <t>Included</t>
        </is>
      </c>
      <c r="E493" s="5" t="inlineStr">
        <is>
          <t>Outcome not related to interest</t>
        </is>
      </c>
      <c r="F493" s="86" t="n">
        <v>72</v>
      </c>
      <c r="G493" s="5" t="inlineStr">
        <is>
          <t>Outcome not related to interest</t>
        </is>
      </c>
      <c r="H493" s="5" t="inlineStr">
        <is>
          <t>Outcome not related to interest</t>
        </is>
      </c>
      <c r="I493" s="86" t="n">
        <v>76</v>
      </c>
      <c r="J493" s="86" t="n">
        <v>431</v>
      </c>
    </row>
    <row r="494">
      <c r="A494" s="86" t="inlineStr">
        <is>
          <t>Development of an Artificial Intelligence-based Diabetic Retinopathy Screening Tool for Optos Ultra-Widefield Imaging</t>
        </is>
      </c>
      <c r="B494" s="86" t="inlineStr">
        <is>
          <t>Peto, T.</t>
        </is>
      </c>
      <c r="C494" s="86" t="n">
        <v>2021</v>
      </c>
      <c r="D494" s="86" t="inlineStr">
        <is>
          <t>Included</t>
        </is>
      </c>
      <c r="E494" s="86" t="inlineStr">
        <is>
          <t>Insufficient to constrct confusion matrix</t>
        </is>
      </c>
      <c r="F494" s="86" t="inlineStr">
        <is>
          <t>Insufficient to constrct confusion matrix</t>
        </is>
      </c>
      <c r="G494" s="86" t="inlineStr">
        <is>
          <t>Insufficient to constrct confusion matrix</t>
        </is>
      </c>
      <c r="H494" s="86" t="inlineStr">
        <is>
          <t>Insufficient to constrct confusion matrix</t>
        </is>
      </c>
      <c r="I494" s="86" t="inlineStr">
        <is>
          <t>Insufficient to constrct confusion matrix</t>
        </is>
      </c>
      <c r="J494" s="86" t="inlineStr">
        <is>
          <t>Insufficient to constrct confusion matrix</t>
        </is>
      </c>
    </row>
    <row r="495">
      <c r="A495" s="86" t="inlineStr">
        <is>
          <t>Accuracy of a Diabetic Retinopathy Grading Algorithm used with a Hand-Held Fundus Camera in Southern Malawi</t>
        </is>
      </c>
      <c r="B495" s="86" t="inlineStr">
        <is>
          <t>Aslan, J.</t>
        </is>
      </c>
      <c r="C495" s="86" t="n">
        <v>2021</v>
      </c>
      <c r="D495" s="86" t="inlineStr">
        <is>
          <t>Included</t>
        </is>
      </c>
      <c r="E495" s="5" t="inlineStr">
        <is>
          <t>Outcome not related to interest</t>
        </is>
      </c>
      <c r="F495" s="5" t="inlineStr">
        <is>
          <t>Outcome not related to interest</t>
        </is>
      </c>
      <c r="G495" s="5" t="inlineStr">
        <is>
          <t>Outcome not related to interest</t>
        </is>
      </c>
      <c r="H495" s="5" t="inlineStr">
        <is>
          <t>Outcome not related to interest</t>
        </is>
      </c>
      <c r="I495" s="86" t="n">
        <v>77</v>
      </c>
      <c r="J495" s="86" t="n">
        <v>432</v>
      </c>
    </row>
    <row r="496">
      <c r="A496" s="86" t="inlineStr">
        <is>
          <t>Testing of Thirteen Artificial Intelligence Algorithms for Diabetic Retinopathy using Fundus Images from Finland</t>
        </is>
      </c>
      <c r="B496" s="86" t="inlineStr">
        <is>
          <t>Huhtinen, P.</t>
        </is>
      </c>
      <c r="C496" s="86" t="n">
        <v>2021</v>
      </c>
      <c r="D496" s="86" t="inlineStr">
        <is>
          <t>Included</t>
        </is>
      </c>
      <c r="E496" s="86" t="inlineStr">
        <is>
          <t>Insufficient to constrct confusion matrix</t>
        </is>
      </c>
      <c r="F496" s="86" t="inlineStr">
        <is>
          <t>Insufficient to constrct confusion matrix</t>
        </is>
      </c>
      <c r="G496" s="86" t="inlineStr">
        <is>
          <t>Insufficient to constrct confusion matrix</t>
        </is>
      </c>
      <c r="H496" s="86" t="inlineStr">
        <is>
          <t>Insufficient to constrct confusion matrix</t>
        </is>
      </c>
      <c r="I496" s="86" t="inlineStr">
        <is>
          <t>Insufficient to constrct confusion matrix</t>
        </is>
      </c>
      <c r="J496" s="86" t="inlineStr">
        <is>
          <t>Insufficient to constrct confusion matrix</t>
        </is>
      </c>
    </row>
    <row r="497">
      <c r="A497" s="86" t="inlineStr">
        <is>
          <t>Performance Evaluation of Software-Assisted Diabetic Retinopathy Screening</t>
        </is>
      </c>
      <c r="B497" s="86" t="inlineStr">
        <is>
          <t>Nissen, T.</t>
        </is>
      </c>
      <c r="C497" s="86" t="n">
        <v>2021</v>
      </c>
      <c r="D497" s="86" t="inlineStr">
        <is>
          <t>Included</t>
        </is>
      </c>
      <c r="E497" s="86" t="inlineStr">
        <is>
          <t>Not deep learning</t>
        </is>
      </c>
      <c r="F497" s="86" t="inlineStr">
        <is>
          <t>Not deep learning</t>
        </is>
      </c>
      <c r="G497" s="86" t="inlineStr">
        <is>
          <t>Not deep learning</t>
        </is>
      </c>
      <c r="H497" s="86" t="inlineStr">
        <is>
          <t>Not deep learning</t>
        </is>
      </c>
      <c r="I497" s="86" t="inlineStr">
        <is>
          <t>Not deep learning</t>
        </is>
      </c>
      <c r="J497" s="86" t="inlineStr">
        <is>
          <t>Not deep learning</t>
        </is>
      </c>
    </row>
    <row r="498">
      <c r="A498" s="86" t="inlineStr">
        <is>
          <t>Deep residual transfer learning for automatic diagnosis and grading of diabetic retinopathy</t>
        </is>
      </c>
      <c r="B498" s="86" t="inlineStr">
        <is>
          <t>Martinez-Murcia, F.J.</t>
        </is>
      </c>
      <c r="C498" s="86" t="n">
        <v>2021</v>
      </c>
      <c r="D498" s="86" t="inlineStr">
        <is>
          <t>Included</t>
        </is>
      </c>
      <c r="E498" s="5" t="inlineStr">
        <is>
          <t>Outcome not related to interest</t>
        </is>
      </c>
      <c r="F498" s="5" t="inlineStr">
        <is>
          <t>Outcome not related to interest</t>
        </is>
      </c>
      <c r="G498" s="5" t="inlineStr">
        <is>
          <t>Outcome not related to interest</t>
        </is>
      </c>
      <c r="H498" s="5" t="inlineStr">
        <is>
          <t>Outcome not related to interest</t>
        </is>
      </c>
      <c r="I498" s="5" t="inlineStr">
        <is>
          <t>Retrospective study</t>
        </is>
      </c>
      <c r="J498" s="86" t="n">
        <v>433</v>
      </c>
    </row>
    <row r="499">
      <c r="A499" s="86" t="inlineStr">
        <is>
          <t>Novel stage optimized image processing to improve deep learning driven diagnosis of early diabetic retinopathy</t>
        </is>
      </c>
      <c r="B499" s="86" t="inlineStr">
        <is>
          <t>Yee, E.</t>
        </is>
      </c>
      <c r="C499" s="86" t="n">
        <v>2021</v>
      </c>
      <c r="D499" s="86" t="inlineStr">
        <is>
          <t>Included</t>
        </is>
      </c>
      <c r="E499" s="5" t="inlineStr">
        <is>
          <t>Outcome not related to interest</t>
        </is>
      </c>
      <c r="F499" s="5" t="inlineStr">
        <is>
          <t>Outcome not related to interest</t>
        </is>
      </c>
      <c r="G499" s="5" t="inlineStr">
        <is>
          <t>Outcome not related to interest</t>
        </is>
      </c>
      <c r="H499" s="5" t="inlineStr">
        <is>
          <t>Outcome not related to interest</t>
        </is>
      </c>
      <c r="I499" s="5" t="inlineStr">
        <is>
          <t>Retrospective study</t>
        </is>
      </c>
      <c r="J499" s="86" t="n">
        <v>434</v>
      </c>
    </row>
    <row r="500">
      <c r="A500" s="86" t="inlineStr">
        <is>
          <t>Deep learning based ocular disease classification using retinal fundus images</t>
        </is>
      </c>
      <c r="B500" s="86" t="inlineStr">
        <is>
          <t>Shrivastava, A.</t>
        </is>
      </c>
      <c r="C500" s="86" t="n">
        <v>2021</v>
      </c>
      <c r="D500" s="86" t="inlineStr">
        <is>
          <t>Included</t>
        </is>
      </c>
      <c r="E500" s="5" t="inlineStr">
        <is>
          <t>Outcome not related to interest</t>
        </is>
      </c>
      <c r="F500" s="5" t="inlineStr">
        <is>
          <t>Outcome not related to interest</t>
        </is>
      </c>
      <c r="G500" s="5" t="inlineStr">
        <is>
          <t>Outcome not related to interest</t>
        </is>
      </c>
      <c r="H500" s="5" t="inlineStr">
        <is>
          <t>Outcome not related to interest</t>
        </is>
      </c>
      <c r="I500" s="5" t="inlineStr">
        <is>
          <t>Retrospective study</t>
        </is>
      </c>
      <c r="J500" s="86" t="n">
        <v>435</v>
      </c>
    </row>
    <row r="501">
      <c r="A501" s="86" t="inlineStr">
        <is>
          <t>LEAP: Lesion-aware prediction of diabetic macular edema grades from color fundus images using deep learning</t>
        </is>
      </c>
      <c r="B501" s="86" t="inlineStr">
        <is>
          <t>Kamble, R.</t>
        </is>
      </c>
      <c r="C501" s="86" t="n">
        <v>2021</v>
      </c>
      <c r="D501" s="86" t="inlineStr">
        <is>
          <t>Included</t>
        </is>
      </c>
      <c r="E501" s="5" t="inlineStr">
        <is>
          <t>Outcome not related to interest</t>
        </is>
      </c>
      <c r="F501" s="5" t="inlineStr">
        <is>
          <t>Outcome not related to interest</t>
        </is>
      </c>
      <c r="G501" s="5" t="inlineStr">
        <is>
          <t>Outcome not related to interest</t>
        </is>
      </c>
      <c r="H501" s="5" t="inlineStr">
        <is>
          <t>Outcome not related to interest</t>
        </is>
      </c>
      <c r="I501" s="5" t="inlineStr">
        <is>
          <t>Retrospective study</t>
        </is>
      </c>
      <c r="J501" s="86" t="n">
        <v>436</v>
      </c>
    </row>
    <row r="502">
      <c r="A502" s="86" t="inlineStr">
        <is>
          <t>Deep learning architecture based on segmented fundus image features for classification of diabetic retinopathy</t>
        </is>
      </c>
      <c r="B502" s="86" t="inlineStr">
        <is>
          <t>Das, S.</t>
        </is>
      </c>
      <c r="C502" s="86" t="n">
        <v>2021</v>
      </c>
      <c r="D502" s="86" t="inlineStr">
        <is>
          <t>Included</t>
        </is>
      </c>
      <c r="E502" s="5" t="inlineStr">
        <is>
          <t>Outcome not related to interest</t>
        </is>
      </c>
      <c r="F502" s="5" t="inlineStr">
        <is>
          <t>Outcome not related to interest</t>
        </is>
      </c>
      <c r="G502" s="5" t="inlineStr">
        <is>
          <t>Outcome not related to interest</t>
        </is>
      </c>
      <c r="H502" s="5" t="inlineStr">
        <is>
          <t>Outcome not related to interest</t>
        </is>
      </c>
      <c r="I502" s="5" t="inlineStr">
        <is>
          <t>Retrospective study</t>
        </is>
      </c>
      <c r="J502" s="86" t="n">
        <v>437</v>
      </c>
    </row>
    <row r="503">
      <c r="A503" s="86" t="inlineStr">
        <is>
          <t>Remote screening of diabetic retinopathy using ultra-widefield retinal imaging</t>
        </is>
      </c>
      <c r="B503" s="86" t="inlineStr">
        <is>
          <t>Kato, A.</t>
        </is>
      </c>
      <c r="C503" s="86" t="n">
        <v>2021</v>
      </c>
      <c r="D503" s="86" t="inlineStr">
        <is>
          <t>Included</t>
        </is>
      </c>
      <c r="E503" s="86" t="inlineStr">
        <is>
          <t>Not deep learning</t>
        </is>
      </c>
      <c r="F503" s="86" t="inlineStr">
        <is>
          <t>Not deep learning</t>
        </is>
      </c>
      <c r="G503" s="86" t="inlineStr">
        <is>
          <t>Not deep learning</t>
        </is>
      </c>
      <c r="H503" s="86" t="inlineStr">
        <is>
          <t>Not deep learning</t>
        </is>
      </c>
      <c r="I503" s="86" t="inlineStr">
        <is>
          <t>Not deep learning</t>
        </is>
      </c>
      <c r="J503" s="86" t="inlineStr">
        <is>
          <t>Not deep learning</t>
        </is>
      </c>
    </row>
    <row r="504">
      <c r="A504" s="86" t="inlineStr">
        <is>
          <t>Using deep learning to identify diabetic retinopathy in Saudi Arabia</t>
        </is>
      </c>
      <c r="B504" s="86" t="inlineStr">
        <is>
          <t>AlAkeely, A.</t>
        </is>
      </c>
      <c r="C504" s="86" t="n">
        <v>2021</v>
      </c>
      <c r="D504" s="86" t="inlineStr">
        <is>
          <t>Included</t>
        </is>
      </c>
      <c r="E504" s="86" t="inlineStr">
        <is>
          <t>Insufficient to constrct confusion matrix</t>
        </is>
      </c>
      <c r="F504" s="86" t="inlineStr">
        <is>
          <t>Insufficient to constrct confusion matrix</t>
        </is>
      </c>
      <c r="G504" s="86" t="inlineStr">
        <is>
          <t>Insufficient to constrct confusion matrix</t>
        </is>
      </c>
      <c r="H504" s="86" t="inlineStr">
        <is>
          <t>Insufficient to constrct confusion matrix</t>
        </is>
      </c>
      <c r="I504" s="86" t="inlineStr">
        <is>
          <t>Insufficient to constrct confusion matrix</t>
        </is>
      </c>
      <c r="J504" s="86" t="inlineStr">
        <is>
          <t>Insufficient to constrct confusion matrix</t>
        </is>
      </c>
    </row>
    <row r="505">
      <c r="A505" s="86" t="inlineStr">
        <is>
          <t>Automated machine learning model for the classification of retinal diseases from ultra-widefield pseudocolor fundus images</t>
        </is>
      </c>
      <c r="B505" s="86" t="inlineStr">
        <is>
          <t>Antaki, F.</t>
        </is>
      </c>
      <c r="C505" s="86" t="n">
        <v>2021</v>
      </c>
      <c r="D505" s="86" t="inlineStr">
        <is>
          <t>Included</t>
        </is>
      </c>
      <c r="E505" s="5" t="inlineStr">
        <is>
          <t>Outcome not related to interest</t>
        </is>
      </c>
      <c r="F505" s="5" t="inlineStr">
        <is>
          <t>Outcome not related to interest</t>
        </is>
      </c>
      <c r="G505" s="5" t="inlineStr">
        <is>
          <t>Outcome not related to interest</t>
        </is>
      </c>
      <c r="H505" s="5" t="inlineStr">
        <is>
          <t>Outcome not related to interest</t>
        </is>
      </c>
      <c r="I505" s="5" t="inlineStr">
        <is>
          <t>Retrospective study</t>
        </is>
      </c>
      <c r="J505" s="86" t="n">
        <v>438</v>
      </c>
    </row>
    <row r="506">
      <c r="A506" s="86" t="inlineStr">
        <is>
          <t>Automated screening of moderately severe and severe nonproliferative diabetic retinopathy (NPDR) from 7-field color fundus photographs (7F-CFP) using deep learning (DL)</t>
        </is>
      </c>
      <c r="B506" s="86" t="inlineStr">
        <is>
          <t>Benmansour, F.</t>
        </is>
      </c>
      <c r="C506" s="86" t="n">
        <v>2021</v>
      </c>
      <c r="D506" s="86" t="inlineStr">
        <is>
          <t>Included</t>
        </is>
      </c>
      <c r="E506" s="5" t="inlineStr">
        <is>
          <t>Outcome not related to interest</t>
        </is>
      </c>
      <c r="F506" s="5" t="inlineStr">
        <is>
          <t>Outcome not related to interest</t>
        </is>
      </c>
      <c r="G506" s="5" t="inlineStr">
        <is>
          <t>Outcome not related to interest</t>
        </is>
      </c>
      <c r="H506" s="5" t="inlineStr">
        <is>
          <t>Outcome not related to interest</t>
        </is>
      </c>
      <c r="I506" s="5" t="inlineStr">
        <is>
          <t>Retrospective study</t>
        </is>
      </c>
      <c r="J506" s="86" t="n">
        <v>439</v>
      </c>
    </row>
    <row r="507">
      <c r="A507" s="86" t="inlineStr">
        <is>
          <t>The effect of dataset size on pretraining and transfer learning for diabetic retinopathy in narrow field to widefield domain shift</t>
        </is>
      </c>
      <c r="B507" s="86" t="inlineStr">
        <is>
          <t>Sarhan, M.H.</t>
        </is>
      </c>
      <c r="C507" s="86" t="n">
        <v>2021</v>
      </c>
      <c r="D507" s="86" t="inlineStr">
        <is>
          <t>Included</t>
        </is>
      </c>
      <c r="E507" s="5" t="inlineStr">
        <is>
          <t>Outcome not related to interest</t>
        </is>
      </c>
      <c r="F507" s="5" t="inlineStr">
        <is>
          <t>Outcome not related to interest</t>
        </is>
      </c>
      <c r="G507" s="5" t="inlineStr">
        <is>
          <t>Outcome not related to interest</t>
        </is>
      </c>
      <c r="H507" s="5" t="inlineStr">
        <is>
          <t>Outcome not related to interest</t>
        </is>
      </c>
      <c r="I507" s="5" t="inlineStr">
        <is>
          <t>Retrospective study</t>
        </is>
      </c>
      <c r="J507" s="86" t="n">
        <v>440</v>
      </c>
    </row>
    <row r="508">
      <c r="A508" s="86" t="inlineStr">
        <is>
          <t>Artificial intelligence-based detection of diabetic retinopathy using retinal imaging and traditional risk factors</t>
        </is>
      </c>
      <c r="B508" s="86" t="inlineStr">
        <is>
          <t>Saha, S.K.</t>
        </is>
      </c>
      <c r="C508" s="86" t="n">
        <v>2021</v>
      </c>
      <c r="D508" s="86" t="inlineStr">
        <is>
          <t>Included</t>
        </is>
      </c>
      <c r="E508" s="5" t="inlineStr">
        <is>
          <t>Outcome not related to interest</t>
        </is>
      </c>
      <c r="F508" s="5" t="inlineStr">
        <is>
          <t>Outcome not related to interest</t>
        </is>
      </c>
      <c r="G508" s="5" t="inlineStr">
        <is>
          <t>Outcome not related to interest</t>
        </is>
      </c>
      <c r="H508" s="5" t="inlineStr">
        <is>
          <t>Outcome not related to interest</t>
        </is>
      </c>
      <c r="I508" s="5" t="inlineStr">
        <is>
          <t>Retrospective study</t>
        </is>
      </c>
      <c r="J508" s="86" t="n">
        <v>441</v>
      </c>
    </row>
    <row r="509">
      <c r="A509" s="86" t="inlineStr">
        <is>
          <t>Democratizing AI for DR: Automated selftraining to address label scarcity for deep learning in diabetic retinopathy classification</t>
        </is>
      </c>
      <c r="B509" s="86" t="inlineStr">
        <is>
          <t>Korot, E.</t>
        </is>
      </c>
      <c r="C509" s="86" t="n">
        <v>2021</v>
      </c>
      <c r="D509" s="86" t="inlineStr">
        <is>
          <t>Included</t>
        </is>
      </c>
      <c r="E509" s="5" t="inlineStr">
        <is>
          <t>Outcome not related to interest</t>
        </is>
      </c>
      <c r="F509" s="5" t="inlineStr">
        <is>
          <t>Outcome not related to interest</t>
        </is>
      </c>
      <c r="G509" s="5" t="inlineStr">
        <is>
          <t>Outcome not related to interest</t>
        </is>
      </c>
      <c r="H509" s="5" t="inlineStr">
        <is>
          <t>Outcome not related to interest</t>
        </is>
      </c>
      <c r="I509" s="5" t="inlineStr">
        <is>
          <t>Retrospective study</t>
        </is>
      </c>
      <c r="J509" s="86" t="n">
        <v>442</v>
      </c>
    </row>
    <row r="510">
      <c r="A510" s="86" t="inlineStr">
        <is>
          <t>Deep learning approach for automated detection of retinal pathology from ultrawidefield retinal images</t>
        </is>
      </c>
      <c r="B510" s="86" t="inlineStr">
        <is>
          <t>Hu, M.</t>
        </is>
      </c>
      <c r="C510" s="86" t="n">
        <v>2021</v>
      </c>
      <c r="D510" s="86" t="inlineStr">
        <is>
          <t>Included</t>
        </is>
      </c>
      <c r="E510" s="5" t="inlineStr">
        <is>
          <t>Outcome not related to interest</t>
        </is>
      </c>
      <c r="F510" s="5" t="inlineStr">
        <is>
          <t>Outcome not related to interest</t>
        </is>
      </c>
      <c r="G510" s="5" t="inlineStr">
        <is>
          <t>Outcome not related to interest</t>
        </is>
      </c>
      <c r="H510" s="5" t="inlineStr">
        <is>
          <t>Outcome not related to interest</t>
        </is>
      </c>
      <c r="I510" s="5" t="inlineStr">
        <is>
          <t>Retrospective study</t>
        </is>
      </c>
      <c r="J510" s="86" t="n">
        <v>443</v>
      </c>
    </row>
    <row r="511">
      <c r="A511" s="86" t="inlineStr">
        <is>
          <t>Retiprogram: A clinical decision suport system for diabetic retinopathy with predictive value</t>
        </is>
      </c>
      <c r="B511" s="86" t="inlineStr">
        <is>
          <t>Blanco, M.E.S.</t>
        </is>
      </c>
      <c r="C511" s="86" t="n">
        <v>2021</v>
      </c>
      <c r="D511" s="86" t="inlineStr">
        <is>
          <t>Included</t>
        </is>
      </c>
      <c r="E511" s="5" t="inlineStr">
        <is>
          <t>Outcome not related to interest</t>
        </is>
      </c>
      <c r="F511" s="5" t="inlineStr">
        <is>
          <t>Outcome not related to interest</t>
        </is>
      </c>
      <c r="G511" s="5" t="inlineStr">
        <is>
          <t>Outcome not related to interest</t>
        </is>
      </c>
      <c r="H511" s="5" t="inlineStr">
        <is>
          <t>Outcome not related to interest</t>
        </is>
      </c>
      <c r="I511" s="5" t="inlineStr">
        <is>
          <t>Outcome not related to interest</t>
        </is>
      </c>
      <c r="J511" s="5" t="inlineStr">
        <is>
          <t>Outcome not related to interest</t>
        </is>
      </c>
    </row>
    <row r="512">
      <c r="A512" s="86" t="inlineStr">
        <is>
          <t>Multiple Lesions Insertion: Boosting diabetic retinopathy screening through Poisson editing</t>
        </is>
      </c>
      <c r="B512" s="86" t="inlineStr">
        <is>
          <t>Yu, Z.</t>
        </is>
      </c>
      <c r="C512" s="86" t="n">
        <v>2021</v>
      </c>
      <c r="D512" s="86" t="inlineStr">
        <is>
          <t>Included</t>
        </is>
      </c>
      <c r="E512" s="5" t="inlineStr">
        <is>
          <t>Outcome not related to interest</t>
        </is>
      </c>
      <c r="F512" s="5" t="inlineStr">
        <is>
          <t>Outcome not related to interest</t>
        </is>
      </c>
      <c r="G512" s="5" t="inlineStr">
        <is>
          <t>Outcome not related to interest</t>
        </is>
      </c>
      <c r="H512" s="5" t="inlineStr">
        <is>
          <t>Outcome not related to interest</t>
        </is>
      </c>
      <c r="I512" s="5" t="inlineStr">
        <is>
          <t>Retrospective study</t>
        </is>
      </c>
      <c r="J512" s="86" t="n">
        <v>444</v>
      </c>
    </row>
    <row r="513">
      <c r="A513" s="86" t="inlineStr">
        <is>
          <t>Multi-class multi-label ophthalmological disease detection using transfer learning based convolutional neural network</t>
        </is>
      </c>
      <c r="B513" s="86" t="inlineStr">
        <is>
          <t>Gour, N.</t>
        </is>
      </c>
      <c r="C513" s="86" t="n">
        <v>2021</v>
      </c>
      <c r="D513" s="86" t="inlineStr">
        <is>
          <t>Included</t>
        </is>
      </c>
      <c r="E513" s="5" t="inlineStr">
        <is>
          <t>Outcome not related to interest</t>
        </is>
      </c>
      <c r="F513" s="5" t="inlineStr">
        <is>
          <t>Outcome not related to interest</t>
        </is>
      </c>
      <c r="G513" s="5" t="inlineStr">
        <is>
          <t>Outcome not related to interest</t>
        </is>
      </c>
      <c r="H513" s="5" t="inlineStr">
        <is>
          <t>Outcome not related to interest</t>
        </is>
      </c>
      <c r="I513" s="5" t="inlineStr">
        <is>
          <t>Outcome not related to interest</t>
        </is>
      </c>
      <c r="J513" s="5" t="inlineStr">
        <is>
          <t>Outcome not related to interest</t>
        </is>
      </c>
    </row>
    <row r="514">
      <c r="A514" s="86" t="inlineStr">
        <is>
          <t>Screening for Diabetic Retinopathy in Endocrinology Clinics by Using Handheld Cameras and Applying Artificial Intelligence Algorithms</t>
        </is>
      </c>
      <c r="B514" s="86" t="inlineStr">
        <is>
          <t>Dvey-Aharon, Z.</t>
        </is>
      </c>
      <c r="C514" s="86" t="n">
        <v>2021</v>
      </c>
      <c r="D514" s="86" t="inlineStr">
        <is>
          <t>Included</t>
        </is>
      </c>
      <c r="E514" s="86" t="n">
        <v>29</v>
      </c>
      <c r="F514" s="86" t="n">
        <v>73</v>
      </c>
      <c r="G514" s="5" t="inlineStr">
        <is>
          <t>Outcome not related to interest</t>
        </is>
      </c>
      <c r="H514" s="5" t="inlineStr">
        <is>
          <t>Outcome not related to interest</t>
        </is>
      </c>
      <c r="I514" s="5" t="n">
        <v>78</v>
      </c>
      <c r="J514" s="86" t="n">
        <v>445</v>
      </c>
    </row>
    <row r="515">
      <c r="A515" s="86" t="inlineStr">
        <is>
          <t>Diabetic Retinopathy Detection Using Local Extrema Quantized Haralick Features with Long Short-Term Memory Network</t>
        </is>
      </c>
      <c r="B515" s="86" t="inlineStr">
        <is>
          <t>Ashir, A.M.</t>
        </is>
      </c>
      <c r="C515" s="86" t="n">
        <v>2021</v>
      </c>
      <c r="D515" s="86" t="inlineStr">
        <is>
          <t>Included</t>
        </is>
      </c>
      <c r="E515" s="5" t="inlineStr">
        <is>
          <t>Outcome not related to interest</t>
        </is>
      </c>
      <c r="F515" s="5" t="inlineStr">
        <is>
          <t>Outcome not related to interest</t>
        </is>
      </c>
      <c r="G515" s="5" t="inlineStr">
        <is>
          <t>Outcome not related to interest</t>
        </is>
      </c>
      <c r="H515" s="5" t="inlineStr">
        <is>
          <t>Outcome not related to interest</t>
        </is>
      </c>
      <c r="I515" s="5" t="inlineStr">
        <is>
          <t>Retrospective study</t>
        </is>
      </c>
      <c r="J515" s="86" t="n">
        <v>446</v>
      </c>
    </row>
    <row r="516">
      <c r="A516" s="86" t="inlineStr">
        <is>
          <t>Identification of diabetic retinopathy using deep learning algorithm and blood vessel extraction</t>
        </is>
      </c>
      <c r="B516" s="86" t="inlineStr">
        <is>
          <t>Swamy, G.A.</t>
        </is>
      </c>
      <c r="C516" s="86" t="n">
        <v>2021</v>
      </c>
      <c r="D516" s="86" t="inlineStr">
        <is>
          <t>Included</t>
        </is>
      </c>
      <c r="E516" s="5" t="inlineStr">
        <is>
          <t>Outcome not related to interest</t>
        </is>
      </c>
      <c r="F516" s="5" t="inlineStr">
        <is>
          <t>Outcome not related to interest</t>
        </is>
      </c>
      <c r="G516" s="5" t="inlineStr">
        <is>
          <t>Outcome not related to interest</t>
        </is>
      </c>
      <c r="H516" s="5" t="inlineStr">
        <is>
          <t>Outcome not related to interest</t>
        </is>
      </c>
      <c r="I516" s="5" t="inlineStr">
        <is>
          <t>Retrospective study</t>
        </is>
      </c>
      <c r="J516" s="86" t="n">
        <v>447</v>
      </c>
    </row>
    <row r="517">
      <c r="A517" s="86" t="inlineStr">
        <is>
          <t>Artificial intelligence-based screening for diabetic retinopathy at community hospital.</t>
        </is>
      </c>
      <c r="B517" s="86" t="inlineStr">
        <is>
          <t>He, Jie</t>
        </is>
      </c>
      <c r="C517" s="86" t="n">
        <v>2020</v>
      </c>
      <c r="D517" s="86" t="inlineStr">
        <is>
          <t>Included</t>
        </is>
      </c>
      <c r="E517" s="5" t="inlineStr">
        <is>
          <t>Outcome not related to interest</t>
        </is>
      </c>
      <c r="F517" s="86" t="n">
        <v>74</v>
      </c>
      <c r="G517" s="5" t="inlineStr">
        <is>
          <t>Outcome not related to interest</t>
        </is>
      </c>
      <c r="H517" s="5" t="inlineStr">
        <is>
          <t>Outcome not related to interest</t>
        </is>
      </c>
      <c r="I517" s="86" t="n">
        <v>79</v>
      </c>
      <c r="J517" s="86" t="n">
        <v>448</v>
      </c>
    </row>
    <row r="518">
      <c r="A518" s="86" t="inlineStr">
        <is>
          <t>DMENet: Diabetic Macular Edema diagnosis using Hierarchical Ensemble of CNNs.</t>
        </is>
      </c>
      <c r="B518" s="86" t="inlineStr">
        <is>
          <t>Singh, Rajeev Kumar</t>
        </is>
      </c>
      <c r="C518" s="86" t="n">
        <v>2020</v>
      </c>
      <c r="D518" s="86" t="inlineStr">
        <is>
          <t>Included</t>
        </is>
      </c>
      <c r="E518" s="5" t="inlineStr">
        <is>
          <t>Outcome not related to interest</t>
        </is>
      </c>
      <c r="F518" s="5" t="inlineStr">
        <is>
          <t>Outcome not related to interest</t>
        </is>
      </c>
      <c r="G518" s="5" t="inlineStr">
        <is>
          <t>Outcome not related to interest</t>
        </is>
      </c>
      <c r="H518" s="5" t="inlineStr">
        <is>
          <t>Outcome not related to interest</t>
        </is>
      </c>
      <c r="I518" s="5" t="inlineStr">
        <is>
          <t>Retrospective study</t>
        </is>
      </c>
      <c r="J518" s="86" t="n">
        <v>449</v>
      </c>
    </row>
    <row r="519">
      <c r="A519" s="86" t="inlineStr">
        <is>
          <t>Validation of Deep Convolutional Neural Network-based algorithm for detection of diabetic retinopathy - Artificial intelligence versus clinician for screening.</t>
        </is>
      </c>
      <c r="B519" s="86" t="inlineStr">
        <is>
          <t>Shah, Payal</t>
        </is>
      </c>
      <c r="C519" s="86" t="n">
        <v>2020</v>
      </c>
      <c r="D519" s="86" t="inlineStr">
        <is>
          <t>Included</t>
        </is>
      </c>
      <c r="E519" s="5" t="inlineStr">
        <is>
          <t>Outcome not related to interest</t>
        </is>
      </c>
      <c r="F519" s="5" t="inlineStr">
        <is>
          <t>Outcome not related to interest</t>
        </is>
      </c>
      <c r="G519" s="5" t="inlineStr">
        <is>
          <t>Outcome not related to interest</t>
        </is>
      </c>
      <c r="H519" s="5" t="inlineStr">
        <is>
          <t>Outcome not related to interest</t>
        </is>
      </c>
      <c r="I519" s="5" t="inlineStr">
        <is>
          <t>Retrospective study</t>
        </is>
      </c>
      <c r="J519" s="86" t="n">
        <v>450</v>
      </c>
    </row>
    <row r="520">
      <c r="A520" s="86" t="inlineStr">
        <is>
          <t>Medios- An offline, smartphone-based artificial intelligence algorithm for the diagnosis of diabetic retinopathy.</t>
        </is>
      </c>
      <c r="B520" s="86" t="inlineStr">
        <is>
          <t>Sosale, Bhavana</t>
        </is>
      </c>
      <c r="C520" s="86" t="n">
        <v>2020</v>
      </c>
      <c r="D520" s="86" t="inlineStr">
        <is>
          <t>Included</t>
        </is>
      </c>
      <c r="E520" s="5" t="inlineStr">
        <is>
          <t>Outcome not related to interest</t>
        </is>
      </c>
      <c r="F520" s="86" t="n">
        <v>75</v>
      </c>
      <c r="G520" s="5" t="inlineStr">
        <is>
          <t>Outcome not related to interest</t>
        </is>
      </c>
      <c r="H520" s="5" t="inlineStr">
        <is>
          <t>Outcome not related to interest</t>
        </is>
      </c>
      <c r="I520" s="5" t="n">
        <v>80</v>
      </c>
      <c r="J520" s="86" t="n">
        <v>451</v>
      </c>
    </row>
    <row r="521">
      <c r="A521" s="86" t="inlineStr">
        <is>
          <t>Deep and Densely Connected Networks for Classification of Diabetic Retinopathy.</t>
        </is>
      </c>
      <c r="B521" s="86" t="inlineStr">
        <is>
          <t>Riaz, Hamza</t>
        </is>
      </c>
      <c r="C521" s="86" t="n">
        <v>2020</v>
      </c>
      <c r="D521" s="86" t="inlineStr">
        <is>
          <t>Included</t>
        </is>
      </c>
      <c r="E521" s="5" t="inlineStr">
        <is>
          <t>Outcome not related to interest</t>
        </is>
      </c>
      <c r="F521" s="5" t="inlineStr">
        <is>
          <t>Outcome not related to interest</t>
        </is>
      </c>
      <c r="G521" s="5" t="inlineStr">
        <is>
          <t>Outcome not related to interest</t>
        </is>
      </c>
      <c r="H521" s="5" t="inlineStr">
        <is>
          <t>Outcome not related to interest</t>
        </is>
      </c>
      <c r="I521" s="5" t="inlineStr">
        <is>
          <t>Retrospective study</t>
        </is>
      </c>
      <c r="J521" s="86" t="n">
        <v>452</v>
      </c>
    </row>
    <row r="522">
      <c r="A522" s="86" t="inlineStr">
        <is>
          <t>Evaluation of a deep learning system for the joint automated detection of diabetic retinopathy and age-related macular degeneration.</t>
        </is>
      </c>
      <c r="B522" s="86" t="inlineStr">
        <is>
          <t>Gonz獺lez-Gonzalo, Cristina</t>
        </is>
      </c>
      <c r="C522" s="86" t="n">
        <v>2020</v>
      </c>
      <c r="D522" s="86" t="inlineStr">
        <is>
          <t>Included</t>
        </is>
      </c>
      <c r="E522" s="5" t="inlineStr">
        <is>
          <t>Outcome not related to interest</t>
        </is>
      </c>
      <c r="F522" s="86" t="n">
        <v>76</v>
      </c>
      <c r="G522" s="5" t="inlineStr">
        <is>
          <t>Outcome not related to interest</t>
        </is>
      </c>
      <c r="H522" s="5" t="inlineStr">
        <is>
          <t>Outcome not related to interest</t>
        </is>
      </c>
      <c r="I522" s="5" t="inlineStr">
        <is>
          <t>Retrospective study</t>
        </is>
      </c>
      <c r="J522" s="86" t="n">
        <v>453</v>
      </c>
    </row>
    <row r="523">
      <c r="A523" s="86" t="inlineStr">
        <is>
          <t>Validation of a Deep Learning Algorithm for Diabetic Retinopathy.</t>
        </is>
      </c>
      <c r="B523" s="86" t="inlineStr">
        <is>
          <t>Romero-Aroca, Pedro</t>
        </is>
      </c>
      <c r="C523" s="86" t="n">
        <v>2020</v>
      </c>
      <c r="D523" s="86" t="inlineStr">
        <is>
          <t>Included</t>
        </is>
      </c>
      <c r="E523" s="5" t="inlineStr">
        <is>
          <t>Outcome not related to interest</t>
        </is>
      </c>
      <c r="F523" s="5" t="inlineStr">
        <is>
          <t>Outcome not related to interest</t>
        </is>
      </c>
      <c r="G523" s="5" t="inlineStr">
        <is>
          <t>Outcome not related to interest</t>
        </is>
      </c>
      <c r="H523" s="5" t="n">
        <v>28</v>
      </c>
      <c r="I523" s="5" t="inlineStr">
        <is>
          <t>Retrospective study</t>
        </is>
      </c>
      <c r="J523" s="86" t="n">
        <v>454</v>
      </c>
    </row>
    <row r="524">
      <c r="A524" s="86" t="inlineStr">
        <is>
          <t>Towards implementation of AI in New Zealand national diabetic screening program: Cloud-based, robust, and bespoke.</t>
        </is>
      </c>
      <c r="B524" s="86" t="inlineStr">
        <is>
          <t>Xie, Li</t>
        </is>
      </c>
      <c r="C524" s="86" t="n">
        <v>2020</v>
      </c>
      <c r="D524" s="86" t="inlineStr">
        <is>
          <t>Included</t>
        </is>
      </c>
      <c r="E524" s="5" t="inlineStr">
        <is>
          <t>Outcome not related to interest</t>
        </is>
      </c>
      <c r="F524" s="5" t="inlineStr">
        <is>
          <t>Outcome not related to interest</t>
        </is>
      </c>
      <c r="G524" s="5" t="inlineStr">
        <is>
          <t>Outcome not related to interest</t>
        </is>
      </c>
      <c r="H524" s="5" t="inlineStr">
        <is>
          <t>Outcome not related to interest</t>
        </is>
      </c>
      <c r="I524" s="5" t="inlineStr">
        <is>
          <t>Retrospective study</t>
        </is>
      </c>
      <c r="J524" s="86" t="n">
        <v>455</v>
      </c>
    </row>
    <row r="525">
      <c r="A525" s="86" t="inlineStr">
        <is>
          <t>Simple, Mobile-based Artificial Intelligence Algorithm in the detection of Diabetic Retinopathy (SMART) study.</t>
        </is>
      </c>
      <c r="B525" s="86" t="inlineStr">
        <is>
          <t>Sosale, Bhavana</t>
        </is>
      </c>
      <c r="C525" s="86" t="n">
        <v>2020</v>
      </c>
      <c r="D525" s="86" t="inlineStr">
        <is>
          <t>Included</t>
        </is>
      </c>
      <c r="E525" s="5" t="inlineStr">
        <is>
          <t>Outcome not related to interest</t>
        </is>
      </c>
      <c r="F525" s="86" t="n">
        <v>77</v>
      </c>
      <c r="G525" s="5" t="inlineStr">
        <is>
          <t>Outcome not related to interest</t>
        </is>
      </c>
      <c r="H525" s="5" t="inlineStr">
        <is>
          <t>Outcome not related to interest</t>
        </is>
      </c>
      <c r="I525" s="86" t="n">
        <v>81</v>
      </c>
      <c r="J525" s="86" t="n">
        <v>456</v>
      </c>
    </row>
    <row r="526">
      <c r="A526" s="86" t="inlineStr">
        <is>
          <t>Deep Learning Frameworks for Diabetic Retinopathy Detection with Smartphone-based Retinal Imaging Systems.</t>
        </is>
      </c>
      <c r="B526" s="86" t="inlineStr">
        <is>
          <t>Hacisoftaoglu, Recep E</t>
        </is>
      </c>
      <c r="C526" s="86" t="n">
        <v>2020</v>
      </c>
      <c r="D526" s="86" t="inlineStr">
        <is>
          <t>Included</t>
        </is>
      </c>
      <c r="E526" s="5" t="inlineStr">
        <is>
          <t>Outcome not related to interest</t>
        </is>
      </c>
      <c r="F526" s="5" t="inlineStr">
        <is>
          <t>Outcome not related to interest</t>
        </is>
      </c>
      <c r="G526" s="5" t="inlineStr">
        <is>
          <t>Outcome not related to interest</t>
        </is>
      </c>
      <c r="H526" s="5" t="inlineStr">
        <is>
          <t>Outcome not related to interest</t>
        </is>
      </c>
      <c r="I526" s="5" t="inlineStr">
        <is>
          <t>Retrospective study</t>
        </is>
      </c>
      <c r="J526" s="86" t="n">
        <v>457</v>
      </c>
    </row>
    <row r="527">
      <c r="A527" s="86" t="inlineStr">
        <is>
          <t>Detection of Diabetic Retinopathy Using Bichannel Convolutional Neural Network.</t>
        </is>
      </c>
      <c r="B527" s="86" t="inlineStr">
        <is>
          <t>Pao, Shu-I</t>
        </is>
      </c>
      <c r="C527" s="86" t="n">
        <v>2020</v>
      </c>
      <c r="D527" s="86" t="inlineStr">
        <is>
          <t>Included</t>
        </is>
      </c>
      <c r="E527" s="5" t="inlineStr">
        <is>
          <t>Outcome not related to interest</t>
        </is>
      </c>
      <c r="F527" s="5" t="inlineStr">
        <is>
          <t>Outcome not related to interest</t>
        </is>
      </c>
      <c r="G527" s="5" t="inlineStr">
        <is>
          <t>Outcome not related to interest</t>
        </is>
      </c>
      <c r="H527" s="5" t="inlineStr">
        <is>
          <t>Outcome not related to interest</t>
        </is>
      </c>
      <c r="I527" s="5" t="inlineStr">
        <is>
          <t>Retrospective study</t>
        </is>
      </c>
      <c r="J527" s="86" t="n">
        <v>458</v>
      </c>
    </row>
    <row r="528">
      <c r="A528" s="86" t="inlineStr">
        <is>
          <t>Comparison of smartphone-based retinal imaging systems for diabetic retinopathy detection using deep learning.</t>
        </is>
      </c>
      <c r="B528" s="86" t="inlineStr">
        <is>
          <t>Karakaya, Mahmut</t>
        </is>
      </c>
      <c r="C528" s="86" t="n">
        <v>2020</v>
      </c>
      <c r="D528" s="86" t="inlineStr">
        <is>
          <t>Included</t>
        </is>
      </c>
      <c r="E528" s="86" t="inlineStr">
        <is>
          <t>Insufficient to constrct confusion matrix</t>
        </is>
      </c>
      <c r="F528" s="86" t="inlineStr">
        <is>
          <t>Insufficient to constrct confusion matrix</t>
        </is>
      </c>
      <c r="G528" s="86" t="inlineStr">
        <is>
          <t>Insufficient to constrct confusion matrix</t>
        </is>
      </c>
      <c r="H528" s="86" t="inlineStr">
        <is>
          <t>Insufficient to constrct confusion matrix</t>
        </is>
      </c>
      <c r="I528" s="86" t="inlineStr">
        <is>
          <t>Insufficient to constrct confusion matrix</t>
        </is>
      </c>
      <c r="J528" s="86" t="inlineStr">
        <is>
          <t>Insufficient to constrct confusion matrix</t>
        </is>
      </c>
    </row>
    <row r="529">
      <c r="A529" s="86" t="inlineStr">
        <is>
          <t>Hybrid machine learning architecture for automated detection and grading of retinal images for diabetic retinopathy.</t>
        </is>
      </c>
      <c r="B529" s="86" t="inlineStr">
        <is>
          <t>Narayanan, Barath Narayanan</t>
        </is>
      </c>
      <c r="C529" s="86" t="n">
        <v>2020</v>
      </c>
      <c r="D529" s="86" t="inlineStr">
        <is>
          <t>Included</t>
        </is>
      </c>
      <c r="E529" s="5" t="inlineStr">
        <is>
          <t>Outcome not related to interest</t>
        </is>
      </c>
      <c r="F529" s="5" t="inlineStr">
        <is>
          <t>Outcome not related to interest</t>
        </is>
      </c>
      <c r="G529" s="5" t="inlineStr">
        <is>
          <t>Outcome not related to interest</t>
        </is>
      </c>
      <c r="H529" s="5" t="inlineStr">
        <is>
          <t>Outcome not related to interest</t>
        </is>
      </c>
      <c r="I529" s="5" t="inlineStr">
        <is>
          <t>Retrospective study</t>
        </is>
      </c>
      <c r="J529" s="86" t="n">
        <v>459</v>
      </c>
    </row>
    <row r="530">
      <c r="A530" s="86" t="inlineStr">
        <is>
          <t>A convolutional neural network for the screening and staging of diabetic retinopathy.</t>
        </is>
      </c>
      <c r="B530" s="86" t="inlineStr">
        <is>
          <t>Shaban, Mohamed</t>
        </is>
      </c>
      <c r="C530" s="86" t="n">
        <v>2020</v>
      </c>
      <c r="D530" s="86" t="inlineStr">
        <is>
          <t>Included</t>
        </is>
      </c>
      <c r="E530" s="5" t="inlineStr">
        <is>
          <t>Outcome not related to interest</t>
        </is>
      </c>
      <c r="F530" s="5" t="inlineStr">
        <is>
          <t>Outcome not related to interest</t>
        </is>
      </c>
      <c r="G530" s="5" t="inlineStr">
        <is>
          <t>Outcome not related to interest</t>
        </is>
      </c>
      <c r="H530" s="5" t="inlineStr">
        <is>
          <t>Outcome not related to interest</t>
        </is>
      </c>
      <c r="I530" s="5" t="inlineStr">
        <is>
          <t>Retrospective study</t>
        </is>
      </c>
      <c r="J530" s="86" t="n">
        <v>460</v>
      </c>
    </row>
    <row r="531">
      <c r="A531" s="86" t="inlineStr">
        <is>
          <t>Expert-validated estimation of diagnostic uncertainty for deep neural networks in diabetic retinopathy detection.</t>
        </is>
      </c>
      <c r="B531" s="86" t="inlineStr">
        <is>
          <t>Ayhan, Murat Se癟kin</t>
        </is>
      </c>
      <c r="C531" s="86" t="n">
        <v>2020</v>
      </c>
      <c r="D531" s="86" t="inlineStr">
        <is>
          <t>Included</t>
        </is>
      </c>
      <c r="E531" s="5" t="inlineStr">
        <is>
          <t>Outcome not related to interest</t>
        </is>
      </c>
      <c r="F531" s="5" t="inlineStr">
        <is>
          <t>Outcome not related to interest</t>
        </is>
      </c>
      <c r="G531" s="5" t="inlineStr">
        <is>
          <t>Outcome not related to interest</t>
        </is>
      </c>
      <c r="H531" s="5" t="inlineStr">
        <is>
          <t>Outcome not related to interest</t>
        </is>
      </c>
      <c r="I531" s="5" t="inlineStr">
        <is>
          <t>Retrospective study</t>
        </is>
      </c>
      <c r="J531" s="86" t="n">
        <v>461</v>
      </c>
    </row>
    <row r="532">
      <c r="A532" s="86" t="inlineStr">
        <is>
          <t>DR|GRADUATE: Uncertainty-aware deep learning-based diabetic retinopathy grading in eye fundus images.</t>
        </is>
      </c>
      <c r="B532" s="86" t="inlineStr">
        <is>
          <t>Ara繳jo, Teresa</t>
        </is>
      </c>
      <c r="C532" s="86" t="n">
        <v>2020</v>
      </c>
      <c r="D532" s="86" t="inlineStr">
        <is>
          <t>Included</t>
        </is>
      </c>
      <c r="E532" s="5" t="inlineStr">
        <is>
          <t>Outcome not related to interest</t>
        </is>
      </c>
      <c r="F532" s="5" t="inlineStr">
        <is>
          <t>Outcome not related to interest</t>
        </is>
      </c>
      <c r="G532" s="5" t="inlineStr">
        <is>
          <t>Outcome not related to interest</t>
        </is>
      </c>
      <c r="H532" s="5" t="inlineStr">
        <is>
          <t>Outcome not related to interest</t>
        </is>
      </c>
      <c r="I532" s="5" t="inlineStr">
        <is>
          <t>Retrospective study</t>
        </is>
      </c>
      <c r="J532" s="86" t="n">
        <v>462</v>
      </c>
    </row>
    <row r="533">
      <c r="A533" s="86" t="inlineStr">
        <is>
          <t>Automatic Grading System for Diabetic Retinopathy Diagnosis Using Deep Learning Artificial Intelligence Software.</t>
        </is>
      </c>
      <c r="B533" s="86" t="inlineStr">
        <is>
          <t>Wang, Xiang-Ning</t>
        </is>
      </c>
      <c r="C533" s="86" t="n">
        <v>2020</v>
      </c>
      <c r="D533" s="86" t="inlineStr">
        <is>
          <t>Included</t>
        </is>
      </c>
      <c r="E533" s="5" t="inlineStr">
        <is>
          <t>Outcome not related to interest</t>
        </is>
      </c>
      <c r="F533" s="5" t="inlineStr">
        <is>
          <t>Outcome not related to interest</t>
        </is>
      </c>
      <c r="G533" s="5" t="inlineStr">
        <is>
          <t>Outcome not related to interest</t>
        </is>
      </c>
      <c r="H533" s="5" t="inlineStr">
        <is>
          <t>Outcome not related to interest</t>
        </is>
      </c>
      <c r="I533" s="5" t="inlineStr">
        <is>
          <t>Retrospective study</t>
        </is>
      </c>
      <c r="J533" s="86" t="n">
        <v>463</v>
      </c>
    </row>
    <row r="534">
      <c r="A534" s="86" t="inlineStr">
        <is>
          <t>Coarse-to-fine classification for diabetic retinopathy grading using convolutional neural network.</t>
        </is>
      </c>
      <c r="B534" s="86" t="inlineStr">
        <is>
          <t>Wu, Zhan</t>
        </is>
      </c>
      <c r="C534" s="86" t="n">
        <v>2020</v>
      </c>
      <c r="D534" s="86" t="inlineStr">
        <is>
          <t>Included</t>
        </is>
      </c>
      <c r="E534" s="5" t="inlineStr">
        <is>
          <t>Outcome not related to interest</t>
        </is>
      </c>
      <c r="F534" s="5" t="inlineStr">
        <is>
          <t>Outcome not related to interest</t>
        </is>
      </c>
      <c r="G534" s="5" t="inlineStr">
        <is>
          <t>Outcome not related to interest</t>
        </is>
      </c>
      <c r="H534" s="5" t="inlineStr">
        <is>
          <t>Outcome not related to interest</t>
        </is>
      </c>
      <c r="I534" s="5" t="inlineStr">
        <is>
          <t>Retrospective study</t>
        </is>
      </c>
      <c r="J534" s="86" t="n">
        <v>464</v>
      </c>
    </row>
    <row r="535">
      <c r="A535" s="86" t="inlineStr">
        <is>
          <t>Automated diabetic retinopathy detection with two different retinal imaging devices using artificial intelligence: a comparison study.</t>
        </is>
      </c>
      <c r="B535" s="86" t="inlineStr">
        <is>
          <t>Sarao, Valentina</t>
        </is>
      </c>
      <c r="C535" s="86" t="n">
        <v>2020</v>
      </c>
      <c r="D535" s="86" t="inlineStr">
        <is>
          <t>Included</t>
        </is>
      </c>
      <c r="E535" s="86" t="n">
        <v>30</v>
      </c>
      <c r="F535" s="86" t="n">
        <v>78</v>
      </c>
      <c r="G535" s="5" t="inlineStr">
        <is>
          <t>Outcome not related to interest</t>
        </is>
      </c>
      <c r="H535" s="5" t="inlineStr">
        <is>
          <t>Outcome not related to interest</t>
        </is>
      </c>
      <c r="I535" s="5" t="n">
        <v>82</v>
      </c>
      <c r="J535" s="86" t="n">
        <v>465</v>
      </c>
    </row>
    <row r="536">
      <c r="A536" s="86" t="inlineStr">
        <is>
          <t>Explainable end-to-end deep learning for diabetic retinopathy detection across multiple datasets.</t>
        </is>
      </c>
      <c r="B536" s="86" t="inlineStr">
        <is>
          <t>Chetoui, Mohamed</t>
        </is>
      </c>
      <c r="C536" s="86" t="n">
        <v>2020</v>
      </c>
      <c r="D536" s="86" t="inlineStr">
        <is>
          <t>Included</t>
        </is>
      </c>
      <c r="E536" s="5" t="inlineStr">
        <is>
          <t>Outcome not related to interest</t>
        </is>
      </c>
      <c r="F536" s="5" t="inlineStr">
        <is>
          <t>Outcome not related to interest</t>
        </is>
      </c>
      <c r="G536" s="5" t="inlineStr">
        <is>
          <t>Outcome not related to interest</t>
        </is>
      </c>
      <c r="H536" s="5" t="inlineStr">
        <is>
          <t>Outcome not related to interest</t>
        </is>
      </c>
      <c r="I536" s="5" t="inlineStr">
        <is>
          <t>Retrospective study</t>
        </is>
      </c>
      <c r="J536" s="86" t="n">
        <v>466</v>
      </c>
    </row>
    <row r="537">
      <c r="A537" s="86" t="inlineStr">
        <is>
          <t>Evidence Based Prediction and Progression Monitoring on Retinal Images from Three Nations.</t>
        </is>
      </c>
      <c r="B537" s="86" t="inlineStr">
        <is>
          <t>Al Turk, Lutfiah</t>
        </is>
      </c>
      <c r="C537" s="86" t="n">
        <v>2020</v>
      </c>
      <c r="D537" s="86" t="inlineStr">
        <is>
          <t>Included</t>
        </is>
      </c>
      <c r="E537" s="5" t="inlineStr">
        <is>
          <t>Outcome not related to interest</t>
        </is>
      </c>
      <c r="F537" s="5" t="inlineStr">
        <is>
          <t>Outcome not related to interest</t>
        </is>
      </c>
      <c r="G537" s="5" t="inlineStr">
        <is>
          <t>Outcome not related to interest</t>
        </is>
      </c>
      <c r="H537" s="5" t="inlineStr">
        <is>
          <t>Outcome not related to interest</t>
        </is>
      </c>
      <c r="I537" s="5" t="inlineStr">
        <is>
          <t>Retrospective study</t>
        </is>
      </c>
      <c r="J537" s="86" t="n">
        <v>467</v>
      </c>
    </row>
    <row r="538">
      <c r="A538" s="86" t="inlineStr">
        <is>
          <t>Leveraging Multimodal Deep Learning Architecture with Retina Lesion Information to Detect Diabetic Retinopathy.</t>
        </is>
      </c>
      <c r="B538" s="86" t="inlineStr">
        <is>
          <t>Tseng, Vincent S</t>
        </is>
      </c>
      <c r="C538" s="86" t="n">
        <v>2020</v>
      </c>
      <c r="D538" s="86" t="inlineStr">
        <is>
          <t>Included</t>
        </is>
      </c>
      <c r="E538" s="5" t="inlineStr">
        <is>
          <t>Outcome not related to interest</t>
        </is>
      </c>
      <c r="F538" s="5" t="inlineStr">
        <is>
          <t>Outcome not related to interest</t>
        </is>
      </c>
      <c r="G538" s="5" t="inlineStr">
        <is>
          <t>Outcome not related to interest</t>
        </is>
      </c>
      <c r="H538" s="5" t="inlineStr">
        <is>
          <t>Outcome not related to interest</t>
        </is>
      </c>
      <c r="I538" s="5" t="inlineStr">
        <is>
          <t>Retrospective study</t>
        </is>
      </c>
      <c r="J538" s="86" t="n">
        <v>468</v>
      </c>
    </row>
    <row r="539">
      <c r="A539" s="86" t="inlineStr">
        <is>
          <t>Non-uniform Label Smoothing for Diabetic Retinopathy Grading from Retinal Fundus Images with Deep Neural Networks.</t>
        </is>
      </c>
      <c r="B539" s="86" t="inlineStr">
        <is>
          <t>Galdran, Adrian</t>
        </is>
      </c>
      <c r="C539" s="86" t="n">
        <v>2020</v>
      </c>
      <c r="D539" s="86" t="inlineStr">
        <is>
          <t>Included</t>
        </is>
      </c>
      <c r="E539" s="5" t="inlineStr">
        <is>
          <t>Outcome not related to interest</t>
        </is>
      </c>
      <c r="F539" s="5" t="inlineStr">
        <is>
          <t>Outcome not related to interest</t>
        </is>
      </c>
      <c r="G539" s="5" t="inlineStr">
        <is>
          <t>Outcome not related to interest</t>
        </is>
      </c>
      <c r="H539" s="5" t="inlineStr">
        <is>
          <t>Outcome not related to interest</t>
        </is>
      </c>
      <c r="I539" s="5" t="inlineStr">
        <is>
          <t>Retrospective study</t>
        </is>
      </c>
      <c r="J539" s="86" t="n">
        <v>469</v>
      </c>
    </row>
    <row r="540">
      <c r="A540" s="86" t="inlineStr">
        <is>
          <t>Simultaneous Diagnosis of Severity and Features of Diabetic Retinopathy in Fundus Photography Using Deep Learning.</t>
        </is>
      </c>
      <c r="B540" s="86" t="inlineStr">
        <is>
          <t>Wang, Juan</t>
        </is>
      </c>
      <c r="C540" s="86" t="n">
        <v>2020</v>
      </c>
      <c r="D540" s="86" t="inlineStr">
        <is>
          <t>Included</t>
        </is>
      </c>
      <c r="E540" s="5" t="inlineStr">
        <is>
          <t>Outcome not related to interest</t>
        </is>
      </c>
      <c r="F540" s="5" t="inlineStr">
        <is>
          <t>Outcome not related to interest</t>
        </is>
      </c>
      <c r="G540" s="5" t="inlineStr">
        <is>
          <t>Outcome not related to interest</t>
        </is>
      </c>
      <c r="H540" s="5" t="inlineStr">
        <is>
          <t>Outcome not related to interest</t>
        </is>
      </c>
      <c r="I540" s="5" t="inlineStr">
        <is>
          <t>Retrospective study</t>
        </is>
      </c>
      <c r="J540" s="86" t="n">
        <v>470</v>
      </c>
    </row>
    <row r="541">
      <c r="A541" s="86" t="inlineStr">
        <is>
          <t>Automatic Identification of Referral-Warranted Diabetic Retinopathy Using Deep Learning on Mobile Phone Images.</t>
        </is>
      </c>
      <c r="B541" s="86" t="inlineStr">
        <is>
          <t>Ludwig, Cassie A</t>
        </is>
      </c>
      <c r="C541" s="86" t="n">
        <v>2020</v>
      </c>
      <c r="D541" s="86" t="inlineStr">
        <is>
          <t>Included</t>
        </is>
      </c>
      <c r="E541" s="5" t="inlineStr">
        <is>
          <t>Outcome not related to interest</t>
        </is>
      </c>
      <c r="F541" s="5" t="inlineStr">
        <is>
          <t>Outcome not related to interest</t>
        </is>
      </c>
      <c r="G541" s="5" t="inlineStr">
        <is>
          <t>Outcome not related to interest</t>
        </is>
      </c>
      <c r="H541" s="5" t="inlineStr">
        <is>
          <t>Outcome not related to interest</t>
        </is>
      </c>
      <c r="I541" s="5" t="inlineStr">
        <is>
          <t>Retrospective study</t>
        </is>
      </c>
      <c r="J541" s="86" t="n">
        <v>471</v>
      </c>
    </row>
    <row r="542">
      <c r="A542" s="86" t="inlineStr">
        <is>
          <t>Automated detection of mild and multi-class diabetic eye diseases using deep learning.</t>
        </is>
      </c>
      <c r="B542" s="86" t="inlineStr">
        <is>
          <t>Sarki, Rubina</t>
        </is>
      </c>
      <c r="C542" s="86" t="n">
        <v>2020</v>
      </c>
      <c r="D542" s="86" t="inlineStr">
        <is>
          <t>Included</t>
        </is>
      </c>
      <c r="E542" s="5" t="inlineStr">
        <is>
          <t>Outcome not related to interest</t>
        </is>
      </c>
      <c r="F542" s="5" t="inlineStr">
        <is>
          <t>Outcome not related to interest</t>
        </is>
      </c>
      <c r="G542" s="5" t="inlineStr">
        <is>
          <t>Outcome not related to interest</t>
        </is>
      </c>
      <c r="H542" s="5" t="inlineStr">
        <is>
          <t>Outcome not related to interest</t>
        </is>
      </c>
      <c r="I542" s="5" t="inlineStr">
        <is>
          <t>Retrospective study</t>
        </is>
      </c>
      <c r="J542" s="86" t="n">
        <v>472</v>
      </c>
    </row>
    <row r="543">
      <c r="A543" s="86" t="inlineStr">
        <is>
          <t>Artificial intelligence-enabled screening for diabetic retinopathy: a real-world, multicenter and prospective study.</t>
        </is>
      </c>
      <c r="B543" s="86" t="inlineStr">
        <is>
          <t>Zhang, Yifei</t>
        </is>
      </c>
      <c r="C543" s="86" t="n">
        <v>2020</v>
      </c>
      <c r="D543" s="86" t="inlineStr">
        <is>
          <t>Included</t>
        </is>
      </c>
      <c r="E543" s="5" t="inlineStr">
        <is>
          <t>Outcome not related to interest</t>
        </is>
      </c>
      <c r="F543" s="86" t="n">
        <v>79</v>
      </c>
      <c r="G543" s="5" t="inlineStr">
        <is>
          <t>Outcome not related to interest</t>
        </is>
      </c>
      <c r="H543" s="5" t="inlineStr">
        <is>
          <t>Outcome not related to interest</t>
        </is>
      </c>
      <c r="I543" s="86" t="n">
        <v>83</v>
      </c>
      <c r="J543" s="86" t="n">
        <v>473</v>
      </c>
    </row>
    <row r="544">
      <c r="A544" s="86" t="inlineStr">
        <is>
          <t>Explainable Diabetic Retinopathy using EfficientNET.</t>
        </is>
      </c>
      <c r="B544" s="86" t="inlineStr">
        <is>
          <t>Chetoui, Mohamed</t>
        </is>
      </c>
      <c r="C544" s="86" t="n">
        <v>2020</v>
      </c>
      <c r="D544" s="86" t="inlineStr">
        <is>
          <t>Included</t>
        </is>
      </c>
      <c r="E544" s="5" t="inlineStr">
        <is>
          <t>Outcome not related to interest</t>
        </is>
      </c>
      <c r="F544" s="5" t="inlineStr">
        <is>
          <t>Outcome not related to interest</t>
        </is>
      </c>
      <c r="G544" s="5" t="inlineStr">
        <is>
          <t>Outcome not related to interest</t>
        </is>
      </c>
      <c r="H544" s="5" t="inlineStr">
        <is>
          <t>Outcome not related to interest</t>
        </is>
      </c>
      <c r="I544" s="5" t="inlineStr">
        <is>
          <t>Retrospective study</t>
        </is>
      </c>
      <c r="J544" s="86" t="n">
        <v>474</v>
      </c>
    </row>
    <row r="545">
      <c r="A545" s="86" t="inlineStr">
        <is>
          <t>A Multi-Label Deep Learning Model with Interpretable Grad-CAM for Diabetic Retinopathy Classification.</t>
        </is>
      </c>
      <c r="B545" s="86" t="inlineStr">
        <is>
          <t>Jiang, Hongyang</t>
        </is>
      </c>
      <c r="C545" s="86" t="n">
        <v>2020</v>
      </c>
      <c r="D545" s="86" t="inlineStr">
        <is>
          <t>Included</t>
        </is>
      </c>
      <c r="E545" s="5" t="inlineStr">
        <is>
          <t>Outcome not related to interest</t>
        </is>
      </c>
      <c r="F545" s="5" t="inlineStr">
        <is>
          <t>Outcome not related to interest</t>
        </is>
      </c>
      <c r="G545" s="5" t="inlineStr">
        <is>
          <t>Outcome not related to interest</t>
        </is>
      </c>
      <c r="H545" s="5" t="inlineStr">
        <is>
          <t>Outcome not related to interest</t>
        </is>
      </c>
      <c r="I545" s="5" t="inlineStr">
        <is>
          <t>Retrospective study</t>
        </is>
      </c>
      <c r="J545" s="86" t="n">
        <v>475</v>
      </c>
    </row>
    <row r="546">
      <c r="A546" s="86" t="inlineStr">
        <is>
          <t>Longitudinal Screening for Diabetic Retinopathy in a Nationwide Screening Program: Comparing Deep Learning and Human Graders.</t>
        </is>
      </c>
      <c r="B546" s="86" t="inlineStr">
        <is>
          <t>Limwattanayingyong, Jirawut</t>
        </is>
      </c>
      <c r="C546" s="86" t="n">
        <v>2020</v>
      </c>
      <c r="D546" s="86" t="inlineStr">
        <is>
          <t>Included</t>
        </is>
      </c>
      <c r="E546" s="5" t="inlineStr">
        <is>
          <t>Outcome not related to interest</t>
        </is>
      </c>
      <c r="F546" s="5" t="inlineStr">
        <is>
          <t>Outcome not related to interest</t>
        </is>
      </c>
      <c r="G546" s="5" t="inlineStr">
        <is>
          <t>Outcome not related to interest</t>
        </is>
      </c>
      <c r="H546" s="86" t="n">
        <v>29</v>
      </c>
      <c r="I546" s="5" t="inlineStr">
        <is>
          <t>Retrospective study</t>
        </is>
      </c>
      <c r="J546" s="86" t="n">
        <v>476</v>
      </c>
    </row>
    <row r="547">
      <c r="A547" s="86" t="inlineStr">
        <is>
          <t>[Using artificial intelligence as an initial triage strategy in diabetic retinopathy screening program in China].</t>
        </is>
      </c>
      <c r="B547" s="86" t="inlineStr">
        <is>
          <t>Li, Z X</t>
        </is>
      </c>
      <c r="C547" s="86" t="n">
        <v>2020</v>
      </c>
      <c r="D547" s="86" t="inlineStr">
        <is>
          <t>Included</t>
        </is>
      </c>
      <c r="E547" s="5" t="inlineStr">
        <is>
          <t>Outcome not related to interest</t>
        </is>
      </c>
      <c r="F547" s="5" t="inlineStr">
        <is>
          <t>Outcome not related to interest</t>
        </is>
      </c>
      <c r="G547" s="5" t="inlineStr">
        <is>
          <t>Outcome not related to interest</t>
        </is>
      </c>
      <c r="H547" s="5" t="inlineStr">
        <is>
          <t>Outcome not related to interest</t>
        </is>
      </c>
      <c r="I547" s="5" t="n">
        <v>84</v>
      </c>
      <c r="J547" s="86" t="n">
        <v>477</v>
      </c>
    </row>
    <row r="548">
      <c r="A548" s="86" t="inlineStr">
        <is>
          <t>A comprehensive diagnosis system for early signs and different diabetic retinopathy grades using fundus retinal images based on pathological changes detection</t>
        </is>
      </c>
      <c r="B548" s="86" t="inlineStr">
        <is>
          <t>AbdelMaksoud, E.</t>
        </is>
      </c>
      <c r="C548" s="86" t="n">
        <v>2020</v>
      </c>
      <c r="D548" s="86" t="inlineStr">
        <is>
          <t>Included</t>
        </is>
      </c>
      <c r="E548" s="5" t="inlineStr">
        <is>
          <t>Outcome not related to interest</t>
        </is>
      </c>
      <c r="F548" s="5" t="inlineStr">
        <is>
          <t>Outcome not related to interest</t>
        </is>
      </c>
      <c r="G548" s="5" t="inlineStr">
        <is>
          <t>Outcome not related to interest</t>
        </is>
      </c>
      <c r="H548" s="5" t="inlineStr">
        <is>
          <t>Outcome not related to interest</t>
        </is>
      </c>
      <c r="I548" s="5" t="inlineStr">
        <is>
          <t>Retrospective study</t>
        </is>
      </c>
      <c r="J548" s="86" t="n">
        <v>478</v>
      </c>
    </row>
    <row r="549">
      <c r="A549" s="86" t="inlineStr">
        <is>
          <t>A lightweight CNN for Diabetic Retinopathy classification from fundus images</t>
        </is>
      </c>
      <c r="B549" s="86" t="inlineStr">
        <is>
          <t>Gayathri, S.</t>
        </is>
      </c>
      <c r="C549" s="86" t="n">
        <v>2020</v>
      </c>
      <c r="D549" s="86" t="inlineStr">
        <is>
          <t>Included</t>
        </is>
      </c>
      <c r="E549" s="5" t="inlineStr">
        <is>
          <t>Outcome not related to interest</t>
        </is>
      </c>
      <c r="F549" s="5" t="inlineStr">
        <is>
          <t>Outcome not related to interest</t>
        </is>
      </c>
      <c r="G549" s="5" t="inlineStr">
        <is>
          <t>Outcome not related to interest</t>
        </is>
      </c>
      <c r="H549" s="5" t="inlineStr">
        <is>
          <t>Outcome not related to interest</t>
        </is>
      </c>
      <c r="I549" s="5" t="inlineStr">
        <is>
          <t>Retrospective study</t>
        </is>
      </c>
      <c r="J549" s="86" t="n">
        <v>479</v>
      </c>
    </row>
    <row r="550">
      <c r="A550" s="86" t="inlineStr">
        <is>
          <t>Improved CNN based data analytic model for diabetic retinopathy prediction</t>
        </is>
      </c>
      <c r="B550" s="86" t="inlineStr">
        <is>
          <t>Vidhya, K.</t>
        </is>
      </c>
      <c r="C550" s="86" t="n">
        <v>2020</v>
      </c>
      <c r="D550" s="86" t="inlineStr">
        <is>
          <t>Included</t>
        </is>
      </c>
      <c r="E550" s="5" t="inlineStr">
        <is>
          <t>Outcome not related to interest</t>
        </is>
      </c>
      <c r="F550" s="5" t="inlineStr">
        <is>
          <t>Outcome not related to interest</t>
        </is>
      </c>
      <c r="G550" s="5" t="inlineStr">
        <is>
          <t>Outcome not related to interest</t>
        </is>
      </c>
      <c r="H550" s="5" t="inlineStr">
        <is>
          <t>Outcome not related to interest</t>
        </is>
      </c>
      <c r="I550" s="5" t="inlineStr">
        <is>
          <t>Retrospective study</t>
        </is>
      </c>
      <c r="J550" s="86" t="n">
        <v>480</v>
      </c>
    </row>
    <row r="551">
      <c r="A551" s="86" t="inlineStr">
        <is>
          <t>A preliminary study of a deep learning assisted diagnostic system with an artificial intelligence for detection of retina disease</t>
        </is>
      </c>
      <c r="B551" s="86" t="inlineStr">
        <is>
          <t>Chen, T.-L.</t>
        </is>
      </c>
      <c r="C551" s="86" t="n">
        <v>2020</v>
      </c>
      <c r="D551" s="86" t="inlineStr">
        <is>
          <t>Included</t>
        </is>
      </c>
      <c r="E551" s="5" t="inlineStr">
        <is>
          <t>Outcome not related to interest</t>
        </is>
      </c>
      <c r="F551" s="5" t="inlineStr">
        <is>
          <t>Outcome not related to interest</t>
        </is>
      </c>
      <c r="G551" s="5" t="inlineStr">
        <is>
          <t>Outcome not related to interest</t>
        </is>
      </c>
      <c r="H551" s="5" t="inlineStr">
        <is>
          <t>Outcome not related to interest</t>
        </is>
      </c>
      <c r="I551" s="86" t="n">
        <v>85</v>
      </c>
      <c r="J551" s="86" t="n">
        <v>481</v>
      </c>
    </row>
    <row r="552">
      <c r="A552" s="86" t="inlineStr">
        <is>
          <t>A deep learning interpretable classifier for diabetic retinopathy disease grading</t>
        </is>
      </c>
      <c r="B552" s="86" t="inlineStr">
        <is>
          <t>de la Torre, J.</t>
        </is>
      </c>
      <c r="C552" s="86" t="n">
        <v>2020</v>
      </c>
      <c r="D552" s="86" t="inlineStr">
        <is>
          <t>Included</t>
        </is>
      </c>
      <c r="E552" s="5" t="inlineStr">
        <is>
          <t>Outcome not related to interest</t>
        </is>
      </c>
      <c r="F552" s="5" t="inlineStr">
        <is>
          <t>Outcome not related to interest</t>
        </is>
      </c>
      <c r="G552" s="5" t="inlineStr">
        <is>
          <t>Outcome not related to interest</t>
        </is>
      </c>
      <c r="H552" s="5" t="inlineStr">
        <is>
          <t>Outcome not related to interest</t>
        </is>
      </c>
      <c r="I552" s="5" t="inlineStr">
        <is>
          <t>Retrospective study</t>
        </is>
      </c>
      <c r="J552" s="86" t="n">
        <v>482</v>
      </c>
    </row>
    <row r="553">
      <c r="A553" s="86" t="inlineStr">
        <is>
          <t>Design of a portable retinal imaging module with automatic abnormality detection</t>
        </is>
      </c>
      <c r="B553" s="86" t="inlineStr">
        <is>
          <t>Thomas, S.A.</t>
        </is>
      </c>
      <c r="C553" s="86" t="n">
        <v>2020</v>
      </c>
      <c r="D553" s="86" t="inlineStr">
        <is>
          <t>Included</t>
        </is>
      </c>
      <c r="E553" s="5" t="inlineStr">
        <is>
          <t>Outcome not related to interest</t>
        </is>
      </c>
      <c r="F553" s="5" t="inlineStr">
        <is>
          <t>Outcome not related to interest</t>
        </is>
      </c>
      <c r="G553" s="5" t="inlineStr">
        <is>
          <t>Outcome not related to interest</t>
        </is>
      </c>
      <c r="H553" s="5" t="inlineStr">
        <is>
          <t>Outcome not related to interest</t>
        </is>
      </c>
      <c r="I553" s="5" t="inlineStr">
        <is>
          <t>Retrospective study</t>
        </is>
      </c>
      <c r="J553" s="86" t="n">
        <v>483</v>
      </c>
    </row>
    <row r="554">
      <c r="A554" s="86" t="inlineStr">
        <is>
          <t>Combining MF-DFA and LSSVM for retina images classification</t>
        </is>
      </c>
      <c r="B554" s="86" t="inlineStr">
        <is>
          <t>Wang, J.</t>
        </is>
      </c>
      <c r="C554" s="86" t="n">
        <v>2020</v>
      </c>
      <c r="D554" s="86" t="inlineStr">
        <is>
          <t>Included</t>
        </is>
      </c>
      <c r="E554" s="5" t="inlineStr">
        <is>
          <t>Outcome not related to interest</t>
        </is>
      </c>
      <c r="F554" s="5" t="inlineStr">
        <is>
          <t>Outcome not related to interest</t>
        </is>
      </c>
      <c r="G554" s="5" t="inlineStr">
        <is>
          <t>Outcome not related to interest</t>
        </is>
      </c>
      <c r="H554" s="5" t="inlineStr">
        <is>
          <t>Outcome not related to interest</t>
        </is>
      </c>
      <c r="I554" s="5" t="inlineStr">
        <is>
          <t>Retrospective study</t>
        </is>
      </c>
      <c r="J554" s="86" t="n">
        <v>484</v>
      </c>
    </row>
    <row r="555">
      <c r="A555" s="86" t="inlineStr">
        <is>
          <t>Deep learning algorithm validation fordiabetic retinopathy lecture in a diabetesmellitus population.</t>
        </is>
      </c>
      <c r="B555" s="86" t="inlineStr">
        <is>
          <t>Blanco, M.E.S.</t>
        </is>
      </c>
      <c r="C555" s="86" t="n">
        <v>2020</v>
      </c>
      <c r="D555" s="86" t="inlineStr">
        <is>
          <t>Included</t>
        </is>
      </c>
      <c r="E555" s="5" t="inlineStr">
        <is>
          <t>Outcome not related to interest</t>
        </is>
      </c>
      <c r="F555" s="5" t="inlineStr">
        <is>
          <t>Outcome not related to interest</t>
        </is>
      </c>
      <c r="G555" s="5" t="inlineStr">
        <is>
          <t>Outcome not related to interest</t>
        </is>
      </c>
      <c r="H555" s="5" t="inlineStr">
        <is>
          <t>Outcome not related to interest</t>
        </is>
      </c>
      <c r="I555" s="5" t="inlineStr">
        <is>
          <t>Retrospective study</t>
        </is>
      </c>
      <c r="J555" s="86" t="n">
        <v>485</v>
      </c>
    </row>
    <row r="556">
      <c r="A556" s="86" t="inlineStr">
        <is>
          <t>Diabetic retinopathy detection in widefieldimages by using transfer learning fromhandheld narrow field images</t>
        </is>
      </c>
      <c r="B556" s="86" t="inlineStr">
        <is>
          <t>Sarhan, M.H.</t>
        </is>
      </c>
      <c r="C556" s="86" t="n">
        <v>2020</v>
      </c>
      <c r="D556" s="86" t="inlineStr">
        <is>
          <t>Included</t>
        </is>
      </c>
      <c r="E556" s="5" t="inlineStr">
        <is>
          <t>Outcome not related to interest</t>
        </is>
      </c>
      <c r="F556" s="5" t="inlineStr">
        <is>
          <t>Outcome not related to interest</t>
        </is>
      </c>
      <c r="G556" s="5" t="inlineStr">
        <is>
          <t>Outcome not related to interest</t>
        </is>
      </c>
      <c r="H556" s="5" t="inlineStr">
        <is>
          <t>Outcome not related to interest</t>
        </is>
      </c>
      <c r="I556" s="5" t="inlineStr">
        <is>
          <t>Retrospective study</t>
        </is>
      </c>
      <c r="J556" s="86" t="n">
        <v>486</v>
      </c>
    </row>
    <row r="557">
      <c r="A557" s="86" t="inlineStr">
        <is>
          <t>Screening for Diabetic Retinopathy Using Artificial Intelligence and Smartphone-BasedFundus Images</t>
        </is>
      </c>
      <c r="B557" s="86" t="inlineStr">
        <is>
          <t>Kalavar, M.</t>
        </is>
      </c>
      <c r="C557" s="86" t="n">
        <v>2020</v>
      </c>
      <c r="D557" s="86" t="inlineStr">
        <is>
          <t>Included</t>
        </is>
      </c>
      <c r="E557" s="86" t="inlineStr">
        <is>
          <t>Review</t>
        </is>
      </c>
      <c r="F557" s="86" t="inlineStr">
        <is>
          <t>Review</t>
        </is>
      </c>
      <c r="G557" s="86" t="inlineStr">
        <is>
          <t>Review</t>
        </is>
      </c>
      <c r="H557" s="86" t="inlineStr">
        <is>
          <t>Review</t>
        </is>
      </c>
      <c r="I557" s="86" t="inlineStr">
        <is>
          <t>Review</t>
        </is>
      </c>
      <c r="J557" s="86" t="inlineStr">
        <is>
          <t>Review</t>
        </is>
      </c>
    </row>
    <row r="558">
      <c r="A558" s="86" t="inlineStr">
        <is>
          <t>CANet: Cross-Disease Attention Network for Joint Diabetic Retinopathy and Diabetic Macular Edema Grading</t>
        </is>
      </c>
      <c r="B558" s="86" t="inlineStr">
        <is>
          <t>Li, X.</t>
        </is>
      </c>
      <c r="C558" s="86" t="n">
        <v>2020</v>
      </c>
      <c r="D558" s="86" t="inlineStr">
        <is>
          <t>Included</t>
        </is>
      </c>
      <c r="E558" s="5" t="inlineStr">
        <is>
          <t>Outcome not related to interest</t>
        </is>
      </c>
      <c r="F558" s="5" t="inlineStr">
        <is>
          <t>Outcome not related to interest</t>
        </is>
      </c>
      <c r="G558" s="5" t="inlineStr">
        <is>
          <t>Outcome not related to interest</t>
        </is>
      </c>
      <c r="H558" s="5" t="inlineStr">
        <is>
          <t>Outcome not related to interest</t>
        </is>
      </c>
      <c r="I558" s="5" t="inlineStr">
        <is>
          <t>Retrospective study</t>
        </is>
      </c>
      <c r="J558" s="86" t="n">
        <v>487</v>
      </c>
    </row>
    <row r="559">
      <c r="A559" s="86" t="inlineStr">
        <is>
          <t>Performance of screening algorithms for Referable Diabetic Retinopathy (RDR) and Sight Threatening Diabetic Retinopathy (STDR) on a non-mydriatic portable smartphone-based fundus camera</t>
        </is>
      </c>
      <c r="B559" s="86" t="inlineStr">
        <is>
          <t>Parthasarathy, D.R.</t>
        </is>
      </c>
      <c r="C559" s="86" t="n">
        <v>2020</v>
      </c>
      <c r="D559" s="86" t="inlineStr">
        <is>
          <t>Included</t>
        </is>
      </c>
      <c r="E559" s="5" t="inlineStr">
        <is>
          <t>Outcome not related to interest</t>
        </is>
      </c>
      <c r="F559" s="5" t="inlineStr">
        <is>
          <t>Outcome not related to interest</t>
        </is>
      </c>
      <c r="G559" s="5" t="inlineStr">
        <is>
          <t>Outcome not related to interest</t>
        </is>
      </c>
      <c r="H559" s="5" t="inlineStr">
        <is>
          <t>Outcome not related to interest</t>
        </is>
      </c>
      <c r="I559" s="5" t="inlineStr">
        <is>
          <t>Retrospective study</t>
        </is>
      </c>
      <c r="J559" s="86" t="n">
        <v>488</v>
      </c>
    </row>
    <row r="560">
      <c r="A560" s="86" t="inlineStr">
        <is>
          <t>Impact of Artificial Intelligence for Diabetic Retinopathy Screening in a Malawi, Africa Clinic</t>
        </is>
      </c>
      <c r="B560" s="86" t="inlineStr">
        <is>
          <t>Soliz, P.</t>
        </is>
      </c>
      <c r="C560" s="86" t="n">
        <v>2020</v>
      </c>
      <c r="D560" s="86" t="inlineStr">
        <is>
          <t>Included</t>
        </is>
      </c>
      <c r="E560" s="5" t="inlineStr">
        <is>
          <t>Outcome not related to interest</t>
        </is>
      </c>
      <c r="F560" s="5" t="inlineStr">
        <is>
          <t>Outcome not related to interest</t>
        </is>
      </c>
      <c r="G560" s="5" t="inlineStr">
        <is>
          <t>Outcome not related to interest</t>
        </is>
      </c>
      <c r="H560" s="5" t="inlineStr">
        <is>
          <t>Outcome not related to interest</t>
        </is>
      </c>
      <c r="I560" s="5" t="inlineStr">
        <is>
          <t>Retrospective study</t>
        </is>
      </c>
      <c r="J560" s="86" t="n">
        <v>489</v>
      </c>
    </row>
    <row r="561">
      <c r="A561" s="86" t="inlineStr">
        <is>
          <t>AI building AI: Deep learning detection of referable diabetic retinopathy sans-coding</t>
        </is>
      </c>
      <c r="B561" s="86" t="inlineStr">
        <is>
          <t>Korot, E.</t>
        </is>
      </c>
      <c r="C561" s="86" t="n">
        <v>2020</v>
      </c>
      <c r="D561" s="86" t="inlineStr">
        <is>
          <t>Included</t>
        </is>
      </c>
      <c r="E561" s="5" t="inlineStr">
        <is>
          <t>Outcome not related to interest</t>
        </is>
      </c>
      <c r="F561" s="5" t="inlineStr">
        <is>
          <t>Outcome not related to interest</t>
        </is>
      </c>
      <c r="G561" s="5" t="inlineStr">
        <is>
          <t>Outcome not related to interest</t>
        </is>
      </c>
      <c r="H561" s="5" t="inlineStr">
        <is>
          <t>Outcome not related to interest</t>
        </is>
      </c>
      <c r="I561" s="5" t="inlineStr">
        <is>
          <t>Retrospective study</t>
        </is>
      </c>
      <c r="J561" s="86" t="n">
        <v>490</v>
      </c>
    </row>
    <row r="562">
      <c r="A562" s="86" t="inlineStr">
        <is>
          <t>Validation results of a deep learning algorithm for detection of diabetic retinopathy with lesion localization from retinal fundus photographs</t>
        </is>
      </c>
      <c r="B562" s="86" t="inlineStr">
        <is>
          <t>Kesim, C.</t>
        </is>
      </c>
      <c r="C562" s="86" t="n">
        <v>2020</v>
      </c>
      <c r="D562" s="86" t="inlineStr">
        <is>
          <t>Included</t>
        </is>
      </c>
      <c r="E562" s="5" t="inlineStr">
        <is>
          <t>Outcome not related to interest</t>
        </is>
      </c>
      <c r="F562" s="5" t="inlineStr">
        <is>
          <t>Outcome not related to interest</t>
        </is>
      </c>
      <c r="G562" s="5" t="inlineStr">
        <is>
          <t>Outcome not related to interest</t>
        </is>
      </c>
      <c r="H562" s="5" t="inlineStr">
        <is>
          <t>Outcome not related to interest</t>
        </is>
      </c>
      <c r="I562" s="5" t="inlineStr">
        <is>
          <t>Retrospective study</t>
        </is>
      </c>
      <c r="J562" s="86" t="n">
        <v>491</v>
      </c>
    </row>
    <row r="563">
      <c r="A563" s="86" t="inlineStr">
        <is>
          <t>Accuracy of automated retinal software for diabetic retinopathy detection in type I diabetics vs human graders</t>
        </is>
      </c>
      <c r="B563" s="86" t="inlineStr">
        <is>
          <t>Lu, Z.E.</t>
        </is>
      </c>
      <c r="C563" s="86" t="n">
        <v>2020</v>
      </c>
      <c r="D563" s="86" t="inlineStr">
        <is>
          <t>Included</t>
        </is>
      </c>
      <c r="E563" s="86" t="n">
        <v>31</v>
      </c>
      <c r="F563" s="86" t="n">
        <v>80</v>
      </c>
      <c r="G563" s="5" t="inlineStr">
        <is>
          <t>Outcome not related to interest</t>
        </is>
      </c>
      <c r="H563" s="5" t="inlineStr">
        <is>
          <t>Outcome not related to interest</t>
        </is>
      </c>
      <c r="I563" s="5" t="n">
        <v>86</v>
      </c>
      <c r="J563" s="86" t="n">
        <v>492</v>
      </c>
    </row>
    <row r="564">
      <c r="A564" s="86" t="inlineStr">
        <is>
          <t>Automatic fundus image quality assessment: Diagnostic accuracy in clinical practice</t>
        </is>
      </c>
      <c r="B564" s="86" t="inlineStr">
        <is>
          <t>Ora獺, R.R.</t>
        </is>
      </c>
      <c r="C564" s="86" t="n">
        <v>2020</v>
      </c>
      <c r="D564" s="86" t="inlineStr">
        <is>
          <t>Included</t>
        </is>
      </c>
      <c r="E564" s="5" t="inlineStr">
        <is>
          <t>Outcome not related to interest</t>
        </is>
      </c>
      <c r="F564" s="5" t="inlineStr">
        <is>
          <t>Outcome not related to interest</t>
        </is>
      </c>
      <c r="G564" s="5" t="inlineStr">
        <is>
          <t>Outcome not related to interest</t>
        </is>
      </c>
      <c r="H564" s="5" t="inlineStr">
        <is>
          <t>Outcome not related to interest</t>
        </is>
      </c>
      <c r="I564" s="5" t="inlineStr">
        <is>
          <t>Retrospective study</t>
        </is>
      </c>
      <c r="J564" s="86" t="n">
        <v>493</v>
      </c>
    </row>
    <row r="565">
      <c r="A565" s="86" t="inlineStr">
        <is>
          <t>Developing community based diabetic referral service using deep learning on hand held, non-mydriatic fundus images</t>
        </is>
      </c>
      <c r="B565" s="86" t="inlineStr">
        <is>
          <t>Nunez Do Rio, J.M.M.</t>
        </is>
      </c>
      <c r="C565" s="86" t="n">
        <v>2020</v>
      </c>
      <c r="D565" s="86" t="inlineStr">
        <is>
          <t>Included</t>
        </is>
      </c>
      <c r="E565" s="5" t="inlineStr">
        <is>
          <t>Outcome not related to interest</t>
        </is>
      </c>
      <c r="F565" s="5" t="inlineStr">
        <is>
          <t>Outcome not related to interest</t>
        </is>
      </c>
      <c r="G565" s="5" t="inlineStr">
        <is>
          <t>Outcome not related to interest</t>
        </is>
      </c>
      <c r="H565" s="5" t="inlineStr">
        <is>
          <t>Outcome not related to interest</t>
        </is>
      </c>
      <c r="I565" s="5" t="inlineStr">
        <is>
          <t>Retrospective study</t>
        </is>
      </c>
      <c r="J565" s="86" t="n">
        <v>494</v>
      </c>
    </row>
    <row r="566">
      <c r="A566" s="86" t="inlineStr">
        <is>
          <t>Artificial intelligence-assisted diabetic retinopathy screening program: A 5-year bench to bedside translational study</t>
        </is>
      </c>
      <c r="B566" s="86" t="inlineStr">
        <is>
          <t>Ting, D.S.W.</t>
        </is>
      </c>
      <c r="C566" s="86" t="n">
        <v>2020</v>
      </c>
      <c r="D566" s="86" t="inlineStr">
        <is>
          <t>Included</t>
        </is>
      </c>
      <c r="E566" s="5" t="inlineStr">
        <is>
          <t>Outcome not related to interest</t>
        </is>
      </c>
      <c r="F566" s="5" t="inlineStr">
        <is>
          <t>Outcome not related to interest</t>
        </is>
      </c>
      <c r="G566" s="5" t="inlineStr">
        <is>
          <t>Outcome not related to interest</t>
        </is>
      </c>
      <c r="H566" s="5" t="inlineStr">
        <is>
          <t>Outcome not related to interest</t>
        </is>
      </c>
      <c r="I566" s="5" t="inlineStr">
        <is>
          <t>Retrospective study</t>
        </is>
      </c>
      <c r="J566" s="86" t="n">
        <v>495</v>
      </c>
    </row>
    <row r="567">
      <c r="A567" s="86" t="inlineStr">
        <is>
          <t>A clinical decision support system (CDSS) for diabetic retinopathy screening. Creating a clinical support application</t>
        </is>
      </c>
      <c r="B567" s="86" t="inlineStr">
        <is>
          <t>Blanco, M.E.S.</t>
        </is>
      </c>
      <c r="C567" s="86" t="n">
        <v>2020</v>
      </c>
      <c r="D567" s="86" t="inlineStr">
        <is>
          <t>Included</t>
        </is>
      </c>
      <c r="E567" s="86" t="inlineStr">
        <is>
          <t>Not deep learning</t>
        </is>
      </c>
      <c r="F567" s="86" t="inlineStr">
        <is>
          <t>Not deep learning</t>
        </is>
      </c>
      <c r="G567" s="86" t="inlineStr">
        <is>
          <t>Not deep learning</t>
        </is>
      </c>
      <c r="H567" s="86" t="inlineStr">
        <is>
          <t>Not deep learning</t>
        </is>
      </c>
      <c r="I567" s="86" t="inlineStr">
        <is>
          <t>Not deep learning</t>
        </is>
      </c>
      <c r="J567" s="86" t="inlineStr">
        <is>
          <t>Not deep learning</t>
        </is>
      </c>
    </row>
    <row r="568">
      <c r="A568" s="86" t="inlineStr">
        <is>
          <t>Using a handheld retinal camera and artificial intelligence for diabetic retinopathy screening in bolivia</t>
        </is>
      </c>
      <c r="B568" s="86" t="inlineStr">
        <is>
          <t>Barriga, E.S.</t>
        </is>
      </c>
      <c r="C568" s="86" t="n">
        <v>2020</v>
      </c>
      <c r="D568" s="86" t="inlineStr">
        <is>
          <t>Included</t>
        </is>
      </c>
      <c r="E568" s="5" t="inlineStr">
        <is>
          <t>Outcome not related to interest</t>
        </is>
      </c>
      <c r="F568" s="5" t="inlineStr">
        <is>
          <t>Outcome not related to interest</t>
        </is>
      </c>
      <c r="G568" s="5" t="inlineStr">
        <is>
          <t>Outcome not related to interest</t>
        </is>
      </c>
      <c r="H568" s="5" t="inlineStr">
        <is>
          <t>Outcome not related to interest</t>
        </is>
      </c>
      <c r="I568" s="5" t="inlineStr">
        <is>
          <t>Retrospective study</t>
        </is>
      </c>
      <c r="J568" s="86" t="n">
        <v>496</v>
      </c>
    </row>
    <row r="569">
      <c r="A569" s="86" t="inlineStr">
        <is>
          <t>A cascaded deep learning system for detecting retinal detachment and discerning macular status using ultra-widefield fundus images</t>
        </is>
      </c>
      <c r="B569" s="86" t="inlineStr">
        <is>
          <t>Li, Z.</t>
        </is>
      </c>
      <c r="C569" s="86" t="n">
        <v>2020</v>
      </c>
      <c r="D569" s="86" t="inlineStr">
        <is>
          <t>Included</t>
        </is>
      </c>
      <c r="E569" s="5" t="inlineStr">
        <is>
          <t>Outcome not related to interest</t>
        </is>
      </c>
      <c r="F569" s="5" t="inlineStr">
        <is>
          <t>Outcome not related to interest</t>
        </is>
      </c>
      <c r="G569" s="5" t="inlineStr">
        <is>
          <t>Outcome not related to interest</t>
        </is>
      </c>
      <c r="H569" s="5" t="inlineStr">
        <is>
          <t>Outcome not related to interest</t>
        </is>
      </c>
      <c r="I569" s="5" t="inlineStr">
        <is>
          <t>Retrospective study</t>
        </is>
      </c>
      <c r="J569" s="86" t="n">
        <v>497</v>
      </c>
    </row>
    <row r="570">
      <c r="A570" s="86" t="inlineStr">
        <is>
          <t>Pilot artificial intelligence based diabetic retinopathy screening programme in Poland</t>
        </is>
      </c>
      <c r="B570" s="86" t="inlineStr">
        <is>
          <t>Grzybowski, A.</t>
        </is>
      </c>
      <c r="C570" s="86" t="n">
        <v>2020</v>
      </c>
      <c r="D570" s="86" t="inlineStr">
        <is>
          <t>Included</t>
        </is>
      </c>
      <c r="E570" s="86" t="n">
        <v>32</v>
      </c>
      <c r="F570" s="86" t="n">
        <v>81</v>
      </c>
      <c r="G570" s="5" t="inlineStr">
        <is>
          <t>Outcome not related to interest</t>
        </is>
      </c>
      <c r="H570" s="5" t="inlineStr">
        <is>
          <t>Outcome not related to interest</t>
        </is>
      </c>
      <c r="I570" s="86" t="n">
        <v>87</v>
      </c>
      <c r="J570" s="86" t="n">
        <v>498</v>
      </c>
    </row>
    <row r="571">
      <c r="A571" s="86" t="inlineStr">
        <is>
          <t>Validation of a deep learning algorithm for diabetic retinopathy</t>
        </is>
      </c>
      <c r="B571" s="86" t="inlineStr">
        <is>
          <t>Relano-Barambio, N.</t>
        </is>
      </c>
      <c r="C571" s="86" t="n">
        <v>2020</v>
      </c>
      <c r="D571" s="86" t="inlineStr">
        <is>
          <t>Included</t>
        </is>
      </c>
      <c r="E571" s="86" t="inlineStr">
        <is>
          <t>Repeated article</t>
        </is>
      </c>
      <c r="F571" s="86" t="inlineStr">
        <is>
          <t>Repeated article</t>
        </is>
      </c>
      <c r="G571" s="86" t="inlineStr">
        <is>
          <t>Repeated article</t>
        </is>
      </c>
      <c r="H571" s="86" t="inlineStr">
        <is>
          <t>Repeated article</t>
        </is>
      </c>
      <c r="I571" s="86" t="inlineStr">
        <is>
          <t>Repeated article</t>
        </is>
      </c>
      <c r="J571" s="86" t="inlineStr">
        <is>
          <t>Repeated article</t>
        </is>
      </c>
    </row>
    <row r="572">
      <c r="A572" s="86" t="inlineStr">
        <is>
          <t>Automated diabetic retinopathy quality image assessment: Diagnostic accuracy in clinical practice</t>
        </is>
      </c>
      <c r="B572" s="86" t="inlineStr">
        <is>
          <t>Lopez, M.</t>
        </is>
      </c>
      <c r="C572" s="86" t="n">
        <v>2020</v>
      </c>
      <c r="D572" s="86" t="inlineStr">
        <is>
          <t>Included</t>
        </is>
      </c>
      <c r="E572" s="5" t="inlineStr">
        <is>
          <t>Outcome not related to interest</t>
        </is>
      </c>
      <c r="F572" s="5" t="inlineStr">
        <is>
          <t>Outcome not related to interest</t>
        </is>
      </c>
      <c r="G572" s="5" t="inlineStr">
        <is>
          <t>Outcome not related to interest</t>
        </is>
      </c>
      <c r="H572" s="5" t="inlineStr">
        <is>
          <t>Outcome not related to interest</t>
        </is>
      </c>
      <c r="I572" s="5" t="inlineStr">
        <is>
          <t>Retrospective study</t>
        </is>
      </c>
      <c r="J572" s="86" t="n">
        <v>499</v>
      </c>
    </row>
    <row r="573">
      <c r="A573" s="86" t="inlineStr">
        <is>
          <t>Visualizing Deep Learning Models for the Detection of Referable Diabetic Retinopathy and Glaucoma.</t>
        </is>
      </c>
      <c r="B573" s="86" t="inlineStr">
        <is>
          <t>Keel, Stuart</t>
        </is>
      </c>
      <c r="C573" s="86" t="n">
        <v>2019</v>
      </c>
      <c r="D573" s="86" t="inlineStr">
        <is>
          <t>Included</t>
        </is>
      </c>
      <c r="E573" s="5" t="inlineStr">
        <is>
          <t>Outcome not related to interest</t>
        </is>
      </c>
      <c r="F573" s="5" t="inlineStr">
        <is>
          <t>Outcome not related to interest</t>
        </is>
      </c>
      <c r="G573" s="5" t="inlineStr">
        <is>
          <t>Outcome not related to interest</t>
        </is>
      </c>
      <c r="H573" s="5" t="inlineStr">
        <is>
          <t>Outcome not related to interest</t>
        </is>
      </c>
      <c r="I573" s="5" t="inlineStr">
        <is>
          <t>Outcome not related to interest</t>
        </is>
      </c>
      <c r="J573" s="5" t="inlineStr">
        <is>
          <t>Outcome not related to interest</t>
        </is>
      </c>
    </row>
    <row r="574">
      <c r="A574" s="86" t="inlineStr">
        <is>
          <t>Using a Deep Learning Algorithm and Integrated Gradients Explanation to Assist Grading for Diabetic Retinopathy.</t>
        </is>
      </c>
      <c r="B574" s="86" t="inlineStr">
        <is>
          <t>Sayres, Rory</t>
        </is>
      </c>
      <c r="C574" s="86" t="n">
        <v>2019</v>
      </c>
      <c r="D574" s="86" t="inlineStr">
        <is>
          <t>Included</t>
        </is>
      </c>
      <c r="E574" s="5" t="inlineStr">
        <is>
          <t>Outcome not related to interest</t>
        </is>
      </c>
      <c r="F574" s="5" t="inlineStr">
        <is>
          <t>Outcome not related to interest</t>
        </is>
      </c>
      <c r="G574" s="5" t="inlineStr">
        <is>
          <t>Outcome not related to interest</t>
        </is>
      </c>
      <c r="H574" s="5" t="inlineStr">
        <is>
          <t>Outcome not related to interest</t>
        </is>
      </c>
      <c r="I574" s="5" t="inlineStr">
        <is>
          <t>Outcome not related to interest</t>
        </is>
      </c>
      <c r="J574" s="5" t="inlineStr">
        <is>
          <t>Outcome not related to interest</t>
        </is>
      </c>
    </row>
    <row r="575">
      <c r="A575" s="86" t="inlineStr">
        <is>
          <t>Development of an artificial intelligence system to classify pathology and clinical features on retinal fundus images.</t>
        </is>
      </c>
      <c r="B575" s="86" t="inlineStr">
        <is>
          <t>Stevenson, Clark H</t>
        </is>
      </c>
      <c r="C575" s="86" t="n">
        <v>2019</v>
      </c>
      <c r="D575" s="86" t="inlineStr">
        <is>
          <t>Included</t>
        </is>
      </c>
      <c r="E575" s="5" t="inlineStr">
        <is>
          <t>Outcome not related to interest</t>
        </is>
      </c>
      <c r="F575" s="5" t="inlineStr">
        <is>
          <t>Outcome not related to interest</t>
        </is>
      </c>
      <c r="G575" s="5" t="inlineStr">
        <is>
          <t>Outcome not related to interest</t>
        </is>
      </c>
      <c r="H575" s="5" t="inlineStr">
        <is>
          <t>Outcome not related to interest</t>
        </is>
      </c>
      <c r="I575" s="5" t="inlineStr">
        <is>
          <t>Outcome not related to interest</t>
        </is>
      </c>
      <c r="J575" s="5" t="inlineStr">
        <is>
          <t>Outcome not related to interest</t>
        </is>
      </c>
    </row>
    <row r="576">
      <c r="A576" s="86" t="inlineStr">
        <is>
          <t>Reproduction study using public data of: Development and validation of a deep learning algorithm for detection of diabetic retinopathy in retinal fundus photographs.</t>
        </is>
      </c>
      <c r="B576" s="86" t="inlineStr">
        <is>
          <t>Voets, Mike</t>
        </is>
      </c>
      <c r="C576" s="86" t="n">
        <v>2019</v>
      </c>
      <c r="D576" s="86" t="inlineStr">
        <is>
          <t>Included</t>
        </is>
      </c>
      <c r="E576" s="5" t="inlineStr">
        <is>
          <t>Outcome not related to interest</t>
        </is>
      </c>
      <c r="F576" s="5" t="inlineStr">
        <is>
          <t>Outcome not related to interest</t>
        </is>
      </c>
      <c r="G576" s="5" t="inlineStr">
        <is>
          <t>Outcome not related to interest</t>
        </is>
      </c>
      <c r="H576" s="5" t="inlineStr">
        <is>
          <t>Outcome not related to interest</t>
        </is>
      </c>
      <c r="I576" s="5" t="inlineStr">
        <is>
          <t>Retrospective study</t>
        </is>
      </c>
      <c r="J576" s="86" t="n">
        <v>500</v>
      </c>
    </row>
    <row r="577">
      <c r="A577" s="86" t="inlineStr">
        <is>
          <t>Artificial intelligence using deep learning to screen for referable and vision-threatening diabetic retinopathy in Africa: a clinical validation study.</t>
        </is>
      </c>
      <c r="B577" s="86" t="inlineStr">
        <is>
          <t>Bellemo, Valentina</t>
        </is>
      </c>
      <c r="C577" s="86" t="n">
        <v>2019</v>
      </c>
      <c r="D577" s="86" t="inlineStr">
        <is>
          <t>Included</t>
        </is>
      </c>
      <c r="E577" s="5" t="inlineStr">
        <is>
          <t>Outcome not related to interest</t>
        </is>
      </c>
      <c r="F577" s="5" t="inlineStr">
        <is>
          <t>Outcome not related to interest</t>
        </is>
      </c>
      <c r="G577" s="5" t="inlineStr">
        <is>
          <t>Outcome not related to interest</t>
        </is>
      </c>
      <c r="H577" s="5" t="inlineStr">
        <is>
          <t>Outcome not related to interest</t>
        </is>
      </c>
      <c r="I577" s="86" t="n">
        <v>88</v>
      </c>
      <c r="J577" s="86" t="n">
        <v>501</v>
      </c>
    </row>
    <row r="578">
      <c r="A578" s="86" t="inlineStr">
        <is>
          <t>Accuracy of ultrawide-field fundus ophthalmoscopy-assisted deep learning for detecting treatment-na簿ve proliferative diabetic retinopathy.</t>
        </is>
      </c>
      <c r="B578" s="86" t="inlineStr">
        <is>
          <t>Nagasawa, Toshihiko</t>
        </is>
      </c>
      <c r="C578" s="86" t="n">
        <v>2019</v>
      </c>
      <c r="D578" s="86" t="inlineStr">
        <is>
          <t>Included</t>
        </is>
      </c>
      <c r="E578" s="5" t="inlineStr">
        <is>
          <t>Outcome not related to interest</t>
        </is>
      </c>
      <c r="F578" s="5" t="inlineStr">
        <is>
          <t>Outcome not related to interest</t>
        </is>
      </c>
      <c r="G578" s="5" t="inlineStr">
        <is>
          <t>Outcome not related to interest</t>
        </is>
      </c>
      <c r="H578" s="5" t="inlineStr">
        <is>
          <t>Outcome not related to interest</t>
        </is>
      </c>
      <c r="I578" s="5" t="inlineStr">
        <is>
          <t>Retrospective study</t>
        </is>
      </c>
      <c r="J578" s="86" t="n">
        <v>502</v>
      </c>
    </row>
    <row r="579">
      <c r="A579" s="86" t="inlineStr">
        <is>
          <t>Diagnostic Accuracy of a Device for the Automated Detection of Diabetic Retinopathy in a Primary Care Setting.</t>
        </is>
      </c>
      <c r="B579" s="86" t="inlineStr">
        <is>
          <t>Verbraak, Frank D</t>
        </is>
      </c>
      <c r="C579" s="86" t="n">
        <v>2019</v>
      </c>
      <c r="D579" s="86" t="inlineStr">
        <is>
          <t>Included</t>
        </is>
      </c>
      <c r="E579" s="5" t="n">
        <v>1001</v>
      </c>
      <c r="F579" s="5" t="n">
        <v>1001</v>
      </c>
      <c r="G579" s="5" t="inlineStr">
        <is>
          <t>Outcome not related to interest</t>
        </is>
      </c>
      <c r="H579" s="5" t="inlineStr">
        <is>
          <t>Outcome not related to interest</t>
        </is>
      </c>
      <c r="I579" s="5" t="inlineStr">
        <is>
          <t>Retrospective study</t>
        </is>
      </c>
      <c r="J579" s="86" t="n">
        <v>503</v>
      </c>
    </row>
    <row r="580">
      <c r="A580" s="86" t="inlineStr">
        <is>
          <t>Referable diabetic retinopathy identification from eye fundus images with weighted path for convolutional neural network.</t>
        </is>
      </c>
      <c r="B580" s="86" t="inlineStr">
        <is>
          <t>Liu, Yi-Peng</t>
        </is>
      </c>
      <c r="C580" s="86" t="n">
        <v>2019</v>
      </c>
      <c r="D580" s="86" t="inlineStr">
        <is>
          <t>Included</t>
        </is>
      </c>
      <c r="E580" s="86" t="inlineStr">
        <is>
          <t>Insufficient to constrct confusion matrix</t>
        </is>
      </c>
      <c r="F580" s="86" t="inlineStr">
        <is>
          <t>Insufficient to constrct confusion matrix</t>
        </is>
      </c>
      <c r="G580" s="86" t="inlineStr">
        <is>
          <t>Insufficient to constrct confusion matrix</t>
        </is>
      </c>
      <c r="H580" s="86" t="inlineStr">
        <is>
          <t>Insufficient to constrct confusion matrix</t>
        </is>
      </c>
      <c r="I580" s="86" t="inlineStr">
        <is>
          <t>Insufficient to constrct confusion matrix</t>
        </is>
      </c>
      <c r="J580" s="86" t="inlineStr">
        <is>
          <t>Insufficient to constrct confusion matrix</t>
        </is>
      </c>
    </row>
    <row r="581">
      <c r="A581" s="86" t="inlineStr">
        <is>
          <t>Bimodal learning via trilogy of skip-connection deep networks for diabetic retinopathy risk progression identification.</t>
        </is>
      </c>
      <c r="B581" s="86" t="inlineStr">
        <is>
          <t>Hua, Cam-Hao</t>
        </is>
      </c>
      <c r="C581" s="86" t="n">
        <v>2019</v>
      </c>
      <c r="D581" s="86" t="inlineStr">
        <is>
          <t>Included</t>
        </is>
      </c>
      <c r="E581" s="5" t="inlineStr">
        <is>
          <t>Outcome not related to interest</t>
        </is>
      </c>
      <c r="F581" s="5" t="inlineStr">
        <is>
          <t>Outcome not related to interest</t>
        </is>
      </c>
      <c r="G581" s="5" t="inlineStr">
        <is>
          <t>Outcome not related to interest</t>
        </is>
      </c>
      <c r="H581" s="5" t="inlineStr">
        <is>
          <t>Outcome not related to interest</t>
        </is>
      </c>
      <c r="I581" s="5" t="inlineStr">
        <is>
          <t>Retrospective study</t>
        </is>
      </c>
      <c r="J581" s="86" t="n">
        <v>504</v>
      </c>
    </row>
    <row r="582">
      <c r="A582" s="86" t="inlineStr">
        <is>
          <t>Automated deep learning design for medical image classification by health-care professionals with no coding experience: a feasibility study.</t>
        </is>
      </c>
      <c r="B582" s="86" t="inlineStr">
        <is>
          <t>Faes, Livia</t>
        </is>
      </c>
      <c r="C582" s="86" t="n">
        <v>2019</v>
      </c>
      <c r="D582" s="86" t="inlineStr">
        <is>
          <t>Included</t>
        </is>
      </c>
      <c r="E582" s="5" t="inlineStr">
        <is>
          <t>Outcome not related to interest</t>
        </is>
      </c>
      <c r="F582" s="5" t="inlineStr">
        <is>
          <t>Outcome not related to interest</t>
        </is>
      </c>
      <c r="G582" s="5" t="inlineStr">
        <is>
          <t>Outcome not related to interest</t>
        </is>
      </c>
      <c r="H582" s="5" t="inlineStr">
        <is>
          <t>Outcome not related to interest</t>
        </is>
      </c>
      <c r="I582" s="5" t="inlineStr">
        <is>
          <t>Retrospective study</t>
        </is>
      </c>
      <c r="J582" s="86" t="n">
        <v>505</v>
      </c>
    </row>
    <row r="583">
      <c r="A583" s="86" t="inlineStr">
        <is>
          <t>Diagnostic Accuracy of Community-Based Diabetic Retinopathy Screening With an Offline Artificial Intelligence System on a Smartphone.</t>
        </is>
      </c>
      <c r="B583" s="86" t="inlineStr">
        <is>
          <t>Natarajan, Sundaram</t>
        </is>
      </c>
      <c r="C583" s="86" t="n">
        <v>2019</v>
      </c>
      <c r="D583" s="86" t="inlineStr">
        <is>
          <t>Included</t>
        </is>
      </c>
      <c r="E583" s="5" t="inlineStr">
        <is>
          <t>Outcome not related to interest</t>
        </is>
      </c>
      <c r="F583" s="86" t="n">
        <v>83</v>
      </c>
      <c r="G583" s="5" t="inlineStr">
        <is>
          <t>Outcome not related to interest</t>
        </is>
      </c>
      <c r="H583" s="5" t="inlineStr">
        <is>
          <t>Outcome not related to interest</t>
        </is>
      </c>
      <c r="I583" s="86" t="n">
        <v>89</v>
      </c>
      <c r="J583" s="86" t="n">
        <v>506</v>
      </c>
    </row>
    <row r="584">
      <c r="A584" s="86" t="inlineStr">
        <is>
          <t>Deep Learning Fundus Image Analysis for Diabetic Retinopathy and Macular Edema Grading.</t>
        </is>
      </c>
      <c r="B584" s="86" t="inlineStr">
        <is>
          <t>Sahlsten, Jaakko</t>
        </is>
      </c>
      <c r="C584" s="86" t="n">
        <v>2019</v>
      </c>
      <c r="D584" s="86" t="inlineStr">
        <is>
          <t>Included</t>
        </is>
      </c>
      <c r="E584" s="5" t="inlineStr">
        <is>
          <t>Outcome not related to interest</t>
        </is>
      </c>
      <c r="F584" s="5" t="inlineStr">
        <is>
          <t>Outcome not related to interest</t>
        </is>
      </c>
      <c r="G584" s="5" t="inlineStr">
        <is>
          <t>Outcome not related to interest</t>
        </is>
      </c>
      <c r="H584" s="5" t="inlineStr">
        <is>
          <t>Outcome not related to interest</t>
        </is>
      </c>
      <c r="I584" s="5" t="inlineStr">
        <is>
          <t>Retrospective study</t>
        </is>
      </c>
      <c r="J584" s="86" t="n">
        <v>507</v>
      </c>
    </row>
    <row r="585">
      <c r="A585" s="86" t="inlineStr">
        <is>
          <t>The Value of Automated Diabetic Retinopathy Screening with the EyeArt System: A Study of More Than 100,000 Consecutive Encounters from People with Diabetes.</t>
        </is>
      </c>
      <c r="B585" s="86" t="inlineStr">
        <is>
          <t>Bhaskaranand, Malavika</t>
        </is>
      </c>
      <c r="C585" s="86" t="n">
        <v>2019</v>
      </c>
      <c r="D585" s="86" t="inlineStr">
        <is>
          <t>Included</t>
        </is>
      </c>
      <c r="E585" s="86" t="n">
        <v>34</v>
      </c>
      <c r="F585" s="86" t="n">
        <v>84</v>
      </c>
      <c r="G585" s="5" t="inlineStr">
        <is>
          <t>Outcome not related to interest</t>
        </is>
      </c>
      <c r="H585" s="5" t="inlineStr">
        <is>
          <t>Outcome not related to interest</t>
        </is>
      </c>
      <c r="I585" s="5" t="inlineStr">
        <is>
          <t>Retrospective study</t>
        </is>
      </c>
      <c r="J585" s="86" t="n">
        <v>508</v>
      </c>
    </row>
    <row r="586">
      <c r="A586" s="86" t="inlineStr">
        <is>
          <t>Deep learning versus human graders for classifying diabetic retinopathy severity in a nationwide screening program.</t>
        </is>
      </c>
      <c r="B586" s="86" t="inlineStr">
        <is>
          <t>Raumviboonsuk, Paisan</t>
        </is>
      </c>
      <c r="C586" s="86" t="n">
        <v>2019</v>
      </c>
      <c r="D586" s="86" t="inlineStr">
        <is>
          <t>Included</t>
        </is>
      </c>
      <c r="E586" s="5" t="inlineStr">
        <is>
          <t>Outcome not related to interest</t>
        </is>
      </c>
      <c r="F586" s="5" t="inlineStr">
        <is>
          <t>Outcome not related to interest</t>
        </is>
      </c>
      <c r="G586" s="5" t="inlineStr">
        <is>
          <t>Outcome not related to interest</t>
        </is>
      </c>
      <c r="H586" s="86" t="n">
        <v>30</v>
      </c>
      <c r="I586" s="5" t="inlineStr">
        <is>
          <t>Retrospective study</t>
        </is>
      </c>
      <c r="J586" s="86" t="n">
        <v>509</v>
      </c>
    </row>
    <row r="587">
      <c r="A587" s="86" t="inlineStr">
        <is>
          <t>An Evaluation System of Fundus Photograph-Based Intelligent Diagnostic Technology for Diabetic Retinopathy and Applicability for Research.</t>
        </is>
      </c>
      <c r="B587" s="86" t="inlineStr">
        <is>
          <t>Yang, Wei-Hua</t>
        </is>
      </c>
      <c r="C587" s="86" t="n">
        <v>2019</v>
      </c>
      <c r="D587" s="86" t="inlineStr">
        <is>
          <t>Included</t>
        </is>
      </c>
      <c r="E587" s="5" t="n">
        <v>1002</v>
      </c>
      <c r="F587" s="5" t="n">
        <v>1002</v>
      </c>
      <c r="G587" s="5" t="inlineStr">
        <is>
          <t>Outcome not related to interest</t>
        </is>
      </c>
      <c r="H587" s="5" t="inlineStr">
        <is>
          <t>Outcome not related to interest</t>
        </is>
      </c>
      <c r="I587" s="5" t="inlineStr">
        <is>
          <t>Retrospective study</t>
        </is>
      </c>
      <c r="J587" s="86" t="n">
        <v>510</v>
      </c>
    </row>
    <row r="588">
      <c r="A588" s="86" t="inlineStr">
        <is>
          <t>Performance of a Deep-Learning Algorithm vs Manual Grading for Detecting Diabetic Retinopathy in India.</t>
        </is>
      </c>
      <c r="B588" s="86" t="inlineStr">
        <is>
          <t>Gulshan, Varun</t>
        </is>
      </c>
      <c r="C588" s="86" t="n">
        <v>2019</v>
      </c>
      <c r="D588" s="86" t="inlineStr">
        <is>
          <t>Included</t>
        </is>
      </c>
      <c r="E588" s="5" t="inlineStr">
        <is>
          <t>Outcome not related to interest</t>
        </is>
      </c>
      <c r="F588" s="5" t="inlineStr">
        <is>
          <t>Outcome not related to interest</t>
        </is>
      </c>
      <c r="G588" s="5" t="inlineStr">
        <is>
          <t>Outcome not related to interest</t>
        </is>
      </c>
      <c r="H588" s="5" t="inlineStr">
        <is>
          <t>Outcome not related to interest</t>
        </is>
      </c>
      <c r="I588" s="86" t="n">
        <v>90</v>
      </c>
      <c r="J588" s="86" t="n">
        <v>511</v>
      </c>
    </row>
    <row r="589">
      <c r="A589" s="86" t="inlineStr">
        <is>
          <t>An Interpretable Ensemble Deep Learning Model for Diabetic Retinopathy Disease Classification.</t>
        </is>
      </c>
      <c r="B589" s="86" t="inlineStr">
        <is>
          <t>Jiang, Hongyang</t>
        </is>
      </c>
      <c r="C589" s="86" t="n">
        <v>2019</v>
      </c>
      <c r="D589" s="86" t="inlineStr">
        <is>
          <t>Included</t>
        </is>
      </c>
      <c r="E589" s="5" t="inlineStr">
        <is>
          <t>Outcome not related to interest</t>
        </is>
      </c>
      <c r="F589" s="5" t="inlineStr">
        <is>
          <t>Outcome not related to interest</t>
        </is>
      </c>
      <c r="G589" s="5" t="inlineStr">
        <is>
          <t>Outcome not related to interest</t>
        </is>
      </c>
      <c r="H589" s="5" t="inlineStr">
        <is>
          <t>Outcome not related to interest</t>
        </is>
      </c>
      <c r="I589" s="5" t="inlineStr">
        <is>
          <t>Retrospective study</t>
        </is>
      </c>
      <c r="J589" s="86" t="n">
        <v>512</v>
      </c>
    </row>
    <row r="590">
      <c r="A590" s="86" t="inlineStr">
        <is>
          <t>Hierarchical Pruning for Simplification of Convolutional Neural Networks in Diabetic Retinopathy Classification.</t>
        </is>
      </c>
      <c r="B590" s="86" t="inlineStr">
        <is>
          <t>Hajabdollahi, Mohsen</t>
        </is>
      </c>
      <c r="C590" s="86" t="n">
        <v>2019</v>
      </c>
      <c r="D590" s="86" t="inlineStr">
        <is>
          <t>Included</t>
        </is>
      </c>
      <c r="E590" s="5" t="inlineStr">
        <is>
          <t>Outcome not related to interest</t>
        </is>
      </c>
      <c r="F590" s="5" t="inlineStr">
        <is>
          <t>Outcome not related to interest</t>
        </is>
      </c>
      <c r="G590" s="5" t="inlineStr">
        <is>
          <t>Outcome not related to interest</t>
        </is>
      </c>
      <c r="H590" s="5" t="inlineStr">
        <is>
          <t>Outcome not related to interest</t>
        </is>
      </c>
      <c r="I590" s="5" t="inlineStr">
        <is>
          <t>Retrospective study</t>
        </is>
      </c>
      <c r="J590" s="86" t="n">
        <v>513</v>
      </c>
    </row>
    <row r="591">
      <c r="A591" s="86" t="inlineStr">
        <is>
          <t>Automatic Detection of Diabetic Retinopathy in Retinal Fundus Photographs Based on Deep Learning Algorithm.</t>
        </is>
      </c>
      <c r="B591" s="86" t="inlineStr">
        <is>
          <t>Li, Feng</t>
        </is>
      </c>
      <c r="C591" s="86" t="n">
        <v>2019</v>
      </c>
      <c r="D591" s="86" t="inlineStr">
        <is>
          <t>Included</t>
        </is>
      </c>
      <c r="E591" s="5" t="inlineStr">
        <is>
          <t>Outcome not related to interest</t>
        </is>
      </c>
      <c r="F591" s="5" t="inlineStr">
        <is>
          <t>Outcome not related to interest</t>
        </is>
      </c>
      <c r="G591" s="5" t="inlineStr">
        <is>
          <t>Outcome not related to interest</t>
        </is>
      </c>
      <c r="H591" s="5" t="inlineStr">
        <is>
          <t>Outcome not related to interest</t>
        </is>
      </c>
      <c r="I591" s="5" t="inlineStr">
        <is>
          <t>Retrospective study</t>
        </is>
      </c>
      <c r="J591" s="86" t="n">
        <v>514</v>
      </c>
    </row>
    <row r="592">
      <c r="A592" s="86" t="inlineStr">
        <is>
          <t>Artificial intelligence assisted opportunistic screening for referable diabetic retinopathy: from algorithm to real world application</t>
        </is>
      </c>
      <c r="B592" s="86" t="inlineStr">
        <is>
          <t>Scheetz, J.</t>
        </is>
      </c>
      <c r="C592" s="86" t="n">
        <v>2019</v>
      </c>
      <c r="D592" s="86" t="inlineStr">
        <is>
          <t>Included</t>
        </is>
      </c>
      <c r="E592" s="5" t="inlineStr">
        <is>
          <t>Outcome not related to interest</t>
        </is>
      </c>
      <c r="F592" s="5" t="inlineStr">
        <is>
          <t>Outcome not related to interest</t>
        </is>
      </c>
      <c r="G592" s="5" t="inlineStr">
        <is>
          <t>Outcome not related to interest</t>
        </is>
      </c>
      <c r="H592" s="5" t="inlineStr">
        <is>
          <t>Outcome not related to interest</t>
        </is>
      </c>
      <c r="I592" s="5" t="n">
        <v>91</v>
      </c>
      <c r="J592" s="86" t="n">
        <v>515</v>
      </c>
    </row>
    <row r="593">
      <c r="A593" s="86" t="inlineStr">
        <is>
          <t>Performance of an 'offline' deep-learning algorithm on a smartphone vs manual ophthalmic grading for detecting referable diabetic retinopathy in a large scale, prospective study using health workers, with no prior experience in retinal imaging in Mumbai, India</t>
        </is>
      </c>
      <c r="B593" s="86" t="inlineStr">
        <is>
          <t>Natarajan, S.</t>
        </is>
      </c>
      <c r="C593" s="86" t="n">
        <v>2019</v>
      </c>
      <c r="D593" s="86" t="inlineStr">
        <is>
          <t>Included</t>
        </is>
      </c>
      <c r="E593" s="5" t="inlineStr">
        <is>
          <t>Outcome not related to interest</t>
        </is>
      </c>
      <c r="F593" s="5" t="inlineStr">
        <is>
          <t>Outcome not related to interest</t>
        </is>
      </c>
      <c r="G593" s="5" t="inlineStr">
        <is>
          <t>Outcome not related to interest</t>
        </is>
      </c>
      <c r="H593" s="5" t="inlineStr">
        <is>
          <t>Outcome not related to interest</t>
        </is>
      </c>
      <c r="I593" s="86" t="n">
        <v>92</v>
      </c>
      <c r="J593" s="86" t="n">
        <v>516</v>
      </c>
    </row>
    <row r="594">
      <c r="A594" s="86" t="inlineStr">
        <is>
          <t>Primary grading of diabetic retinopathy from retinal images using a custom designed CNN: The auckland experience</t>
        </is>
      </c>
      <c r="B594" s="86" t="inlineStr">
        <is>
          <t>Squirrell, D.</t>
        </is>
      </c>
      <c r="C594" s="86" t="n">
        <v>2019</v>
      </c>
      <c r="D594" s="86" t="inlineStr">
        <is>
          <t>Included</t>
        </is>
      </c>
      <c r="E594" s="5" t="inlineStr">
        <is>
          <t>Outcome not related to interest</t>
        </is>
      </c>
      <c r="F594" s="5" t="inlineStr">
        <is>
          <t>Outcome not related to interest</t>
        </is>
      </c>
      <c r="G594" s="5" t="inlineStr">
        <is>
          <t>Outcome not related to interest</t>
        </is>
      </c>
      <c r="H594" s="5" t="inlineStr">
        <is>
          <t>Outcome not related to interest</t>
        </is>
      </c>
      <c r="I594" s="5" t="inlineStr">
        <is>
          <t>Retrospective study</t>
        </is>
      </c>
      <c r="J594" s="86" t="n">
        <v>517</v>
      </c>
    </row>
    <row r="595">
      <c r="A595" s="86" t="inlineStr">
        <is>
          <t>Assessing characteristics that impact diagnostic accuracy of artificial intelligence when screening for diabetic retinopathy in real world settings</t>
        </is>
      </c>
      <c r="B595" s="86" t="inlineStr">
        <is>
          <t>Koca, D.</t>
        </is>
      </c>
      <c r="C595" s="86" t="n">
        <v>2019</v>
      </c>
      <c r="D595" s="86" t="inlineStr">
        <is>
          <t>Included</t>
        </is>
      </c>
      <c r="E595" s="5" t="inlineStr">
        <is>
          <t>Outcome not related to interest</t>
        </is>
      </c>
      <c r="F595" s="5" t="inlineStr">
        <is>
          <t>Outcome not related to interest</t>
        </is>
      </c>
      <c r="G595" s="5" t="inlineStr">
        <is>
          <t>Outcome not related to interest</t>
        </is>
      </c>
      <c r="H595" s="5" t="inlineStr">
        <is>
          <t>Outcome not related to interest</t>
        </is>
      </c>
      <c r="I595" s="5" t="n">
        <v>93</v>
      </c>
      <c r="J595" s="86" t="n">
        <v>518</v>
      </c>
    </row>
    <row r="596">
      <c r="A596" s="86" t="inlineStr">
        <is>
          <t>Evaluation of the artificial intelligence-based pattern recognition system for diabetic retinopathy screen in China</t>
        </is>
      </c>
      <c r="B596" s="86" t="inlineStr">
        <is>
          <t>Du, Z.</t>
        </is>
      </c>
      <c r="C596" s="86" t="n">
        <v>2019</v>
      </c>
      <c r="D596" s="86" t="inlineStr">
        <is>
          <t>Included</t>
        </is>
      </c>
      <c r="E596" s="5" t="inlineStr">
        <is>
          <t>Outcome not related to interest</t>
        </is>
      </c>
      <c r="F596" s="5" t="inlineStr">
        <is>
          <t>Outcome not related to interest</t>
        </is>
      </c>
      <c r="G596" s="5" t="inlineStr">
        <is>
          <t>Outcome not related to interest</t>
        </is>
      </c>
      <c r="H596" s="5" t="inlineStr">
        <is>
          <t>Outcome not related to interest</t>
        </is>
      </c>
      <c r="I596" s="86" t="n">
        <v>94</v>
      </c>
      <c r="J596" s="86" t="n">
        <v>519</v>
      </c>
    </row>
    <row r="597">
      <c r="A597" s="86" t="inlineStr">
        <is>
          <t>Validation of artificial intelligence eye screening for diabetic retinopathy: analysis from a pivotal multi-centre trial</t>
        </is>
      </c>
      <c r="B597" s="86" t="inlineStr">
        <is>
          <t>Ipp, E.</t>
        </is>
      </c>
      <c r="C597" s="86" t="n">
        <v>2019</v>
      </c>
      <c r="D597" s="86" t="inlineStr">
        <is>
          <t>Included</t>
        </is>
      </c>
      <c r="E597" s="86" t="n">
        <v>35</v>
      </c>
      <c r="F597" s="86" t="n">
        <v>85</v>
      </c>
      <c r="G597" s="5" t="inlineStr">
        <is>
          <t>Outcome not related to interest</t>
        </is>
      </c>
      <c r="H597" s="5" t="inlineStr">
        <is>
          <t>Outcome not related to interest</t>
        </is>
      </c>
      <c r="I597" s="86" t="n">
        <v>95</v>
      </c>
      <c r="J597" s="86" t="n">
        <v>520</v>
      </c>
    </row>
    <row r="598">
      <c r="A598" s="86" t="inlineStr">
        <is>
          <t>A novel lesion detection algorithm based on multi-scale input convolutional neural network model for diabetic retinopathy</t>
        </is>
      </c>
      <c r="B598" s="86" t="inlineStr">
        <is>
          <t>Yang, Y.</t>
        </is>
      </c>
      <c r="C598" s="86" t="n">
        <v>2019</v>
      </c>
      <c r="D598" s="86" t="inlineStr">
        <is>
          <t>Included</t>
        </is>
      </c>
      <c r="E598" s="5" t="inlineStr">
        <is>
          <t>Outcome not related to interest</t>
        </is>
      </c>
      <c r="F598" s="5" t="inlineStr">
        <is>
          <t>Outcome not related to interest</t>
        </is>
      </c>
      <c r="G598" s="5" t="inlineStr">
        <is>
          <t>Outcome not related to interest</t>
        </is>
      </c>
      <c r="H598" s="5" t="inlineStr">
        <is>
          <t>Outcome not related to interest</t>
        </is>
      </c>
      <c r="I598" s="5" t="inlineStr">
        <is>
          <t>Outcome not related to interest</t>
        </is>
      </c>
      <c r="J598" s="5" t="inlineStr">
        <is>
          <t>Outcome not related to interest</t>
        </is>
      </c>
    </row>
    <row r="599">
      <c r="A599" s="86" t="inlineStr">
        <is>
          <t>Screening and grading of fundus images of diabetic retinopathy based on visual attention</t>
        </is>
      </c>
      <c r="B599" s="86" t="inlineStr">
        <is>
          <t>Wan, J.</t>
        </is>
      </c>
      <c r="C599" s="86" t="n">
        <v>2019</v>
      </c>
      <c r="D599" s="86" t="inlineStr">
        <is>
          <t>Included</t>
        </is>
      </c>
      <c r="E599" s="5" t="inlineStr">
        <is>
          <t>Outcome not related to interest</t>
        </is>
      </c>
      <c r="F599" s="5" t="inlineStr">
        <is>
          <t>Outcome not related to interest</t>
        </is>
      </c>
      <c r="G599" s="5" t="inlineStr">
        <is>
          <t>Outcome not related to interest</t>
        </is>
      </c>
      <c r="H599" s="5" t="inlineStr">
        <is>
          <t>Outcome not related to interest</t>
        </is>
      </c>
      <c r="I599" s="5" t="inlineStr">
        <is>
          <t>Retrospective study</t>
        </is>
      </c>
      <c r="J599" s="86" t="n">
        <v>521</v>
      </c>
    </row>
    <row r="600">
      <c r="A600" s="86" t="inlineStr">
        <is>
          <t>Establishment and application of diabetic retinopathy intelligent assisted diagnostic technology evaluation system based on fundus photography</t>
        </is>
      </c>
      <c r="B600" s="86" t="inlineStr">
        <is>
          <t>Zheng, B.</t>
        </is>
      </c>
      <c r="C600" s="86" t="n">
        <v>2019</v>
      </c>
      <c r="D600" s="86" t="inlineStr">
        <is>
          <t>Included</t>
        </is>
      </c>
      <c r="E600" s="5" t="inlineStr">
        <is>
          <t>Outcome not related to interest</t>
        </is>
      </c>
      <c r="F600" s="5" t="inlineStr">
        <is>
          <t>Outcome not related to interest</t>
        </is>
      </c>
      <c r="G600" s="5" t="inlineStr">
        <is>
          <t>Outcome not related to interest</t>
        </is>
      </c>
      <c r="H600" s="5" t="inlineStr">
        <is>
          <t>Outcome not related to interest</t>
        </is>
      </c>
      <c r="I600" s="5" t="inlineStr">
        <is>
          <t>Retrospective study</t>
        </is>
      </c>
      <c r="J600" s="86" t="n">
        <v>522</v>
      </c>
    </row>
    <row r="601">
      <c r="A601" s="86" t="inlineStr">
        <is>
          <t>Deep learning algorithm to predict diabetic retinopathy (DR) progression on the individual patient level</t>
        </is>
      </c>
      <c r="B601" s="86" t="inlineStr">
        <is>
          <t>Arcadu, F.</t>
        </is>
      </c>
      <c r="C601" s="86" t="n">
        <v>2019</v>
      </c>
      <c r="D601" s="86" t="inlineStr">
        <is>
          <t>Included</t>
        </is>
      </c>
      <c r="E601" s="5" t="inlineStr">
        <is>
          <t>Outcome not related to interest</t>
        </is>
      </c>
      <c r="F601" s="5" t="inlineStr">
        <is>
          <t>Outcome not related to interest</t>
        </is>
      </c>
      <c r="G601" s="5" t="inlineStr">
        <is>
          <t>Outcome not related to interest</t>
        </is>
      </c>
      <c r="H601" s="5" t="inlineStr">
        <is>
          <t>Outcome not related to interest</t>
        </is>
      </c>
      <c r="I601" s="5" t="inlineStr">
        <is>
          <t>Outcome not related to interest</t>
        </is>
      </c>
      <c r="J601" s="5" t="inlineStr">
        <is>
          <t>Outcome not related to interest</t>
        </is>
      </c>
    </row>
    <row r="602">
      <c r="A602" s="86" t="inlineStr">
        <is>
          <t>Success rate of a vision screening program using a handheld fundus camera and a deep learning image quality and diabetic retinopathy screening algorithm</t>
        </is>
      </c>
      <c r="B602" s="86" t="inlineStr">
        <is>
          <t>Makedonsky, K.</t>
        </is>
      </c>
      <c r="C602" s="86" t="n">
        <v>2019</v>
      </c>
      <c r="D602" s="86" t="inlineStr">
        <is>
          <t>Included</t>
        </is>
      </c>
      <c r="E602" s="5" t="inlineStr">
        <is>
          <t>Outcome not related to interest</t>
        </is>
      </c>
      <c r="F602" s="5" t="inlineStr">
        <is>
          <t>Outcome not related to interest</t>
        </is>
      </c>
      <c r="G602" s="5" t="inlineStr">
        <is>
          <t>Outcome not related to interest</t>
        </is>
      </c>
      <c r="H602" s="5" t="inlineStr">
        <is>
          <t>Outcome not related to interest</t>
        </is>
      </c>
      <c r="I602" s="5" t="inlineStr">
        <is>
          <t>Retrospective study</t>
        </is>
      </c>
      <c r="J602" s="86" t="n">
        <v>523</v>
      </c>
    </row>
    <row r="603">
      <c r="A603" s="86" t="inlineStr">
        <is>
          <t>Abnormality prediction from fundus images using Deep Learning and large amounts of data</t>
        </is>
      </c>
      <c r="B603" s="86" t="inlineStr">
        <is>
          <t>Patel, K.R.</t>
        </is>
      </c>
      <c r="C603" s="86" t="n">
        <v>2019</v>
      </c>
      <c r="D603" s="86" t="inlineStr">
        <is>
          <t>Included</t>
        </is>
      </c>
      <c r="E603" s="5" t="inlineStr">
        <is>
          <t>Outcome not related to interest</t>
        </is>
      </c>
      <c r="F603" s="5" t="inlineStr">
        <is>
          <t>Outcome not related to interest</t>
        </is>
      </c>
      <c r="G603" s="5" t="inlineStr">
        <is>
          <t>Outcome not related to interest</t>
        </is>
      </c>
      <c r="H603" s="5" t="inlineStr">
        <is>
          <t>Outcome not related to interest</t>
        </is>
      </c>
      <c r="I603" s="5" t="inlineStr">
        <is>
          <t>Retrospective study</t>
        </is>
      </c>
      <c r="J603" s="5" t="n">
        <v>524</v>
      </c>
    </row>
    <row r="604">
      <c r="A604" s="86" t="inlineStr">
        <is>
          <t>Deep learning for automatic diabetic retinopathy detection under multiple image quality levels</t>
        </is>
      </c>
      <c r="B604" s="86" t="inlineStr">
        <is>
          <t>Sarhan, H.</t>
        </is>
      </c>
      <c r="C604" s="86" t="n">
        <v>2019</v>
      </c>
      <c r="D604" s="86" t="inlineStr">
        <is>
          <t>Included</t>
        </is>
      </c>
      <c r="E604" s="5" t="inlineStr">
        <is>
          <t>Outcome not related to interest</t>
        </is>
      </c>
      <c r="F604" s="5" t="inlineStr">
        <is>
          <t>Outcome not related to interest</t>
        </is>
      </c>
      <c r="G604" s="5" t="inlineStr">
        <is>
          <t>Outcome not related to interest</t>
        </is>
      </c>
      <c r="H604" s="5" t="inlineStr">
        <is>
          <t>Outcome not related to interest</t>
        </is>
      </c>
      <c r="I604" s="5" t="inlineStr">
        <is>
          <t>Retrospective study</t>
        </is>
      </c>
      <c r="J604" s="86" t="n">
        <v>535</v>
      </c>
    </row>
    <row r="605">
      <c r="A605" s="86" t="inlineStr">
        <is>
          <t>RetinOpTIC-Automatic Evaluation of Diabetic Retinopathy</t>
        </is>
      </c>
      <c r="B605" s="86" t="inlineStr">
        <is>
          <t>Lay, B.</t>
        </is>
      </c>
      <c r="C605" s="86" t="n">
        <v>2019</v>
      </c>
      <c r="D605" s="86" t="inlineStr">
        <is>
          <t>Included</t>
        </is>
      </c>
      <c r="E605" s="5" t="inlineStr">
        <is>
          <t>Outcome not related to interest</t>
        </is>
      </c>
      <c r="F605" s="5" t="inlineStr">
        <is>
          <t>Outcome not related to interest</t>
        </is>
      </c>
      <c r="G605" s="5" t="inlineStr">
        <is>
          <t>Outcome not related to interest</t>
        </is>
      </c>
      <c r="H605" s="5" t="inlineStr">
        <is>
          <t>Outcome not related to interest</t>
        </is>
      </c>
      <c r="I605" s="5" t="inlineStr">
        <is>
          <t>Retrospective study</t>
        </is>
      </c>
      <c r="J605" s="86" t="n">
        <v>536</v>
      </c>
    </row>
    <row r="606">
      <c r="A606" s="86" t="inlineStr">
        <is>
          <t>Deep learning for automatic diabetic retinopathy grading of ultra-widefield fundus images</t>
        </is>
      </c>
      <c r="B606" s="86" t="inlineStr">
        <is>
          <t>Sarhan, M.H.</t>
        </is>
      </c>
      <c r="C606" s="86" t="n">
        <v>2019</v>
      </c>
      <c r="D606" s="86" t="inlineStr">
        <is>
          <t>Included</t>
        </is>
      </c>
      <c r="E606" s="5" t="inlineStr">
        <is>
          <t>Outcome not related to interest</t>
        </is>
      </c>
      <c r="F606" s="5" t="inlineStr">
        <is>
          <t>Outcome not related to interest</t>
        </is>
      </c>
      <c r="G606" s="5" t="inlineStr">
        <is>
          <t>Outcome not related to interest</t>
        </is>
      </c>
      <c r="H606" s="5" t="inlineStr">
        <is>
          <t>Outcome not related to interest</t>
        </is>
      </c>
      <c r="I606" s="5" t="inlineStr">
        <is>
          <t>Retrospective study</t>
        </is>
      </c>
      <c r="J606" s="86" t="n">
        <v>537</v>
      </c>
    </row>
    <row r="607">
      <c r="A607" s="86" t="inlineStr">
        <is>
          <t>Comparison of 1-Field, 2-Fields, and 3-Fields Fundus Photography for Detection of Diabetic Retinopathy</t>
        </is>
      </c>
      <c r="B607" s="86" t="inlineStr">
        <is>
          <t>Lee, J.C.</t>
        </is>
      </c>
      <c r="C607" s="86" t="n">
        <v>2019</v>
      </c>
      <c r="D607" s="86" t="inlineStr">
        <is>
          <t>Included</t>
        </is>
      </c>
      <c r="E607" s="86" t="inlineStr">
        <is>
          <t>Not deep learning</t>
        </is>
      </c>
      <c r="F607" s="86" t="inlineStr">
        <is>
          <t>Not deep learning</t>
        </is>
      </c>
      <c r="G607" s="86" t="inlineStr">
        <is>
          <t>Not deep learning</t>
        </is>
      </c>
      <c r="H607" s="86" t="inlineStr">
        <is>
          <t>Not deep learning</t>
        </is>
      </c>
      <c r="I607" s="86" t="inlineStr">
        <is>
          <t>Not deep learning</t>
        </is>
      </c>
      <c r="J607" s="86" t="inlineStr">
        <is>
          <t>Not deep learning</t>
        </is>
      </c>
    </row>
    <row r="608">
      <c r="A608" s="86" t="inlineStr">
        <is>
          <t>FDA-authorized autonomous AI for diabetic retinopathy screening in clinical routine</t>
        </is>
      </c>
      <c r="B608" s="86" t="inlineStr">
        <is>
          <t>Gerendas, B.S.</t>
        </is>
      </c>
      <c r="C608" s="86" t="n">
        <v>2019</v>
      </c>
      <c r="D608" s="86" t="inlineStr">
        <is>
          <t>Included</t>
        </is>
      </c>
      <c r="E608" s="86" t="n">
        <v>36</v>
      </c>
      <c r="F608" s="86" t="n">
        <v>86</v>
      </c>
      <c r="G608" s="5" t="inlineStr">
        <is>
          <t>Outcome not related to interest</t>
        </is>
      </c>
      <c r="H608" s="5" t="inlineStr">
        <is>
          <t>Outcome not related to interest</t>
        </is>
      </c>
      <c r="I608" s="86" t="n">
        <v>96</v>
      </c>
      <c r="J608" s="86" t="n">
        <v>538</v>
      </c>
    </row>
    <row r="609">
      <c r="A609" s="86" t="inlineStr">
        <is>
          <t>Real-World Use of Artificial Intelligence to Screen for Diabetic Retinopathy at Diabetes Care Clinics</t>
        </is>
      </c>
      <c r="B609" s="86" t="inlineStr">
        <is>
          <t>Barriga, E.S.</t>
        </is>
      </c>
      <c r="C609" s="86" t="n">
        <v>2019</v>
      </c>
      <c r="D609" s="86" t="inlineStr">
        <is>
          <t>Included</t>
        </is>
      </c>
      <c r="E609" s="5" t="inlineStr">
        <is>
          <t>Outcome not related to interest</t>
        </is>
      </c>
      <c r="F609" s="5" t="inlineStr">
        <is>
          <t>Outcome not related to interest</t>
        </is>
      </c>
      <c r="G609" s="5" t="inlineStr">
        <is>
          <t>Outcome not related to interest</t>
        </is>
      </c>
      <c r="H609" s="5" t="inlineStr">
        <is>
          <t>Outcome not related to interest</t>
        </is>
      </c>
      <c r="I609" s="86" t="n">
        <v>97</v>
      </c>
      <c r="J609" s="86" t="n">
        <v>539</v>
      </c>
    </row>
    <row r="610">
      <c r="A610" s="86" t="inlineStr">
        <is>
          <t>Assistance from a deep learning system improves diabetic retinopathy assessment in optometrists</t>
        </is>
      </c>
      <c r="B610" s="86" t="inlineStr">
        <is>
          <t>Sayres, R.</t>
        </is>
      </c>
      <c r="C610" s="86" t="n">
        <v>2019</v>
      </c>
      <c r="D610" s="86" t="inlineStr">
        <is>
          <t>Included</t>
        </is>
      </c>
      <c r="E610" s="5" t="inlineStr">
        <is>
          <t>Outcome not related to interest</t>
        </is>
      </c>
      <c r="F610" s="5" t="inlineStr">
        <is>
          <t>Outcome not related to interest</t>
        </is>
      </c>
      <c r="G610" s="5" t="inlineStr">
        <is>
          <t>Outcome not related to interest</t>
        </is>
      </c>
      <c r="H610" s="86" t="n">
        <v>31</v>
      </c>
      <c r="I610" s="5" t="inlineStr">
        <is>
          <t>Retrospective study</t>
        </is>
      </c>
      <c r="J610" s="86" t="n">
        <v>540</v>
      </c>
    </row>
    <row r="611">
      <c r="A611" s="86" t="inlineStr">
        <is>
          <t>A deep learning classifier for screening of diabetic retinopathy using simultaneous imaging with fundus and OCT</t>
        </is>
      </c>
      <c r="B611" s="86" t="inlineStr">
        <is>
          <t>Basavaraj, T.M.</t>
        </is>
      </c>
      <c r="C611" s="86" t="n">
        <v>2019</v>
      </c>
      <c r="D611" s="86" t="inlineStr">
        <is>
          <t>Included</t>
        </is>
      </c>
      <c r="E611" s="5" t="inlineStr">
        <is>
          <t>Outcome not related to interest</t>
        </is>
      </c>
      <c r="F611" s="5" t="inlineStr">
        <is>
          <t>Outcome not related to interest</t>
        </is>
      </c>
      <c r="G611" s="5" t="inlineStr">
        <is>
          <t>Outcome not related to interest</t>
        </is>
      </c>
      <c r="H611" s="5" t="inlineStr">
        <is>
          <t>Outcome not related to interest</t>
        </is>
      </c>
      <c r="I611" s="5" t="inlineStr">
        <is>
          <t>Retrospective study</t>
        </is>
      </c>
      <c r="J611" s="86" t="n">
        <v>541</v>
      </c>
    </row>
    <row r="612">
      <c r="A612" s="86" t="inlineStr">
        <is>
          <t>Effect of image compression and number of fields on a deep learning system for detection of diabetic retinopathy</t>
        </is>
      </c>
      <c r="B612" s="86" t="inlineStr">
        <is>
          <t>Yip, M.Y.T.</t>
        </is>
      </c>
      <c r="C612" s="86" t="n">
        <v>2019</v>
      </c>
      <c r="D612" s="86" t="inlineStr">
        <is>
          <t>Included</t>
        </is>
      </c>
      <c r="E612" s="5" t="inlineStr">
        <is>
          <t>Outcome not related to interest</t>
        </is>
      </c>
      <c r="F612" s="5" t="inlineStr">
        <is>
          <t>Outcome not related to interest</t>
        </is>
      </c>
      <c r="G612" s="5" t="inlineStr">
        <is>
          <t>Outcome not related to interest</t>
        </is>
      </c>
      <c r="H612" s="5" t="inlineStr">
        <is>
          <t>Outcome not related to interest</t>
        </is>
      </c>
      <c r="I612" s="5" t="inlineStr">
        <is>
          <t>Retrospective study</t>
        </is>
      </c>
      <c r="J612" s="86" t="n">
        <v>542</v>
      </c>
    </row>
    <row r="613">
      <c r="A613" s="86" t="inlineStr">
        <is>
          <t>The application of deep learning system to screen for diabetic retinopathy in an underprivileged african population with diabetes</t>
        </is>
      </c>
      <c r="B613" s="86" t="inlineStr">
        <is>
          <t>Bellemo, V.</t>
        </is>
      </c>
      <c r="C613" s="86" t="n">
        <v>2019</v>
      </c>
      <c r="D613" s="86" t="inlineStr">
        <is>
          <t>Included</t>
        </is>
      </c>
      <c r="E613" s="5" t="inlineStr">
        <is>
          <t>Outcome not related to interest</t>
        </is>
      </c>
      <c r="F613" s="5" t="inlineStr">
        <is>
          <t>Outcome not related to interest</t>
        </is>
      </c>
      <c r="G613" s="5" t="inlineStr">
        <is>
          <t>Outcome not related to interest</t>
        </is>
      </c>
      <c r="H613" s="5" t="inlineStr">
        <is>
          <t>Outcome not related to interest</t>
        </is>
      </c>
      <c r="I613" s="5" t="inlineStr">
        <is>
          <t>Retrospective study</t>
        </is>
      </c>
      <c r="J613" s="86" t="n">
        <v>543</v>
      </c>
    </row>
    <row r="614">
      <c r="A614" s="86" t="inlineStr">
        <is>
          <t>Clinical validation of a deep learning automated algorithm for the detection of diabetic retinopathy and macular edema</t>
        </is>
      </c>
      <c r="B614" s="86" t="inlineStr">
        <is>
          <t>Stebbins, K.</t>
        </is>
      </c>
      <c r="C614" s="86" t="n">
        <v>2019</v>
      </c>
      <c r="D614" s="86" t="inlineStr">
        <is>
          <t>Included</t>
        </is>
      </c>
      <c r="E614" s="5" t="inlineStr">
        <is>
          <t>Outcome not related to interest</t>
        </is>
      </c>
      <c r="F614" s="5" t="inlineStr">
        <is>
          <t>Outcome not related to interest</t>
        </is>
      </c>
      <c r="G614" s="5" t="inlineStr">
        <is>
          <t>Outcome not related to interest</t>
        </is>
      </c>
      <c r="H614" s="5" t="inlineStr">
        <is>
          <t>Outcome not related to interest</t>
        </is>
      </c>
      <c r="I614" s="5" t="inlineStr">
        <is>
          <t>Retrospective study</t>
        </is>
      </c>
      <c r="J614" s="86" t="n">
        <v>544</v>
      </c>
    </row>
    <row r="615">
      <c r="A615" s="86" t="inlineStr">
        <is>
          <t>Screening performance of an automated image analysis software for the detection of diabetic retinopathy using a conventional fundus photography or a confocal white LED device: A comparison study</t>
        </is>
      </c>
      <c r="B615" s="86" t="inlineStr">
        <is>
          <t>Sarao, V.</t>
        </is>
      </c>
      <c r="C615" s="86" t="n">
        <v>2019</v>
      </c>
      <c r="D615" s="86" t="inlineStr">
        <is>
          <t>Included</t>
        </is>
      </c>
      <c r="E615" s="5" t="inlineStr">
        <is>
          <t>Outcome not related to interest</t>
        </is>
      </c>
      <c r="F615" s="5" t="inlineStr">
        <is>
          <t>Outcome not related to interest</t>
        </is>
      </c>
      <c r="G615" s="5" t="inlineStr">
        <is>
          <t>Outcome not related to interest</t>
        </is>
      </c>
      <c r="H615" s="5" t="inlineStr">
        <is>
          <t>Outcome not related to interest</t>
        </is>
      </c>
      <c r="I615" s="5" t="inlineStr">
        <is>
          <t>Retrospective study</t>
        </is>
      </c>
      <c r="J615" s="86" t="n">
        <v>545</v>
      </c>
    </row>
    <row r="616">
      <c r="A616" s="86" t="inlineStr">
        <is>
          <t>Deep neural network and human evaluation of referral-warranted diabetic retinopathy using smartphone-based retinal photographs</t>
        </is>
      </c>
      <c r="B616" s="86" t="inlineStr">
        <is>
          <t>Aaberg, M.</t>
        </is>
      </c>
      <c r="C616" s="86" t="n">
        <v>2019</v>
      </c>
      <c r="D616" s="86" t="inlineStr">
        <is>
          <t>Included</t>
        </is>
      </c>
      <c r="E616" s="86" t="n">
        <v>37</v>
      </c>
      <c r="F616" s="86" t="n">
        <v>87</v>
      </c>
      <c r="G616" s="5" t="inlineStr">
        <is>
          <t>Outcome not related to interest</t>
        </is>
      </c>
      <c r="H616" s="5" t="n">
        <v>32</v>
      </c>
      <c r="I616" s="86" t="n">
        <v>98</v>
      </c>
      <c r="J616" s="86" t="n">
        <v>546</v>
      </c>
    </row>
    <row r="617">
      <c r="A617" s="86" t="inlineStr">
        <is>
          <t>Deep learning method to identify diabetic retinopathy and diabetic macular edema characteristics</t>
        </is>
      </c>
      <c r="B617" s="86" t="inlineStr">
        <is>
          <t>Rios, H.A.</t>
        </is>
      </c>
      <c r="C617" s="86" t="n">
        <v>2019</v>
      </c>
      <c r="D617" s="86" t="inlineStr">
        <is>
          <t>Included</t>
        </is>
      </c>
      <c r="E617" s="5" t="inlineStr">
        <is>
          <t>Outcome not related to interest</t>
        </is>
      </c>
      <c r="F617" s="5" t="inlineStr">
        <is>
          <t>Outcome not related to interest</t>
        </is>
      </c>
      <c r="G617" s="5" t="inlineStr">
        <is>
          <t>Outcome not related to interest</t>
        </is>
      </c>
      <c r="H617" s="5" t="inlineStr">
        <is>
          <t>Outcome not related to interest</t>
        </is>
      </c>
      <c r="I617" s="5" t="inlineStr">
        <is>
          <t>Retrospective study</t>
        </is>
      </c>
      <c r="J617" s="86" t="n">
        <v>547</v>
      </c>
    </row>
    <row r="618">
      <c r="A618" s="86" t="inlineStr">
        <is>
          <t>Automated development of deep learning models to diagnose retinal disease from fundus and optical coherence tomography images</t>
        </is>
      </c>
      <c r="B618" s="86" t="inlineStr">
        <is>
          <t>Keane, P.A.</t>
        </is>
      </c>
      <c r="C618" s="86" t="n">
        <v>2019</v>
      </c>
      <c r="D618" s="86" t="inlineStr">
        <is>
          <t>Included</t>
        </is>
      </c>
      <c r="E618" s="5" t="inlineStr">
        <is>
          <t>Outcome not related to interest</t>
        </is>
      </c>
      <c r="F618" s="5" t="inlineStr">
        <is>
          <t>Outcome not related to interest</t>
        </is>
      </c>
      <c r="G618" s="5" t="inlineStr">
        <is>
          <t>Outcome not related to interest</t>
        </is>
      </c>
      <c r="H618" s="5" t="inlineStr">
        <is>
          <t>Outcome not related to interest</t>
        </is>
      </c>
      <c r="I618" s="5" t="inlineStr">
        <is>
          <t>Retrospective study</t>
        </is>
      </c>
      <c r="J618" s="86" t="n">
        <v>548</v>
      </c>
    </row>
    <row r="619">
      <c r="A619" s="86" t="inlineStr">
        <is>
          <t>Development and validation of a cloudbased deep learning platform for detection of 37 fundus diseases in retinal photographs</t>
        </is>
      </c>
      <c r="B619" s="86" t="inlineStr">
        <is>
          <t>Cen, L.-P.</t>
        </is>
      </c>
      <c r="C619" s="86" t="n">
        <v>2019</v>
      </c>
      <c r="D619" s="86" t="inlineStr">
        <is>
          <t>Included</t>
        </is>
      </c>
      <c r="E619" s="5" t="inlineStr">
        <is>
          <t>Outcome not related to interest</t>
        </is>
      </c>
      <c r="F619" s="5" t="inlineStr">
        <is>
          <t>Outcome not related to interest</t>
        </is>
      </c>
      <c r="G619" s="5" t="inlineStr">
        <is>
          <t>Outcome not related to interest</t>
        </is>
      </c>
      <c r="H619" s="5" t="inlineStr">
        <is>
          <t>Outcome not related to interest</t>
        </is>
      </c>
      <c r="I619" s="5" t="inlineStr">
        <is>
          <t>Retrospective study</t>
        </is>
      </c>
      <c r="J619" s="86" t="n">
        <v>549</v>
      </c>
    </row>
    <row r="620">
      <c r="A620" s="86" t="inlineStr">
        <is>
          <t>Enhanced CAE system for detection of exudates and diagnosis of diabetic retinopathy stages in fundus retinal images using soft computing techniques</t>
        </is>
      </c>
      <c r="B620" s="86" t="inlineStr">
        <is>
          <t>Janaki, S.D.</t>
        </is>
      </c>
      <c r="C620" s="86" t="n">
        <v>2019</v>
      </c>
      <c r="D620" s="86" t="inlineStr">
        <is>
          <t>Included</t>
        </is>
      </c>
      <c r="E620" s="5" t="inlineStr">
        <is>
          <t>Outcome not related to interest</t>
        </is>
      </c>
      <c r="F620" s="5" t="inlineStr">
        <is>
          <t>Outcome not related to interest</t>
        </is>
      </c>
      <c r="G620" s="5" t="inlineStr">
        <is>
          <t>Outcome not related to interest</t>
        </is>
      </c>
      <c r="H620" s="5" t="inlineStr">
        <is>
          <t>Outcome not related to interest</t>
        </is>
      </c>
      <c r="I620" s="5" t="inlineStr">
        <is>
          <t>Retrospective study</t>
        </is>
      </c>
      <c r="J620" s="86" t="n">
        <v>550</v>
      </c>
    </row>
    <row r="621">
      <c r="A621" s="86" t="inlineStr">
        <is>
          <t>Diabetic retinopathy (DR) screening performance of an artificial intelligence (AI) system: Analysis from a pivotal multicenter prospective clinical trial</t>
        </is>
      </c>
      <c r="B621" s="86" t="inlineStr">
        <is>
          <t>Bode, B.W.</t>
        </is>
      </c>
      <c r="C621" s="86" t="n">
        <v>2019</v>
      </c>
      <c r="D621" s="86" t="inlineStr">
        <is>
          <t>Included</t>
        </is>
      </c>
      <c r="E621" s="86" t="n">
        <v>38</v>
      </c>
      <c r="F621" s="86" t="n">
        <v>88</v>
      </c>
      <c r="G621" s="5" t="inlineStr">
        <is>
          <t>Outcome not related to interest</t>
        </is>
      </c>
      <c r="H621" s="5" t="inlineStr">
        <is>
          <t>Outcome not related to interest</t>
        </is>
      </c>
      <c r="I621" s="5" t="n">
        <v>99</v>
      </c>
      <c r="J621" s="86" t="n">
        <v>551</v>
      </c>
    </row>
    <row r="622">
      <c r="A622" s="86" t="inlineStr">
        <is>
          <t>Medios-a smartphone-based artificial intelligence algorithm in screening for diabetic retinopathy</t>
        </is>
      </c>
      <c r="B622" s="86" t="inlineStr">
        <is>
          <t>Sosale, B.</t>
        </is>
      </c>
      <c r="C622" s="86" t="n">
        <v>2019</v>
      </c>
      <c r="D622" s="86" t="inlineStr">
        <is>
          <t>Included</t>
        </is>
      </c>
      <c r="E622" s="5" t="inlineStr">
        <is>
          <t>Outcome not related to interest</t>
        </is>
      </c>
      <c r="F622" s="5" t="n">
        <v>89</v>
      </c>
      <c r="G622" s="5" t="inlineStr">
        <is>
          <t>Outcome not related to interest</t>
        </is>
      </c>
      <c r="H622" s="5" t="inlineStr">
        <is>
          <t>Outcome not related to interest</t>
        </is>
      </c>
      <c r="I622" s="5" t="n">
        <v>100</v>
      </c>
      <c r="J622" s="86" t="n">
        <v>552</v>
      </c>
    </row>
    <row r="623">
      <c r="A623" s="86" t="inlineStr">
        <is>
          <t>Diabetic retinopathy (DR) screening performance of general ophthalmologists, retina specialists, and artificial intelligence (AI): Analysis from a pivotal multicenter prospective clinical trial</t>
        </is>
      </c>
      <c r="B623" s="86" t="inlineStr">
        <is>
          <t>Ipp, E.</t>
        </is>
      </c>
      <c r="C623" s="86" t="n">
        <v>2019</v>
      </c>
      <c r="D623" s="86" t="inlineStr">
        <is>
          <t>Included</t>
        </is>
      </c>
      <c r="E623" s="5" t="inlineStr">
        <is>
          <t>Outcome not related to interest</t>
        </is>
      </c>
      <c r="F623" s="5" t="inlineStr">
        <is>
          <t>Outcome not related to interest</t>
        </is>
      </c>
      <c r="G623" s="5" t="inlineStr">
        <is>
          <t>Outcome not related to interest</t>
        </is>
      </c>
      <c r="H623" s="5" t="inlineStr">
        <is>
          <t>Outcome not related to interest</t>
        </is>
      </c>
      <c r="I623" s="5" t="inlineStr">
        <is>
          <t>Outcome not related to interest</t>
        </is>
      </c>
      <c r="J623" s="5" t="inlineStr">
        <is>
          <t>Outcome not related to interest</t>
        </is>
      </c>
    </row>
    <row r="624">
      <c r="A624" s="86" t="inlineStr">
        <is>
          <t>Explaining an artificial intelligence (AI) system for diabetic retinopathy (DR) screening in primary care</t>
        </is>
      </c>
      <c r="B624" s="86" t="inlineStr">
        <is>
          <t>Parekh, N.U.</t>
        </is>
      </c>
      <c r="C624" s="86" t="n">
        <v>2019</v>
      </c>
      <c r="D624" s="86" t="inlineStr">
        <is>
          <t>Included</t>
        </is>
      </c>
      <c r="E624" s="86" t="n">
        <v>39</v>
      </c>
      <c r="F624" s="86" t="n">
        <v>90</v>
      </c>
      <c r="G624" s="5" t="inlineStr">
        <is>
          <t>Outcome not related to interest</t>
        </is>
      </c>
      <c r="H624" s="5" t="inlineStr">
        <is>
          <t>Outcome not related to interest</t>
        </is>
      </c>
      <c r="I624" s="5" t="inlineStr">
        <is>
          <t>Retrospective study</t>
        </is>
      </c>
      <c r="J624" s="86" t="n">
        <v>553</v>
      </c>
    </row>
    <row r="625">
      <c r="A625" s="86" t="inlineStr">
        <is>
          <t>The comparison between an automated reading and human grading of images from a handheld wide field imaging device</t>
        </is>
      </c>
      <c r="B625" s="86" t="inlineStr">
        <is>
          <t>Hamill, B.</t>
        </is>
      </c>
      <c r="C625" s="86" t="n">
        <v>2019</v>
      </c>
      <c r="D625" s="86" t="inlineStr">
        <is>
          <t>Included</t>
        </is>
      </c>
      <c r="E625" s="5" t="inlineStr">
        <is>
          <t>Outcome not related to interest</t>
        </is>
      </c>
      <c r="F625" s="5" t="inlineStr">
        <is>
          <t>Outcome not related to interest</t>
        </is>
      </c>
      <c r="G625" s="5" t="inlineStr">
        <is>
          <t>Outcome not related to interest</t>
        </is>
      </c>
      <c r="H625" s="5" t="inlineStr">
        <is>
          <t>Outcome not related to interest</t>
        </is>
      </c>
      <c r="I625" s="5" t="inlineStr">
        <is>
          <t>Retrospective study</t>
        </is>
      </c>
      <c r="J625" s="86" t="n">
        <v>554</v>
      </c>
    </row>
    <row r="626">
      <c r="A626" s="86" t="inlineStr">
        <is>
          <t>Computerized diabetic retinopathy diagnosis with optimized random forest</t>
        </is>
      </c>
      <c r="B626" s="86" t="inlineStr">
        <is>
          <t>Lai, X.</t>
        </is>
      </c>
      <c r="C626" s="86" t="n">
        <v>2019</v>
      </c>
      <c r="D626" s="86" t="inlineStr">
        <is>
          <t>Included</t>
        </is>
      </c>
      <c r="E626" s="5" t="inlineStr">
        <is>
          <t>Not deep learning</t>
        </is>
      </c>
      <c r="F626" s="5" t="inlineStr">
        <is>
          <t>Not deep learning</t>
        </is>
      </c>
      <c r="G626" s="5" t="inlineStr">
        <is>
          <t>Not deep learning</t>
        </is>
      </c>
      <c r="H626" s="5" t="inlineStr">
        <is>
          <t>Not deep learning</t>
        </is>
      </c>
      <c r="I626" s="5" t="inlineStr">
        <is>
          <t>Not deep learning</t>
        </is>
      </c>
      <c r="J626" s="5" t="inlineStr">
        <is>
          <t>Not deep learning</t>
        </is>
      </c>
    </row>
    <row r="627">
      <c r="A627" s="86" t="inlineStr">
        <is>
          <t>Simple, mobile based artificial intelligence algorithm in the diagnosis of diabetic retinopathy</t>
        </is>
      </c>
      <c r="B627" s="86" t="inlineStr">
        <is>
          <t>Sosale, B.</t>
        </is>
      </c>
      <c r="C627" s="86" t="n">
        <v>2019</v>
      </c>
      <c r="D627" s="86" t="inlineStr">
        <is>
          <t>Included</t>
        </is>
      </c>
      <c r="E627" s="5" t="inlineStr">
        <is>
          <t>Outcome not related to interest</t>
        </is>
      </c>
      <c r="F627" s="86" t="n">
        <v>91</v>
      </c>
      <c r="G627" s="5" t="inlineStr">
        <is>
          <t>Outcome not related to interest</t>
        </is>
      </c>
      <c r="H627" s="5" t="inlineStr">
        <is>
          <t>Outcome not related to interest</t>
        </is>
      </c>
      <c r="I627" s="86" t="n">
        <v>101</v>
      </c>
      <c r="J627" s="86" t="n">
        <v>555</v>
      </c>
    </row>
    <row r="628">
      <c r="A628" s="86" t="inlineStr">
        <is>
          <t>Validation of automated screening for referable diabetic retinopathy with the IDx-DR device in the Hoorn Diabetes Care System.</t>
        </is>
      </c>
      <c r="B628" s="86" t="inlineStr">
        <is>
          <t>van der Heijden, Amber A</t>
        </is>
      </c>
      <c r="C628" s="86" t="n">
        <v>2018</v>
      </c>
      <c r="D628" s="86" t="inlineStr">
        <is>
          <t>Included</t>
        </is>
      </c>
      <c r="E628" s="86" t="n">
        <v>40</v>
      </c>
      <c r="F628" s="86" t="n">
        <v>92</v>
      </c>
      <c r="G628" s="5" t="inlineStr">
        <is>
          <t>Outcome not related to interest</t>
        </is>
      </c>
      <c r="H628" s="5" t="inlineStr">
        <is>
          <t>Outcome not related to interest</t>
        </is>
      </c>
      <c r="I628" s="5" t="inlineStr">
        <is>
          <t>Retrospective study</t>
        </is>
      </c>
      <c r="J628" s="86" t="n">
        <v>556</v>
      </c>
    </row>
    <row r="629">
      <c r="A629" s="86" t="inlineStr">
        <is>
          <t>Diabetic retinopathy screening using deep neural network.</t>
        </is>
      </c>
      <c r="B629" s="86" t="inlineStr">
        <is>
          <t>Ramachandran, Nishanthan</t>
        </is>
      </c>
      <c r="C629" s="86" t="n">
        <v>2018</v>
      </c>
      <c r="D629" s="86" t="inlineStr">
        <is>
          <t>Included</t>
        </is>
      </c>
      <c r="E629" s="5" t="inlineStr">
        <is>
          <t>Outcome not related to interest</t>
        </is>
      </c>
      <c r="F629" s="5" t="inlineStr">
        <is>
          <t>Outcome not related to interest</t>
        </is>
      </c>
      <c r="G629" s="5" t="inlineStr">
        <is>
          <t>Outcome not related to interest</t>
        </is>
      </c>
      <c r="H629" s="5" t="inlineStr">
        <is>
          <t>Outcome not related to interest</t>
        </is>
      </c>
      <c r="I629" s="5" t="inlineStr">
        <is>
          <t>Retrospective study</t>
        </is>
      </c>
      <c r="J629" s="86" t="n">
        <v>557</v>
      </c>
    </row>
    <row r="630">
      <c r="A630" s="86" t="inlineStr">
        <is>
          <t>Automated Detection of Diabetic Retinopathy using Deep Learning.</t>
        </is>
      </c>
      <c r="B630" s="86" t="inlineStr">
        <is>
          <t>Lam, Carson</t>
        </is>
      </c>
      <c r="C630" s="86" t="n">
        <v>2018</v>
      </c>
      <c r="D630" s="86" t="inlineStr">
        <is>
          <t>Included</t>
        </is>
      </c>
      <c r="E630" s="5" t="inlineStr">
        <is>
          <t>Outcome not related to interest</t>
        </is>
      </c>
      <c r="F630" s="5" t="inlineStr">
        <is>
          <t>Outcome not related to interest</t>
        </is>
      </c>
      <c r="G630" s="5" t="inlineStr">
        <is>
          <t>Outcome not related to interest</t>
        </is>
      </c>
      <c r="H630" s="5" t="inlineStr">
        <is>
          <t>Outcome not related to interest</t>
        </is>
      </c>
      <c r="I630" s="5" t="inlineStr">
        <is>
          <t>Retrospective study</t>
        </is>
      </c>
      <c r="J630" s="86" t="n">
        <v>558</v>
      </c>
    </row>
    <row r="631">
      <c r="A631" s="86" t="inlineStr">
        <is>
          <t>Feasibility and patient acceptability of a novel artificial intelligence-based screening model for diabetic retinopathy at endocrinology outpatient services: a pilot study.</t>
        </is>
      </c>
      <c r="B631" s="86" t="inlineStr">
        <is>
          <t>Keel, Stuart</t>
        </is>
      </c>
      <c r="C631" s="86" t="n">
        <v>2018</v>
      </c>
      <c r="D631" s="86" t="inlineStr">
        <is>
          <t>Included</t>
        </is>
      </c>
      <c r="E631" s="5" t="inlineStr">
        <is>
          <t>Outcome not related to interest</t>
        </is>
      </c>
      <c r="F631" s="5" t="inlineStr">
        <is>
          <t>Outcome not related to interest</t>
        </is>
      </c>
      <c r="G631" s="5" t="inlineStr">
        <is>
          <t>Outcome not related to interest</t>
        </is>
      </c>
      <c r="H631" s="5" t="inlineStr">
        <is>
          <t>Outcome not related to interest</t>
        </is>
      </c>
      <c r="I631" s="5" t="n">
        <v>102</v>
      </c>
      <c r="J631" s="86" t="n">
        <v>559</v>
      </c>
    </row>
    <row r="632">
      <c r="A632" s="86" t="inlineStr">
        <is>
          <t>Automated diabetic retinopathy detection in smartphone-based fundus photography using artificial intelligence.</t>
        </is>
      </c>
      <c r="B632" s="86" t="inlineStr">
        <is>
          <t>Rajalakshmi, Ramachandran</t>
        </is>
      </c>
      <c r="C632" s="86" t="n">
        <v>2018</v>
      </c>
      <c r="D632" s="86" t="inlineStr">
        <is>
          <t>Included</t>
        </is>
      </c>
      <c r="E632" s="5" t="n">
        <v>1003</v>
      </c>
      <c r="F632" s="86" t="n">
        <v>93</v>
      </c>
      <c r="G632" s="5" t="inlineStr">
        <is>
          <t>Outcome not related to interest</t>
        </is>
      </c>
      <c r="H632" s="5" t="inlineStr">
        <is>
          <t>Outcome not related to interest</t>
        </is>
      </c>
      <c r="I632" s="86" t="n">
        <v>103</v>
      </c>
      <c r="J632" s="86" t="n">
        <v>560</v>
      </c>
    </row>
    <row r="633">
      <c r="A633" s="86" t="inlineStr">
        <is>
          <t>Diabetic retinopathy detection and classification using hybrid feature set.</t>
        </is>
      </c>
      <c r="B633" s="86" t="inlineStr">
        <is>
          <t>Amin, Javeria</t>
        </is>
      </c>
      <c r="C633" s="86" t="n">
        <v>2018</v>
      </c>
      <c r="D633" s="86" t="inlineStr">
        <is>
          <t>Included</t>
        </is>
      </c>
      <c r="E633" s="5" t="inlineStr">
        <is>
          <t>Outcome not related to interest</t>
        </is>
      </c>
      <c r="F633" s="5" t="inlineStr">
        <is>
          <t>Outcome not related to interest</t>
        </is>
      </c>
      <c r="G633" s="5" t="inlineStr">
        <is>
          <t>Outcome not related to interest</t>
        </is>
      </c>
      <c r="H633" s="5" t="inlineStr">
        <is>
          <t>Outcome not related to interest</t>
        </is>
      </c>
      <c r="I633" s="5" t="inlineStr">
        <is>
          <t>Retrospective study</t>
        </is>
      </c>
      <c r="J633" s="86" t="n">
        <v>561</v>
      </c>
    </row>
    <row r="634">
      <c r="A634" s="86" t="inlineStr">
        <is>
          <t>Diabetic Retinopathy Diagnosis from Retinal Images Using Modified Hopfield Neural Network.</t>
        </is>
      </c>
      <c r="B634" s="86" t="inlineStr">
        <is>
          <t>Hemanth, D Jude</t>
        </is>
      </c>
      <c r="C634" s="86" t="n">
        <v>2018</v>
      </c>
      <c r="D634" s="86" t="inlineStr">
        <is>
          <t>Included</t>
        </is>
      </c>
      <c r="E634" s="5" t="inlineStr">
        <is>
          <t>Outcome not related to interest</t>
        </is>
      </c>
      <c r="F634" s="5" t="inlineStr">
        <is>
          <t>Outcome not related to interest</t>
        </is>
      </c>
      <c r="G634" s="5" t="inlineStr">
        <is>
          <t>Outcome not related to interest</t>
        </is>
      </c>
      <c r="H634" s="5" t="inlineStr">
        <is>
          <t>Outcome not related to interest</t>
        </is>
      </c>
      <c r="I634" s="5" t="inlineStr">
        <is>
          <t>Retrospective study</t>
        </is>
      </c>
      <c r="J634" s="86" t="n">
        <v>562</v>
      </c>
    </row>
    <row r="635">
      <c r="A635" s="86" t="inlineStr">
        <is>
          <t>Transforming Retinal Photographs to Entropy Images in Deep Learning to Improve Automated Detection for Diabetic Retinopathy.</t>
        </is>
      </c>
      <c r="B635" s="86" t="inlineStr">
        <is>
          <t>Lin, Gen-Min</t>
        </is>
      </c>
      <c r="C635" s="86" t="n">
        <v>2018</v>
      </c>
      <c r="D635" s="86" t="inlineStr">
        <is>
          <t>Included</t>
        </is>
      </c>
      <c r="E635" s="5" t="inlineStr">
        <is>
          <t>Outcome not related to interest</t>
        </is>
      </c>
      <c r="F635" s="5" t="inlineStr">
        <is>
          <t>Outcome not related to interest</t>
        </is>
      </c>
      <c r="G635" s="5" t="inlineStr">
        <is>
          <t>Outcome not related to interest</t>
        </is>
      </c>
      <c r="H635" s="5" t="inlineStr">
        <is>
          <t>Outcome not related to interest</t>
        </is>
      </c>
      <c r="I635" s="5" t="inlineStr">
        <is>
          <t>Retrospective study</t>
        </is>
      </c>
      <c r="J635" s="86" t="n">
        <v>563</v>
      </c>
    </row>
    <row r="636">
      <c r="A636" s="86" t="inlineStr">
        <is>
          <t>An Automated Grading System for Detection of Vision-Threatening Referable Diabetic Retinopathy on the Basis of Color Fundus Photographs.</t>
        </is>
      </c>
      <c r="B636" s="86" t="inlineStr">
        <is>
          <t>Li, Zhixi</t>
        </is>
      </c>
      <c r="C636" s="86" t="n">
        <v>2018</v>
      </c>
      <c r="D636" s="86" t="inlineStr">
        <is>
          <t>Included</t>
        </is>
      </c>
      <c r="E636" s="5" t="inlineStr">
        <is>
          <t>Outcome not related to interest</t>
        </is>
      </c>
      <c r="F636" s="5" t="inlineStr">
        <is>
          <t>Outcome not related to interest</t>
        </is>
      </c>
      <c r="G636" s="5" t="inlineStr">
        <is>
          <t>Outcome not related to interest</t>
        </is>
      </c>
      <c r="H636" s="5" t="inlineStr">
        <is>
          <t>Outcome not related to interest</t>
        </is>
      </c>
      <c r="I636" s="5" t="inlineStr">
        <is>
          <t>Retrospective study</t>
        </is>
      </c>
      <c r="J636" s="86" t="n">
        <v>564</v>
      </c>
    </row>
    <row r="637">
      <c r="A637" s="86" t="inlineStr">
        <is>
          <t>Pivotal trial of an autonomous AI-based diagnostic system for detection of diabetic retinopathy in primary care offices.</t>
        </is>
      </c>
      <c r="B637" s="86" t="inlineStr">
        <is>
          <t>Abrmoff, Michael D</t>
        </is>
      </c>
      <c r="C637" s="86" t="n">
        <v>2018</v>
      </c>
      <c r="D637" s="86" t="inlineStr">
        <is>
          <t>Included</t>
        </is>
      </c>
      <c r="E637" s="86" t="n">
        <v>41</v>
      </c>
      <c r="F637" s="86" t="n">
        <v>94</v>
      </c>
      <c r="G637" s="5" t="inlineStr">
        <is>
          <t>Outcome not related to interest</t>
        </is>
      </c>
      <c r="H637" s="5" t="inlineStr">
        <is>
          <t>Outcome not related to interest</t>
        </is>
      </c>
      <c r="I637" s="86" t="n">
        <v>104</v>
      </c>
      <c r="J637" s="86" t="n">
        <v>565</v>
      </c>
    </row>
    <row r="638">
      <c r="A638" s="86" t="inlineStr">
        <is>
          <t>Automatic detection of diabetic retinopathy using jointly trained CNNs</t>
        </is>
      </c>
      <c r="B638" s="86" t="inlineStr">
        <is>
          <t>Hijazi, B.</t>
        </is>
      </c>
      <c r="C638" s="86" t="n">
        <v>2018</v>
      </c>
      <c r="D638" s="86" t="inlineStr">
        <is>
          <t>Included</t>
        </is>
      </c>
      <c r="E638" s="86" t="inlineStr">
        <is>
          <t>Insufficient to constrct confusion matrix</t>
        </is>
      </c>
      <c r="F638" s="86" t="inlineStr">
        <is>
          <t>Insufficient to constrct confusion matrix</t>
        </is>
      </c>
      <c r="G638" s="86" t="inlineStr">
        <is>
          <t>Insufficient to constrct confusion matrix</t>
        </is>
      </c>
      <c r="H638" s="86" t="inlineStr">
        <is>
          <t>Insufficient to constrct confusion matrix</t>
        </is>
      </c>
      <c r="I638" s="86" t="inlineStr">
        <is>
          <t>Insufficient to constrct confusion matrix</t>
        </is>
      </c>
      <c r="J638" s="86" t="inlineStr">
        <is>
          <t>Insufficient to constrct confusion matrix</t>
        </is>
      </c>
    </row>
    <row r="639">
      <c r="A639" s="86" t="inlineStr">
        <is>
          <t>Artificial intelligence-based screening of diabetic retinopathy: A nationwide survey in China</t>
        </is>
      </c>
      <c r="B639" s="86" t="inlineStr">
        <is>
          <t>Sun, Z.</t>
        </is>
      </c>
      <c r="C639" s="86" t="n">
        <v>2018</v>
      </c>
      <c r="D639" s="86" t="inlineStr">
        <is>
          <t>Included</t>
        </is>
      </c>
      <c r="E639" s="5" t="inlineStr">
        <is>
          <t>Outcome not related to interest</t>
        </is>
      </c>
      <c r="F639" s="5" t="inlineStr">
        <is>
          <t>Outcome not related to interest</t>
        </is>
      </c>
      <c r="G639" s="5" t="inlineStr">
        <is>
          <t>Outcome not related to interest</t>
        </is>
      </c>
      <c r="H639" s="5" t="inlineStr">
        <is>
          <t>Outcome not related to interest</t>
        </is>
      </c>
      <c r="I639" s="86" t="n">
        <v>105</v>
      </c>
      <c r="J639" s="86" t="n">
        <v>566</v>
      </c>
    </row>
    <row r="640">
      <c r="A640" s="86" t="inlineStr">
        <is>
          <t>Automated method for hierarchal detection and grading of diabetic retinopathy</t>
        </is>
      </c>
      <c r="B640" s="86" t="inlineStr">
        <is>
          <t>Sengar, N.</t>
        </is>
      </c>
      <c r="C640" s="86" t="n">
        <v>2018</v>
      </c>
      <c r="D640" s="86" t="inlineStr">
        <is>
          <t>Included</t>
        </is>
      </c>
      <c r="E640" s="5" t="inlineStr">
        <is>
          <t>Outcome not related to interest</t>
        </is>
      </c>
      <c r="F640" s="5" t="inlineStr">
        <is>
          <t>Outcome not related to interest</t>
        </is>
      </c>
      <c r="G640" s="5" t="inlineStr">
        <is>
          <t>Outcome not related to interest</t>
        </is>
      </c>
      <c r="H640" s="5" t="inlineStr">
        <is>
          <t>Outcome not related to interest</t>
        </is>
      </c>
      <c r="I640" s="5" t="inlineStr">
        <is>
          <t>Retrospective study</t>
        </is>
      </c>
      <c r="J640" s="86" t="n">
        <v>567</v>
      </c>
    </row>
    <row r="641">
      <c r="A641" s="86" t="inlineStr">
        <is>
          <t>Use of artificial intelligence in prediction of diabetic retinopathy using a fundus on phone camera</t>
        </is>
      </c>
      <c r="B641" s="86" t="inlineStr">
        <is>
          <t>Krishnan, R.</t>
        </is>
      </c>
      <c r="C641" s="86" t="n">
        <v>2018</v>
      </c>
      <c r="D641" s="86" t="inlineStr">
        <is>
          <t>Included</t>
        </is>
      </c>
      <c r="E641" s="5" t="inlineStr">
        <is>
          <t>Outcome not related to interest</t>
        </is>
      </c>
      <c r="F641" s="5" t="inlineStr">
        <is>
          <t>Outcome not related to interest</t>
        </is>
      </c>
      <c r="G641" s="5" t="inlineStr">
        <is>
          <t>Outcome not related to interest</t>
        </is>
      </c>
      <c r="H641" s="5" t="inlineStr">
        <is>
          <t>Outcome not related to interest</t>
        </is>
      </c>
      <c r="I641" s="5" t="inlineStr">
        <is>
          <t>Retrospective study</t>
        </is>
      </c>
      <c r="J641" s="86" t="n">
        <v>568</v>
      </c>
    </row>
    <row r="642">
      <c r="A642" s="86" t="inlineStr">
        <is>
          <t>Improving diabetic retinopathy screening using deep learning</t>
        </is>
      </c>
      <c r="B642" s="86" t="inlineStr">
        <is>
          <t>Mellor, J.C.</t>
        </is>
      </c>
      <c r="C642" s="86" t="n">
        <v>2018</v>
      </c>
      <c r="D642" s="86" t="inlineStr">
        <is>
          <t>Included</t>
        </is>
      </c>
      <c r="E642" s="86" t="inlineStr">
        <is>
          <t>Insufficient to constrct confusion matrix</t>
        </is>
      </c>
      <c r="F642" s="86" t="inlineStr">
        <is>
          <t>Insufficient to constrct confusion matrix</t>
        </is>
      </c>
      <c r="G642" s="86" t="inlineStr">
        <is>
          <t>Insufficient to constrct confusion matrix</t>
        </is>
      </c>
      <c r="H642" s="86" t="inlineStr">
        <is>
          <t>Insufficient to constrct confusion matrix</t>
        </is>
      </c>
      <c r="I642" s="86" t="inlineStr">
        <is>
          <t>Insufficient to constrct confusion matrix</t>
        </is>
      </c>
      <c r="J642" s="86" t="inlineStr">
        <is>
          <t>Insufficient to constrct confusion matrix</t>
        </is>
      </c>
    </row>
    <row r="643">
      <c r="A643" s="86" t="inlineStr">
        <is>
          <t>Automatic identification of referral warranted diabetic retinopathy using deep learning on mobile phone images</t>
        </is>
      </c>
      <c r="B643" s="86" t="inlineStr">
        <is>
          <t>Leng, T.</t>
        </is>
      </c>
      <c r="C643" s="86" t="n">
        <v>2018</v>
      </c>
      <c r="D643" s="86" t="inlineStr">
        <is>
          <t>Included</t>
        </is>
      </c>
      <c r="E643" s="5" t="inlineStr">
        <is>
          <t>Outcome not related to interest</t>
        </is>
      </c>
      <c r="F643" s="5" t="inlineStr">
        <is>
          <t>Outcome not related to interest</t>
        </is>
      </c>
      <c r="G643" s="5" t="inlineStr">
        <is>
          <t>Outcome not related to interest</t>
        </is>
      </c>
      <c r="H643" s="5" t="inlineStr">
        <is>
          <t>Outcome not related to interest</t>
        </is>
      </c>
      <c r="I643" s="5" t="inlineStr">
        <is>
          <t>Retrospective study</t>
        </is>
      </c>
      <c r="J643" s="86" t="n">
        <v>569</v>
      </c>
    </row>
    <row r="644">
      <c r="A644" s="86" t="inlineStr">
        <is>
          <t>Ensemble effect of spatial representations of features and a deep architecture for automatic diabetic retinopathy screening</t>
        </is>
      </c>
      <c r="B644" s="86" t="inlineStr">
        <is>
          <t>Benson, J.</t>
        </is>
      </c>
      <c r="C644" s="86" t="n">
        <v>2018</v>
      </c>
      <c r="D644" s="86" t="inlineStr">
        <is>
          <t>Included</t>
        </is>
      </c>
      <c r="E644" s="5" t="inlineStr">
        <is>
          <t>Outcome not related to interest</t>
        </is>
      </c>
      <c r="F644" s="5" t="inlineStr">
        <is>
          <t>Outcome not related to interest</t>
        </is>
      </c>
      <c r="G644" s="5" t="inlineStr">
        <is>
          <t>Outcome not related to interest</t>
        </is>
      </c>
      <c r="H644" s="5" t="inlineStr">
        <is>
          <t>Outcome not related to interest</t>
        </is>
      </c>
      <c r="I644" s="5" t="inlineStr">
        <is>
          <t>Retrospective study</t>
        </is>
      </c>
      <c r="J644" s="86" t="n">
        <v>570</v>
      </c>
    </row>
    <row r="645">
      <c r="A645" s="86" t="inlineStr">
        <is>
          <t>Fully convolutional neural networks for automatic extraction of diabetic retinopathy features in retinal fundus images</t>
        </is>
      </c>
      <c r="B645" s="86" t="inlineStr">
        <is>
          <t>Andersen, J.</t>
        </is>
      </c>
      <c r="C645" s="86" t="n">
        <v>2018</v>
      </c>
      <c r="D645" s="86" t="inlineStr">
        <is>
          <t>Included</t>
        </is>
      </c>
      <c r="E645" s="5" t="inlineStr">
        <is>
          <t>Outcome not related to interest</t>
        </is>
      </c>
      <c r="F645" s="5" t="inlineStr">
        <is>
          <t>Outcome not related to interest</t>
        </is>
      </c>
      <c r="G645" s="5" t="inlineStr">
        <is>
          <t>Outcome not related to interest</t>
        </is>
      </c>
      <c r="H645" s="5" t="inlineStr">
        <is>
          <t>Outcome not related to interest</t>
        </is>
      </c>
      <c r="I645" s="5" t="inlineStr">
        <is>
          <t>Outcome not related to interest</t>
        </is>
      </c>
      <c r="J645" s="5" t="inlineStr">
        <is>
          <t>Outcome not related to interest</t>
        </is>
      </c>
    </row>
    <row r="646">
      <c r="A646" s="86" t="inlineStr">
        <is>
          <t>Deep learning is effective for classifying non-referable versus referable eye condition using fundus photographs</t>
        </is>
      </c>
      <c r="B646" s="86" t="inlineStr">
        <is>
          <t>Kim, J.H.</t>
        </is>
      </c>
      <c r="C646" s="86" t="n">
        <v>2018</v>
      </c>
      <c r="D646" s="86" t="inlineStr">
        <is>
          <t>Included</t>
        </is>
      </c>
      <c r="E646" s="5" t="inlineStr">
        <is>
          <t>Outcome not related to interest</t>
        </is>
      </c>
      <c r="F646" s="5" t="inlineStr">
        <is>
          <t>Outcome not related to interest</t>
        </is>
      </c>
      <c r="G646" s="5" t="inlineStr">
        <is>
          <t>Outcome not related to interest</t>
        </is>
      </c>
      <c r="H646" s="5" t="inlineStr">
        <is>
          <t>Outcome not related to interest</t>
        </is>
      </c>
      <c r="I646" s="5" t="inlineStr">
        <is>
          <t>Retrospective study</t>
        </is>
      </c>
      <c r="J646" s="86" t="n">
        <v>571</v>
      </c>
    </row>
    <row r="647">
      <c r="A647" s="86" t="inlineStr">
        <is>
          <t>The development and validation of a deep learning algorithm for referable diabetic retinopathy</t>
        </is>
      </c>
      <c r="B647" s="86" t="inlineStr">
        <is>
          <t>Keel, S.</t>
        </is>
      </c>
      <c r="C647" s="86" t="n">
        <v>2018</v>
      </c>
      <c r="D647" s="86" t="inlineStr">
        <is>
          <t>Included</t>
        </is>
      </c>
      <c r="E647" s="5" t="inlineStr">
        <is>
          <t>Outcome not related to interest</t>
        </is>
      </c>
      <c r="F647" s="5" t="inlineStr">
        <is>
          <t>Outcome not related to interest</t>
        </is>
      </c>
      <c r="G647" s="5" t="inlineStr">
        <is>
          <t>Outcome not related to interest</t>
        </is>
      </c>
      <c r="H647" s="5" t="inlineStr">
        <is>
          <t>Outcome not related to interest</t>
        </is>
      </c>
      <c r="I647" s="5" t="inlineStr">
        <is>
          <t>Retrospective study</t>
        </is>
      </c>
      <c r="J647" s="86" t="n">
        <v>572</v>
      </c>
    </row>
    <row r="648">
      <c r="A648" s="86" t="inlineStr">
        <is>
          <t>Automated diagnosis of fundus camera images for diabetic retinopathy for treatment referral</t>
        </is>
      </c>
      <c r="B648" s="86" t="inlineStr">
        <is>
          <t>Pratt, H.</t>
        </is>
      </c>
      <c r="C648" s="86" t="n">
        <v>2018</v>
      </c>
      <c r="D648" s="86" t="inlineStr">
        <is>
          <t>Included</t>
        </is>
      </c>
      <c r="E648" s="5" t="inlineStr">
        <is>
          <t>Outcome not related to interest</t>
        </is>
      </c>
      <c r="F648" s="5" t="inlineStr">
        <is>
          <t>Outcome not related to interest</t>
        </is>
      </c>
      <c r="G648" s="5" t="inlineStr">
        <is>
          <t>Outcome not related to interest</t>
        </is>
      </c>
      <c r="H648" s="5" t="inlineStr">
        <is>
          <t>Outcome not related to interest</t>
        </is>
      </c>
      <c r="I648" s="5" t="inlineStr">
        <is>
          <t>Retrospective study</t>
        </is>
      </c>
      <c r="J648" s="86" t="n">
        <v>573</v>
      </c>
    </row>
    <row r="649">
      <c r="A649" s="86" t="inlineStr">
        <is>
          <t>Automated retinal image reading and progression analysis</t>
        </is>
      </c>
      <c r="B649" s="86" t="inlineStr">
        <is>
          <t>Tang, H.</t>
        </is>
      </c>
      <c r="C649" s="86" t="n">
        <v>2018</v>
      </c>
      <c r="D649" s="86" t="inlineStr">
        <is>
          <t>Included</t>
        </is>
      </c>
      <c r="E649" s="5" t="inlineStr">
        <is>
          <t>Outcome not related to interest</t>
        </is>
      </c>
      <c r="F649" s="5" t="inlineStr">
        <is>
          <t>Outcome not related to interest</t>
        </is>
      </c>
      <c r="G649" s="5" t="inlineStr">
        <is>
          <t>Outcome not related to interest</t>
        </is>
      </c>
      <c r="H649" s="5" t="inlineStr">
        <is>
          <t>Outcome not related to interest</t>
        </is>
      </c>
      <c r="I649" s="5" t="inlineStr">
        <is>
          <t>Retrospective study</t>
        </is>
      </c>
      <c r="J649" s="86" t="n">
        <v>574</v>
      </c>
    </row>
    <row r="650">
      <c r="A650" s="86" t="inlineStr">
        <is>
          <t>Improved method of retmarker screening presents safer identification of referable diabetic retinopathy with significantly better burden reduction (higher specificity)</t>
        </is>
      </c>
      <c r="B650" s="86" t="inlineStr">
        <is>
          <t>Ramos, J.D.</t>
        </is>
      </c>
      <c r="C650" s="86" t="n">
        <v>2018</v>
      </c>
      <c r="D650" s="86" t="inlineStr">
        <is>
          <t>Included</t>
        </is>
      </c>
      <c r="E650" s="86" t="inlineStr">
        <is>
          <t>Not deep learning</t>
        </is>
      </c>
      <c r="F650" s="86" t="inlineStr">
        <is>
          <t>Not deep learning</t>
        </is>
      </c>
      <c r="G650" s="86" t="inlineStr">
        <is>
          <t>Not deep learning</t>
        </is>
      </c>
      <c r="H650" s="86" t="inlineStr">
        <is>
          <t>Not deep learning</t>
        </is>
      </c>
      <c r="I650" s="86" t="inlineStr">
        <is>
          <t>Not deep learning</t>
        </is>
      </c>
      <c r="J650" s="86" t="inlineStr">
        <is>
          <t>Not deep learning</t>
        </is>
      </c>
    </row>
    <row r="651">
      <c r="A651" s="86" t="inlineStr">
        <is>
          <t>Diversification of follow-up screening visit interval by differentiation between mild or more versus no diabetic retinopathy (DR) with an enhanced deep-learning device (IDX-DR-EU-2.1) used for the automated detection of DR</t>
        </is>
      </c>
      <c r="B651" s="86" t="inlineStr">
        <is>
          <t>Verbraak, F.</t>
        </is>
      </c>
      <c r="C651" s="86" t="n">
        <v>2018</v>
      </c>
      <c r="D651" s="86" t="inlineStr">
        <is>
          <t>Included</t>
        </is>
      </c>
      <c r="E651" s="86" t="n">
        <v>42</v>
      </c>
      <c r="F651" s="86" t="n">
        <v>95</v>
      </c>
      <c r="G651" s="5" t="inlineStr">
        <is>
          <t>Outcome not related to interest</t>
        </is>
      </c>
      <c r="H651" s="5" t="inlineStr">
        <is>
          <t>Outcome not related to interest</t>
        </is>
      </c>
      <c r="I651" s="5" t="inlineStr">
        <is>
          <t>Retrospective study</t>
        </is>
      </c>
      <c r="J651" s="86" t="n">
        <v>575</v>
      </c>
    </row>
    <row r="652">
      <c r="A652" s="86" t="inlineStr">
        <is>
          <t>Evaluation of lesion risk zones output by an automated diabetic retinopathy screening system</t>
        </is>
      </c>
      <c r="B652" s="86" t="inlineStr">
        <is>
          <t>Russell, G.</t>
        </is>
      </c>
      <c r="C652" s="86" t="n">
        <v>2018</v>
      </c>
      <c r="D652" s="86" t="inlineStr">
        <is>
          <t>Included</t>
        </is>
      </c>
      <c r="E652" s="5" t="inlineStr">
        <is>
          <t>Outcome not related to interest</t>
        </is>
      </c>
      <c r="F652" s="5" t="inlineStr">
        <is>
          <t>Outcome not related to interest</t>
        </is>
      </c>
      <c r="G652" s="5" t="inlineStr">
        <is>
          <t>Outcome not related to interest</t>
        </is>
      </c>
      <c r="H652" s="5" t="inlineStr">
        <is>
          <t>Outcome not related to interest</t>
        </is>
      </c>
      <c r="I652" s="5" t="inlineStr">
        <is>
          <t>Outcome not related to interest</t>
        </is>
      </c>
      <c r="J652" s="5" t="inlineStr">
        <is>
          <t>Outcome not related to interest</t>
        </is>
      </c>
    </row>
    <row r="653">
      <c r="A653" s="86" t="inlineStr">
        <is>
          <t>A preliminary study of a deep learning-assisted diagnostic system with an artificial intelligence for detection of diabetic retinopathy</t>
        </is>
      </c>
      <c r="B653" s="86" t="inlineStr">
        <is>
          <t>Weng, M.</t>
        </is>
      </c>
      <c r="C653" s="86" t="n">
        <v>2018</v>
      </c>
      <c r="D653" s="86" t="inlineStr">
        <is>
          <t>Included</t>
        </is>
      </c>
      <c r="E653" s="5" t="inlineStr">
        <is>
          <t>Outcome not related to interest</t>
        </is>
      </c>
      <c r="F653" s="5" t="inlineStr">
        <is>
          <t>Outcome not related to interest</t>
        </is>
      </c>
      <c r="G653" s="5" t="inlineStr">
        <is>
          <t>Outcome not related to interest</t>
        </is>
      </c>
      <c r="H653" s="5" t="inlineStr">
        <is>
          <t>Outcome not related to interest</t>
        </is>
      </c>
      <c r="I653" s="5" t="inlineStr">
        <is>
          <t>Retrospective study</t>
        </is>
      </c>
      <c r="J653" s="86" t="n">
        <v>576</v>
      </c>
    </row>
    <row r="654">
      <c r="A654" s="86" t="inlineStr">
        <is>
          <t>Automatic Detection of Retinal Lesions for Screening of Diabetic Retinopathy</t>
        </is>
      </c>
      <c r="B654" s="86" t="inlineStr">
        <is>
          <t>Kar, S.S.</t>
        </is>
      </c>
      <c r="C654" s="86" t="n">
        <v>2018</v>
      </c>
      <c r="D654" s="86" t="inlineStr">
        <is>
          <t>Included</t>
        </is>
      </c>
      <c r="E654" s="5" t="inlineStr">
        <is>
          <t>Outcome not related to interest</t>
        </is>
      </c>
      <c r="F654" s="5" t="inlineStr">
        <is>
          <t>Outcome not related to interest</t>
        </is>
      </c>
      <c r="G654" s="5" t="inlineStr">
        <is>
          <t>Outcome not related to interest</t>
        </is>
      </c>
      <c r="H654" s="5" t="inlineStr">
        <is>
          <t>Outcome not related to interest</t>
        </is>
      </c>
      <c r="I654" s="5" t="inlineStr">
        <is>
          <t>Outcome not related to interest</t>
        </is>
      </c>
      <c r="J654" s="5" t="inlineStr">
        <is>
          <t>Outcome not related to interest</t>
        </is>
      </c>
    </row>
    <row r="655">
      <c r="A655" s="86" t="inlineStr">
        <is>
          <t>Diagnostic accuracy of a device for the automated detection of diabetic retinopathy in a primary care and extended screening interval setting</t>
        </is>
      </c>
      <c r="B655" s="86" t="inlineStr">
        <is>
          <t>Verbraak, F.</t>
        </is>
      </c>
      <c r="C655" s="86" t="n">
        <v>2018</v>
      </c>
      <c r="D655" s="86" t="inlineStr">
        <is>
          <t>Included</t>
        </is>
      </c>
      <c r="E655" s="86" t="n">
        <v>43</v>
      </c>
      <c r="F655" s="86" t="n">
        <v>96</v>
      </c>
      <c r="G655" s="5" t="inlineStr">
        <is>
          <t>Outcome not related to interest</t>
        </is>
      </c>
      <c r="H655" s="5" t="inlineStr">
        <is>
          <t>Outcome not related to interest</t>
        </is>
      </c>
      <c r="I655" s="5" t="inlineStr">
        <is>
          <t>Retrospective study</t>
        </is>
      </c>
      <c r="J655" s="86" t="n">
        <v>577</v>
      </c>
    </row>
    <row r="656">
      <c r="A656" s="86" t="inlineStr">
        <is>
          <t>Screening for vision-threatening diabetic retinopathy in South India: Comparing portable non-mydriatic and standard fundus cameras and clinical exam</t>
        </is>
      </c>
      <c r="B656" s="86" t="inlineStr">
        <is>
          <t>Sengupta, S.</t>
        </is>
      </c>
      <c r="C656" s="86" t="n">
        <v>2018</v>
      </c>
      <c r="D656" s="86" t="inlineStr">
        <is>
          <t>Included</t>
        </is>
      </c>
      <c r="E656" s="86" t="inlineStr">
        <is>
          <t>Not deep learning</t>
        </is>
      </c>
      <c r="F656" s="86" t="inlineStr">
        <is>
          <t>Not deep learning</t>
        </is>
      </c>
      <c r="G656" s="86" t="inlineStr">
        <is>
          <t>Not deep learning</t>
        </is>
      </c>
      <c r="H656" s="86" t="inlineStr">
        <is>
          <t>Not deep learning</t>
        </is>
      </c>
      <c r="I656" s="86" t="inlineStr">
        <is>
          <t>Not deep learning</t>
        </is>
      </c>
      <c r="J656" s="86" t="inlineStr">
        <is>
          <t>Not deep learning</t>
        </is>
      </c>
    </row>
    <row r="657" ht="18" customHeight="1" s="55">
      <c r="A657" s="86" t="inlineStr">
        <is>
          <t>Automated dr and prediction of various related diseases of retinal fundus images</t>
        </is>
      </c>
      <c r="B657" s="86" t="inlineStr">
        <is>
          <t>Sumathy, B.</t>
        </is>
      </c>
      <c r="C657" s="86" t="n">
        <v>2018</v>
      </c>
      <c r="D657" s="86" t="inlineStr">
        <is>
          <t>Included</t>
        </is>
      </c>
      <c r="E657" s="5" t="inlineStr">
        <is>
          <t>Outcome not related to interest</t>
        </is>
      </c>
      <c r="F657" s="5" t="inlineStr">
        <is>
          <t>Outcome not related to interest</t>
        </is>
      </c>
      <c r="G657" s="5" t="inlineStr">
        <is>
          <t>Outcome not related to interest</t>
        </is>
      </c>
      <c r="H657" s="5" t="inlineStr">
        <is>
          <t>Outcome not related to interest</t>
        </is>
      </c>
      <c r="I657" s="5" t="inlineStr">
        <is>
          <t>Retrospective study</t>
        </is>
      </c>
      <c r="J657" s="6" t="n">
        <v>578</v>
      </c>
    </row>
    <row r="658">
      <c r="A658" s="86" t="inlineStr">
        <is>
          <t>An intelligible deep convolution neural network based approach for classification of diabetic retinopathy</t>
        </is>
      </c>
      <c r="B658" s="86" t="inlineStr">
        <is>
          <t>Sharma, S.</t>
        </is>
      </c>
      <c r="C658" s="86" t="n">
        <v>2018</v>
      </c>
      <c r="D658" s="86" t="inlineStr">
        <is>
          <t>Included</t>
        </is>
      </c>
      <c r="E658" s="5" t="inlineStr">
        <is>
          <t>Outcome not related to interest</t>
        </is>
      </c>
      <c r="F658" s="5" t="inlineStr">
        <is>
          <t>Outcome not related to interest</t>
        </is>
      </c>
      <c r="G658" s="5" t="inlineStr">
        <is>
          <t>Outcome not related to interest</t>
        </is>
      </c>
      <c r="H658" s="5" t="inlineStr">
        <is>
          <t>Outcome not related to interest</t>
        </is>
      </c>
      <c r="I658" s="5" t="inlineStr">
        <is>
          <t>Retrospective study</t>
        </is>
      </c>
      <c r="J658" s="86" t="n">
        <v>579</v>
      </c>
    </row>
    <row r="659">
      <c r="A659" s="86" t="inlineStr">
        <is>
          <t>Automated Identification of Diabetic Retinopathy Using Deep Learning.</t>
        </is>
      </c>
      <c r="B659" s="86" t="inlineStr">
        <is>
          <t>Gargeya, Rishab</t>
        </is>
      </c>
      <c r="C659" s="86" t="n">
        <v>2017</v>
      </c>
      <c r="D659" s="86" t="inlineStr">
        <is>
          <t>Included</t>
        </is>
      </c>
      <c r="E659" s="5" t="inlineStr">
        <is>
          <t>Outcome not related to interest</t>
        </is>
      </c>
      <c r="F659" s="5" t="inlineStr">
        <is>
          <t>Outcome not related to interest</t>
        </is>
      </c>
      <c r="G659" s="5" t="inlineStr">
        <is>
          <t>Outcome not related to interest</t>
        </is>
      </c>
      <c r="H659" s="5" t="inlineStr">
        <is>
          <t>Outcome not related to interest</t>
        </is>
      </c>
      <c r="I659" s="5" t="inlineStr">
        <is>
          <t>Retrospective study</t>
        </is>
      </c>
      <c r="J659" s="86" t="n">
        <v>580</v>
      </c>
    </row>
    <row r="660">
      <c r="A660" s="86" t="inlineStr">
        <is>
          <t>Automatic recognition of severity level for diagnosis of diabetic retinopathy using deep visual features.</t>
        </is>
      </c>
      <c r="B660" s="86" t="inlineStr">
        <is>
          <t>Abbas, Qaisar</t>
        </is>
      </c>
      <c r="C660" s="86" t="n">
        <v>2017</v>
      </c>
      <c r="D660" s="86" t="inlineStr">
        <is>
          <t>Included</t>
        </is>
      </c>
      <c r="E660" s="5" t="inlineStr">
        <is>
          <t>Outcome not related to interest</t>
        </is>
      </c>
      <c r="F660" s="5" t="inlineStr">
        <is>
          <t>Outcome not related to interest</t>
        </is>
      </c>
      <c r="G660" s="5" t="inlineStr">
        <is>
          <t>Outcome not related to interest</t>
        </is>
      </c>
      <c r="H660" s="5" t="inlineStr">
        <is>
          <t>Outcome not related to interest</t>
        </is>
      </c>
      <c r="I660" s="5" t="inlineStr">
        <is>
          <t>Retrospective study</t>
        </is>
      </c>
      <c r="J660" s="86" t="n">
        <v>581</v>
      </c>
    </row>
    <row r="661">
      <c r="A661" s="86" t="inlineStr">
        <is>
          <t>Automated Diabetic Retinopathy Image Assessment Software: Diagnostic Accuracy and Cost-Effectiveness Compared with Human Graders.</t>
        </is>
      </c>
      <c r="B661" s="86" t="inlineStr">
        <is>
          <t>Tufail, Adnan</t>
        </is>
      </c>
      <c r="C661" s="86" t="n">
        <v>2017</v>
      </c>
      <c r="D661" s="86" t="inlineStr">
        <is>
          <t>Included</t>
        </is>
      </c>
      <c r="E661" s="86" t="n">
        <v>44</v>
      </c>
      <c r="F661" s="86" t="n">
        <v>97</v>
      </c>
      <c r="G661" s="5" t="inlineStr">
        <is>
          <t>Outcome not related to interest</t>
        </is>
      </c>
      <c r="H661" s="5" t="inlineStr">
        <is>
          <t>Outcome not related to interest</t>
        </is>
      </c>
      <c r="I661" s="5" t="inlineStr">
        <is>
          <t>Retrospective study</t>
        </is>
      </c>
      <c r="J661" s="86" t="n">
        <v>582</v>
      </c>
    </row>
    <row r="662">
      <c r="A662" s="86" t="inlineStr">
        <is>
          <t>Deep Convolutional Neural Network-Based Early Automated Detection of Diabetic Retinopathy Using Fundus Image.</t>
        </is>
      </c>
      <c r="B662" s="86" t="inlineStr">
        <is>
          <t>Xu, Kele</t>
        </is>
      </c>
      <c r="C662" s="86" t="n">
        <v>2017</v>
      </c>
      <c r="D662" s="86" t="inlineStr">
        <is>
          <t>Included</t>
        </is>
      </c>
      <c r="E662" s="86" t="inlineStr">
        <is>
          <t>Insufficient to constrct confusion matrix</t>
        </is>
      </c>
      <c r="F662" s="86" t="inlineStr">
        <is>
          <t>Insufficient to constrct confusion matrix</t>
        </is>
      </c>
      <c r="G662" s="86" t="inlineStr">
        <is>
          <t>Insufficient to constrct confusion matrix</t>
        </is>
      </c>
      <c r="H662" s="86" t="inlineStr">
        <is>
          <t>Insufficient to constrct confusion matrix</t>
        </is>
      </c>
      <c r="I662" s="86" t="inlineStr">
        <is>
          <t>Insufficient to constrct confusion matrix</t>
        </is>
      </c>
      <c r="J662" s="86" t="inlineStr">
        <is>
          <t>Insufficient to constrct confusion matrix</t>
        </is>
      </c>
    </row>
    <row r="663">
      <c r="A663" s="86" t="inlineStr">
        <is>
          <t>Automatic non-proliferative diabetic retinopathy screening system based on color fundus image.</t>
        </is>
      </c>
      <c r="B663" s="86" t="inlineStr">
        <is>
          <t>Xiao, Zhitao</t>
        </is>
      </c>
      <c r="C663" s="86" t="n">
        <v>2017</v>
      </c>
      <c r="D663" s="86" t="inlineStr">
        <is>
          <t>Included</t>
        </is>
      </c>
      <c r="E663" s="86" t="inlineStr">
        <is>
          <t>Not deep learning</t>
        </is>
      </c>
      <c r="F663" s="86" t="inlineStr">
        <is>
          <t>Not deep learning</t>
        </is>
      </c>
      <c r="G663" s="86" t="inlineStr">
        <is>
          <t>Not deep learning</t>
        </is>
      </c>
      <c r="H663" s="86" t="inlineStr">
        <is>
          <t>Not deep learning</t>
        </is>
      </c>
      <c r="I663" s="86" t="inlineStr">
        <is>
          <t>Not deep learning</t>
        </is>
      </c>
      <c r="J663" s="86" t="inlineStr">
        <is>
          <t>Not deep learning</t>
        </is>
      </c>
    </row>
    <row r="664">
      <c r="A664" s="86" t="inlineStr">
        <is>
          <t>Deep learning-based Diabetic Retinopathy assessment on embedded system.</t>
        </is>
      </c>
      <c r="B664" s="86" t="inlineStr">
        <is>
          <t>Ardiyanto, Igi</t>
        </is>
      </c>
      <c r="C664" s="86" t="n">
        <v>2017</v>
      </c>
      <c r="D664" s="86" t="inlineStr">
        <is>
          <t>Included</t>
        </is>
      </c>
      <c r="E664" s="5" t="inlineStr">
        <is>
          <t>Outcome not related to interest</t>
        </is>
      </c>
      <c r="F664" s="5" t="inlineStr">
        <is>
          <t>Outcome not related to interest</t>
        </is>
      </c>
      <c r="G664" s="5" t="inlineStr">
        <is>
          <t>Outcome not related to interest</t>
        </is>
      </c>
      <c r="H664" s="5" t="inlineStr">
        <is>
          <t>Outcome not related to interest</t>
        </is>
      </c>
      <c r="I664" s="5" t="inlineStr">
        <is>
          <t>Retrospective study</t>
        </is>
      </c>
      <c r="J664" s="86" t="n">
        <v>583</v>
      </c>
    </row>
    <row r="665">
      <c r="A665" s="86" t="inlineStr">
        <is>
          <t>Deep-learning-based automatic computer-aided diagnosis system for diabetic retinopathy.</t>
        </is>
      </c>
      <c r="B665" s="86" t="inlineStr">
        <is>
          <t>Mansour, Romany F</t>
        </is>
      </c>
      <c r="C665" s="86" t="n">
        <v>2017</v>
      </c>
      <c r="D665" s="86" t="inlineStr">
        <is>
          <t>Included</t>
        </is>
      </c>
      <c r="E665" s="5" t="inlineStr">
        <is>
          <t>Outcome not related to interest</t>
        </is>
      </c>
      <c r="F665" s="5" t="inlineStr">
        <is>
          <t>Outcome not related to interest</t>
        </is>
      </c>
      <c r="G665" s="5" t="inlineStr">
        <is>
          <t>Outcome not related to interest</t>
        </is>
      </c>
      <c r="H665" s="5" t="inlineStr">
        <is>
          <t>Outcome not related to interest</t>
        </is>
      </c>
      <c r="I665" s="5" t="inlineStr">
        <is>
          <t>Retrospective study</t>
        </is>
      </c>
      <c r="J665" s="86" t="n">
        <v>584</v>
      </c>
    </row>
    <row r="666">
      <c r="A666" s="86" t="inlineStr">
        <is>
          <t>Non-proliferative diabetic retinopathy symptoms detection and classification using neural network.</t>
        </is>
      </c>
      <c r="B666" s="86" t="inlineStr">
        <is>
          <t>Al-Jarrah, Mohammad A</t>
        </is>
      </c>
      <c r="C666" s="86" t="n">
        <v>2017</v>
      </c>
      <c r="D666" s="86" t="inlineStr">
        <is>
          <t>Included</t>
        </is>
      </c>
      <c r="E666" s="5" t="inlineStr">
        <is>
          <t>Outcome not related to interest</t>
        </is>
      </c>
      <c r="F666" s="5" t="inlineStr">
        <is>
          <t>Outcome not related to interest</t>
        </is>
      </c>
      <c r="G666" s="5" t="inlineStr">
        <is>
          <t>Outcome not related to interest</t>
        </is>
      </c>
      <c r="H666" s="5" t="inlineStr">
        <is>
          <t>Outcome not related to interest</t>
        </is>
      </c>
      <c r="I666" s="5" t="inlineStr">
        <is>
          <t>Retrospective study</t>
        </is>
      </c>
      <c r="J666" s="86" t="n">
        <v>585</v>
      </c>
    </row>
    <row r="667">
      <c r="A667" s="86" t="inlineStr">
        <is>
          <t>Development of a Deep Learning Algorithm for Automatic Diagnosis of Diabetic Retinopathy.</t>
        </is>
      </c>
      <c r="B667" s="86" t="inlineStr">
        <is>
          <t>Raju, Manoj</t>
        </is>
      </c>
      <c r="C667" s="86" t="n">
        <v>2017</v>
      </c>
      <c r="D667" s="86" t="inlineStr">
        <is>
          <t>Included</t>
        </is>
      </c>
      <c r="E667" s="5" t="inlineStr">
        <is>
          <t>Outcome not related to interest</t>
        </is>
      </c>
      <c r="F667" s="5" t="inlineStr">
        <is>
          <t>Outcome not related to interest</t>
        </is>
      </c>
      <c r="G667" s="5" t="inlineStr">
        <is>
          <t>Outcome not related to interest</t>
        </is>
      </c>
      <c r="H667" s="5" t="inlineStr">
        <is>
          <t>Outcome not related to interest</t>
        </is>
      </c>
      <c r="I667" s="5" t="inlineStr">
        <is>
          <t>Retrospective study</t>
        </is>
      </c>
      <c r="J667" s="86" t="n">
        <v>586</v>
      </c>
    </row>
    <row r="668">
      <c r="A668" s="86" t="inlineStr">
        <is>
          <t>Leveraging uncertainty information from deep neural networks for disease detection.</t>
        </is>
      </c>
      <c r="B668" s="86" t="inlineStr">
        <is>
          <t>Leibig, Christian</t>
        </is>
      </c>
      <c r="C668" s="86" t="n">
        <v>2017</v>
      </c>
      <c r="D668" s="86" t="inlineStr">
        <is>
          <t>Included</t>
        </is>
      </c>
      <c r="E668" s="86" t="inlineStr">
        <is>
          <t>Insufficient to constrct confusion matrix</t>
        </is>
      </c>
      <c r="F668" s="86" t="inlineStr">
        <is>
          <t>Insufficient to constrct confusion matrix</t>
        </is>
      </c>
      <c r="G668" s="86" t="inlineStr">
        <is>
          <t>Insufficient to constrct confusion matrix</t>
        </is>
      </c>
      <c r="H668" s="86" t="inlineStr">
        <is>
          <t>Insufficient to constrct confusion matrix</t>
        </is>
      </c>
      <c r="I668" s="86" t="inlineStr">
        <is>
          <t>Insufficient to constrct confusion matrix</t>
        </is>
      </c>
      <c r="J668" s="86" t="inlineStr">
        <is>
          <t>Insufficient to constrct confusion matrix</t>
        </is>
      </c>
    </row>
    <row r="669">
      <c r="A669" s="86" t="inlineStr">
        <is>
          <t>Development and Validation of a Deep Learning System for Diabetic Retinopathy and Related Eye Diseases Using Retinal Images From Multiethnic Populations With Diabetes.</t>
        </is>
      </c>
      <c r="B669" s="86" t="inlineStr">
        <is>
          <t>Ting, Daniel Shu Wei</t>
        </is>
      </c>
      <c r="C669" s="86" t="n">
        <v>2017</v>
      </c>
      <c r="D669" s="86" t="inlineStr">
        <is>
          <t>Included</t>
        </is>
      </c>
      <c r="E669" s="86" t="n">
        <v>45</v>
      </c>
      <c r="F669" s="86" t="n">
        <v>98</v>
      </c>
      <c r="G669" s="5" t="inlineStr">
        <is>
          <t>Outcome not related to interest</t>
        </is>
      </c>
      <c r="H669" s="86" t="n">
        <v>33</v>
      </c>
      <c r="I669" s="5" t="inlineStr">
        <is>
          <t>Retrospective study</t>
        </is>
      </c>
      <c r="J669" s="86" t="n">
        <v>587</v>
      </c>
    </row>
    <row r="670">
      <c r="A670" s="86" t="inlineStr">
        <is>
          <t>A deep learning algorithm for detecting common eye diseases based on fundus photography</t>
        </is>
      </c>
      <c r="B670" s="86" t="inlineStr">
        <is>
          <t>He, M.</t>
        </is>
      </c>
      <c r="C670" s="86" t="n">
        <v>2017</v>
      </c>
      <c r="D670" s="86" t="inlineStr">
        <is>
          <t>Included</t>
        </is>
      </c>
      <c r="E670" s="5" t="inlineStr">
        <is>
          <t>Outcome not related to interest</t>
        </is>
      </c>
      <c r="F670" s="5" t="inlineStr">
        <is>
          <t>Outcome not related to interest</t>
        </is>
      </c>
      <c r="G670" s="5" t="inlineStr">
        <is>
          <t>Outcome not related to interest</t>
        </is>
      </c>
      <c r="H670" s="5" t="inlineStr">
        <is>
          <t>Outcome not related to interest</t>
        </is>
      </c>
      <c r="I670" s="5" t="inlineStr">
        <is>
          <t>Retrospective study</t>
        </is>
      </c>
      <c r="J670" s="86" t="n">
        <v>588</v>
      </c>
    </row>
    <row r="671">
      <c r="A671" s="86" t="inlineStr">
        <is>
          <t>Validation of a deep learning algorithm for referable diabetic retinopathy: A pilot study</t>
        </is>
      </c>
      <c r="B671" s="86" t="inlineStr">
        <is>
          <t>Keel, S.</t>
        </is>
      </c>
      <c r="C671" s="86" t="n">
        <v>2017</v>
      </c>
      <c r="D671" s="86" t="inlineStr">
        <is>
          <t>Included</t>
        </is>
      </c>
      <c r="E671" s="5" t="inlineStr">
        <is>
          <t>Outcome not related to interest</t>
        </is>
      </c>
      <c r="F671" s="5" t="inlineStr">
        <is>
          <t>Outcome not related to interest</t>
        </is>
      </c>
      <c r="G671" s="5" t="inlineStr">
        <is>
          <t>Outcome not related to interest</t>
        </is>
      </c>
      <c r="H671" s="5" t="inlineStr">
        <is>
          <t>Outcome not related to interest</t>
        </is>
      </c>
      <c r="I671" s="5" t="inlineStr">
        <is>
          <t>Retrospective study</t>
        </is>
      </c>
      <c r="J671" s="86" t="n">
        <v>589</v>
      </c>
    </row>
    <row r="672">
      <c r="A672" s="86" t="inlineStr">
        <is>
          <t>Deep learning to screen for referable diabetic retinopathy</t>
        </is>
      </c>
      <c r="B672" s="86" t="inlineStr">
        <is>
          <t>De Boever, P.</t>
        </is>
      </c>
      <c r="C672" s="86" t="n">
        <v>2017</v>
      </c>
      <c r="D672" s="86" t="inlineStr">
        <is>
          <t>Included</t>
        </is>
      </c>
      <c r="E672" s="5" t="inlineStr">
        <is>
          <t>Outcome not related to interest</t>
        </is>
      </c>
      <c r="F672" s="5" t="inlineStr">
        <is>
          <t>Outcome not related to interest</t>
        </is>
      </c>
      <c r="G672" s="5" t="inlineStr">
        <is>
          <t>Outcome not related to interest</t>
        </is>
      </c>
      <c r="H672" s="5" t="inlineStr">
        <is>
          <t>Outcome not related to interest</t>
        </is>
      </c>
      <c r="I672" s="86" t="n">
        <v>106</v>
      </c>
      <c r="J672" s="86" t="n">
        <v>590</v>
      </c>
    </row>
    <row r="673">
      <c r="A673" s="86" t="inlineStr">
        <is>
          <t>Deep learning system for screening of diabetic retinopathy, glaucoma and age-related macular degeneration using retinal photographs: The deep eye study</t>
        </is>
      </c>
      <c r="B673" s="86" t="inlineStr">
        <is>
          <t>Lim, G.</t>
        </is>
      </c>
      <c r="C673" s="86" t="n">
        <v>2017</v>
      </c>
      <c r="D673" s="86" t="inlineStr">
        <is>
          <t>Included</t>
        </is>
      </c>
      <c r="E673" s="5" t="inlineStr">
        <is>
          <t>Outcome not related to interest</t>
        </is>
      </c>
      <c r="F673" s="5" t="inlineStr">
        <is>
          <t>Outcome not related to interest</t>
        </is>
      </c>
      <c r="G673" s="5" t="inlineStr">
        <is>
          <t>Outcome not related to interest</t>
        </is>
      </c>
      <c r="H673" s="5" t="inlineStr">
        <is>
          <t>Outcome not related to interest</t>
        </is>
      </c>
      <c r="I673" s="5" t="inlineStr">
        <is>
          <t>Retrospective study</t>
        </is>
      </c>
      <c r="J673" s="86" t="n">
        <v>591</v>
      </c>
    </row>
    <row r="674">
      <c r="A674" s="86" t="inlineStr">
        <is>
          <t>Opening the black box: Visualization of deep neural network for detection of disease in retinal fundus photographs</t>
        </is>
      </c>
      <c r="B674" s="86" t="inlineStr">
        <is>
          <t>Huang, L.C.</t>
        </is>
      </c>
      <c r="C674" s="86" t="n">
        <v>2017</v>
      </c>
      <c r="D674" s="86" t="inlineStr">
        <is>
          <t>Included</t>
        </is>
      </c>
      <c r="E674" s="5" t="inlineStr">
        <is>
          <t>Outcome not related to interest</t>
        </is>
      </c>
      <c r="F674" s="5" t="inlineStr">
        <is>
          <t>Outcome not related to interest</t>
        </is>
      </c>
      <c r="G674" s="5" t="inlineStr">
        <is>
          <t>Outcome not related to interest</t>
        </is>
      </c>
      <c r="H674" s="5" t="inlineStr">
        <is>
          <t>Outcome not related to interest</t>
        </is>
      </c>
      <c r="I674" s="5" t="inlineStr">
        <is>
          <t>Retrospective study</t>
        </is>
      </c>
      <c r="J674" s="86" t="n">
        <v>592</v>
      </c>
    </row>
    <row r="675">
      <c r="A675" s="86" t="inlineStr">
        <is>
          <t>A deep learning approach for automatic identification of referral-warranted diabetic retinopathy</t>
        </is>
      </c>
      <c r="B675" s="86" t="inlineStr">
        <is>
          <t>Leng, T.</t>
        </is>
      </c>
      <c r="C675" s="86" t="n">
        <v>2017</v>
      </c>
      <c r="D675" s="86" t="inlineStr">
        <is>
          <t>Included</t>
        </is>
      </c>
      <c r="E675" s="86" t="inlineStr">
        <is>
          <t>Insufficient to constrct confusion matrix</t>
        </is>
      </c>
      <c r="F675" s="86" t="inlineStr">
        <is>
          <t>Insufficient to constrct confusion matrix</t>
        </is>
      </c>
      <c r="G675" s="86" t="inlineStr">
        <is>
          <t>Insufficient to constrct confusion matrix</t>
        </is>
      </c>
      <c r="H675" s="86" t="inlineStr">
        <is>
          <t>Insufficient to constrct confusion matrix</t>
        </is>
      </c>
      <c r="I675" s="86" t="inlineStr">
        <is>
          <t>Insufficient to constrct confusion matrix</t>
        </is>
      </c>
      <c r="J675" s="86" t="inlineStr">
        <is>
          <t>Insufficient to constrct confusion matrix</t>
        </is>
      </c>
    </row>
    <row r="676">
      <c r="A676" s="86" t="inlineStr">
        <is>
          <t>Validation of EyeArt automated diabetic retinopathy screening system on large cohort of mydriatic and non mydriatic telescreening data from EyePACS</t>
        </is>
      </c>
      <c r="B676" s="86" t="inlineStr">
        <is>
          <t>Solanki, K.</t>
        </is>
      </c>
      <c r="C676" s="86" t="n">
        <v>2017</v>
      </c>
      <c r="D676" s="86" t="inlineStr">
        <is>
          <t>Included</t>
        </is>
      </c>
      <c r="E676" s="86" t="n">
        <v>46</v>
      </c>
      <c r="F676" s="86" t="n">
        <v>99</v>
      </c>
      <c r="G676" s="5" t="inlineStr">
        <is>
          <t>Outcome not related to interest</t>
        </is>
      </c>
      <c r="H676" s="5" t="inlineStr">
        <is>
          <t>Outcome not related to interest</t>
        </is>
      </c>
      <c r="I676" s="5" t="inlineStr">
        <is>
          <t>Retrospective study</t>
        </is>
      </c>
      <c r="J676" s="86" t="n">
        <v>593</v>
      </c>
    </row>
    <row r="677">
      <c r="A677" s="86" t="inlineStr">
        <is>
          <t>Holoentropy enabled-decision tree for automatic classification of diabetic retinopathy using retinal fundus images</t>
        </is>
      </c>
      <c r="B677" s="86" t="inlineStr">
        <is>
          <t>Mane, V.M.</t>
        </is>
      </c>
      <c r="C677" s="86" t="n">
        <v>2017</v>
      </c>
      <c r="D677" s="86" t="inlineStr">
        <is>
          <t>Included</t>
        </is>
      </c>
      <c r="E677" s="5" t="inlineStr">
        <is>
          <t>Outcome not related to interest</t>
        </is>
      </c>
      <c r="F677" s="5" t="inlineStr">
        <is>
          <t>Outcome not related to interest</t>
        </is>
      </c>
      <c r="G677" s="5" t="inlineStr">
        <is>
          <t>Outcome not related to interest</t>
        </is>
      </c>
      <c r="H677" s="5" t="inlineStr">
        <is>
          <t>Outcome not related to interest</t>
        </is>
      </c>
      <c r="I677" s="5" t="inlineStr">
        <is>
          <t>Retrospective study</t>
        </is>
      </c>
      <c r="J677" s="86" t="n">
        <v>594</v>
      </c>
    </row>
    <row r="678">
      <c r="A678" s="86" t="inlineStr">
        <is>
          <t>Validity, usefulness and cost of RETeval system for diabetic retinopathy screening</t>
        </is>
      </c>
      <c r="B678" s="86" t="inlineStr">
        <is>
          <t>Al-Otaibi, H.</t>
        </is>
      </c>
      <c r="C678" s="86" t="n">
        <v>2017</v>
      </c>
      <c r="D678" s="86" t="inlineStr">
        <is>
          <t>Included</t>
        </is>
      </c>
      <c r="E678" s="86" t="inlineStr">
        <is>
          <t>Not deep learning</t>
        </is>
      </c>
      <c r="F678" s="86" t="inlineStr">
        <is>
          <t>Not deep learning</t>
        </is>
      </c>
      <c r="G678" s="86" t="inlineStr">
        <is>
          <t>Not deep learning</t>
        </is>
      </c>
      <c r="H678" s="86" t="inlineStr">
        <is>
          <t>Not deep learning</t>
        </is>
      </c>
      <c r="I678" s="86" t="inlineStr">
        <is>
          <t>Not deep learning</t>
        </is>
      </c>
      <c r="J678" s="86" t="inlineStr">
        <is>
          <t>Not deep learning</t>
        </is>
      </c>
    </row>
    <row r="679">
      <c r="A679" s="86" t="inlineStr">
        <is>
          <t>Diabetic retinopathy screening system: A validation analysis with multiple fundus image databases</t>
        </is>
      </c>
      <c r="B679" s="86" t="inlineStr">
        <is>
          <t>Annie Grace Vimala, G.S.</t>
        </is>
      </c>
      <c r="C679" s="86" t="n">
        <v>2017</v>
      </c>
      <c r="D679" s="86" t="inlineStr">
        <is>
          <t>Included</t>
        </is>
      </c>
      <c r="E679" s="5" t="inlineStr">
        <is>
          <t>Outcome not related to interest</t>
        </is>
      </c>
      <c r="F679" s="5" t="inlineStr">
        <is>
          <t>Outcome not related to interest</t>
        </is>
      </c>
      <c r="G679" s="5" t="inlineStr">
        <is>
          <t>Outcome not related to interest</t>
        </is>
      </c>
      <c r="H679" s="5" t="inlineStr">
        <is>
          <t>Outcome not related to interest</t>
        </is>
      </c>
      <c r="I679" s="5" t="inlineStr">
        <is>
          <t>Retrospective study</t>
        </is>
      </c>
      <c r="J679" s="86" t="n">
        <v>595</v>
      </c>
    </row>
    <row r="680">
      <c r="A680" s="86" t="inlineStr">
        <is>
          <t>An observational study to assess if automated diabetic retinopathy image assessment software can replace one or more steps of manual imaging grading and to determine their cost-effectiveness.</t>
        </is>
      </c>
      <c r="B680" s="86" t="inlineStr">
        <is>
          <t>Tufail, Adnan</t>
        </is>
      </c>
      <c r="C680" s="86" t="n">
        <v>2016</v>
      </c>
      <c r="D680" s="86" t="inlineStr">
        <is>
          <t>Included</t>
        </is>
      </c>
      <c r="E680" s="86" t="n">
        <v>47</v>
      </c>
      <c r="F680" s="86" t="n">
        <v>100</v>
      </c>
      <c r="G680" s="86" t="n">
        <v>7</v>
      </c>
      <c r="H680" s="5" t="inlineStr">
        <is>
          <t>Outcome not related to interest</t>
        </is>
      </c>
      <c r="I680" s="5" t="inlineStr">
        <is>
          <t>Retrospective study</t>
        </is>
      </c>
      <c r="J680" s="86" t="n">
        <v>596</v>
      </c>
    </row>
    <row r="681">
      <c r="A681" s="86" t="inlineStr">
        <is>
          <t>Development and Validation of a Deep Learning Algorithm for Detection of Diabetic Retinopathy in Retinal Fundus Photographs.</t>
        </is>
      </c>
      <c r="B681" s="86" t="inlineStr">
        <is>
          <t>Gulshan, Varun</t>
        </is>
      </c>
      <c r="C681" s="86" t="n">
        <v>2016</v>
      </c>
      <c r="D681" s="86" t="inlineStr">
        <is>
          <t>Included</t>
        </is>
      </c>
      <c r="E681" s="5" t="inlineStr">
        <is>
          <t>Outcome not related to interest</t>
        </is>
      </c>
      <c r="F681" s="5" t="inlineStr">
        <is>
          <t>Outcome not related to interest</t>
        </is>
      </c>
      <c r="G681" s="5" t="inlineStr">
        <is>
          <t>Outcome not related to interest</t>
        </is>
      </c>
      <c r="H681" s="5" t="inlineStr">
        <is>
          <t>Outcome not related to interest</t>
        </is>
      </c>
      <c r="I681" s="5" t="inlineStr">
        <is>
          <t>Retrospective study</t>
        </is>
      </c>
      <c r="J681" s="86" t="n">
        <v>597</v>
      </c>
    </row>
    <row r="682">
      <c r="A682" s="86" t="inlineStr">
        <is>
          <t>Improved Automated Detection of Diabetic Retinopathy on a Publicly Available Dataset Through Integration of Deep Learning.</t>
        </is>
      </c>
      <c r="B682" s="86" t="inlineStr">
        <is>
          <t>Abrmoff, Michael David</t>
        </is>
      </c>
      <c r="C682" s="86" t="n">
        <v>2016</v>
      </c>
      <c r="D682" s="86" t="inlineStr">
        <is>
          <t>Included</t>
        </is>
      </c>
      <c r="E682" s="86" t="n">
        <v>48</v>
      </c>
      <c r="F682" s="86" t="n">
        <v>101</v>
      </c>
      <c r="G682" s="5" t="inlineStr">
        <is>
          <t>Outcome not related to interest</t>
        </is>
      </c>
      <c r="H682" s="5" t="inlineStr">
        <is>
          <t>Outcome not related to interest</t>
        </is>
      </c>
      <c r="I682" s="5" t="inlineStr">
        <is>
          <t>Retrospective study</t>
        </is>
      </c>
      <c r="J682" s="86" t="n">
        <v>598</v>
      </c>
    </row>
    <row r="683">
      <c r="A683" s="86" t="inlineStr">
        <is>
          <t>Deep learning approach for diabetic retinopathy screening</t>
        </is>
      </c>
      <c r="B683" s="86" t="inlineStr">
        <is>
          <t>Colas, E.</t>
        </is>
      </c>
      <c r="C683" s="86" t="n">
        <v>2016</v>
      </c>
      <c r="D683" s="86" t="inlineStr">
        <is>
          <t>Included</t>
        </is>
      </c>
      <c r="E683" s="5" t="inlineStr">
        <is>
          <t>Outcome not related to interest</t>
        </is>
      </c>
      <c r="F683" s="5" t="inlineStr">
        <is>
          <t>Outcome not related to interest</t>
        </is>
      </c>
      <c r="G683" s="5" t="inlineStr">
        <is>
          <t>Outcome not related to interest</t>
        </is>
      </c>
      <c r="H683" s="5" t="inlineStr">
        <is>
          <t>Outcome not related to interest</t>
        </is>
      </c>
      <c r="I683" s="5" t="inlineStr">
        <is>
          <t>Retrospective study</t>
        </is>
      </c>
      <c r="J683" s="86" t="n">
        <v>599</v>
      </c>
    </row>
    <row r="684">
      <c r="A684" s="86" t="inlineStr">
        <is>
          <t>Automated diabetic retinopathy image assessment softwares: Diagnostic accuracy and cost-effectiveness compared to human graders</t>
        </is>
      </c>
      <c r="B684" s="86" t="inlineStr">
        <is>
          <t>Egan, C.</t>
        </is>
      </c>
      <c r="C684" s="86" t="n">
        <v>2016</v>
      </c>
      <c r="D684" s="86" t="inlineStr">
        <is>
          <t>Included</t>
        </is>
      </c>
      <c r="E684" s="86" t="inlineStr">
        <is>
          <t>Repeated article</t>
        </is>
      </c>
      <c r="F684" s="86" t="inlineStr">
        <is>
          <t>Repeated article</t>
        </is>
      </c>
      <c r="G684" s="86" t="inlineStr">
        <is>
          <t>Repeated article</t>
        </is>
      </c>
      <c r="H684" s="86" t="inlineStr">
        <is>
          <t>Repeated article</t>
        </is>
      </c>
      <c r="I684" s="86" t="inlineStr">
        <is>
          <t>Repeated article</t>
        </is>
      </c>
      <c r="J684" s="86" t="inlineStr">
        <is>
          <t>Repeated article</t>
        </is>
      </c>
    </row>
    <row r="685">
      <c r="A685" s="86" t="inlineStr">
        <is>
          <t>Teleretinal screening in Mexico: Automating diabetic retinopathy screening at a comprehensive diabetes care clinic in Monterrey, Mexico</t>
        </is>
      </c>
      <c r="B685" s="86" t="inlineStr">
        <is>
          <t>Zamora, G.</t>
        </is>
      </c>
      <c r="C685" s="86" t="n">
        <v>2016</v>
      </c>
      <c r="D685" s="86" t="inlineStr">
        <is>
          <t>Included</t>
        </is>
      </c>
      <c r="E685" s="5" t="inlineStr">
        <is>
          <t>Outcome not related to interest</t>
        </is>
      </c>
      <c r="F685" s="5" t="inlineStr">
        <is>
          <t>Outcome not related to interest</t>
        </is>
      </c>
      <c r="G685" s="5" t="inlineStr">
        <is>
          <t>Outcome not related to interest</t>
        </is>
      </c>
      <c r="H685" s="5" t="inlineStr">
        <is>
          <t>Outcome not related to interest</t>
        </is>
      </c>
      <c r="I685" s="5" t="inlineStr">
        <is>
          <t>Retrospective study</t>
        </is>
      </c>
      <c r="J685" s="86" t="n">
        <v>601</v>
      </c>
    </row>
    <row r="686">
      <c r="A686" s="86" t="inlineStr">
        <is>
          <t>Diabetic retinopathy mass screening using an automatic telemedicine system</t>
        </is>
      </c>
      <c r="B686" s="86" t="inlineStr">
        <is>
          <t>Bergua, A.</t>
        </is>
      </c>
      <c r="C686" s="86" t="n">
        <v>2016</v>
      </c>
      <c r="D686" s="86" t="inlineStr">
        <is>
          <t>Included</t>
        </is>
      </c>
      <c r="E686" s="5" t="inlineStr">
        <is>
          <t>Outcome not related to interest</t>
        </is>
      </c>
      <c r="F686" s="5" t="inlineStr">
        <is>
          <t>Outcome not related to interest</t>
        </is>
      </c>
      <c r="G686" s="5" t="inlineStr">
        <is>
          <t>Outcome not related to interest</t>
        </is>
      </c>
      <c r="H686" s="5" t="inlineStr">
        <is>
          <t>Outcome not related to interest</t>
        </is>
      </c>
      <c r="I686" s="5" t="inlineStr">
        <is>
          <t>Retrospective study</t>
        </is>
      </c>
      <c r="J686" s="86" t="n">
        <v>602</v>
      </c>
    </row>
    <row r="687">
      <c r="A687" s="86" t="inlineStr">
        <is>
          <t>Real world, large-scale study of safety and effectiveness of a fully-automated diabetic retinopathy screening system</t>
        </is>
      </c>
      <c r="B687" s="86" t="inlineStr">
        <is>
          <t>Solanki, K.</t>
        </is>
      </c>
      <c r="C687" s="86" t="n">
        <v>2016</v>
      </c>
      <c r="D687" s="86" t="inlineStr">
        <is>
          <t>Included</t>
        </is>
      </c>
      <c r="E687" s="86" t="n">
        <v>50</v>
      </c>
      <c r="F687" s="86" t="n">
        <v>103</v>
      </c>
      <c r="G687" s="5" t="inlineStr">
        <is>
          <t>Outcome not related to interest</t>
        </is>
      </c>
      <c r="H687" s="5" t="inlineStr">
        <is>
          <t>Outcome not related to interest</t>
        </is>
      </c>
      <c r="I687" s="5" t="inlineStr">
        <is>
          <t>Retrospective study</t>
        </is>
      </c>
      <c r="J687" s="86" t="n">
        <v>603</v>
      </c>
    </row>
    <row r="688">
      <c r="A688" s="86" t="inlineStr">
        <is>
          <t>Comparing the accuracy of automated retinal analysis software to manual reading for Diabetic Retinopathy detection in DM type 1</t>
        </is>
      </c>
      <c r="B688" s="86" t="inlineStr">
        <is>
          <t>Kommana, S.S.</t>
        </is>
      </c>
      <c r="C688" s="86" t="n">
        <v>2016</v>
      </c>
      <c r="D688" s="86" t="inlineStr">
        <is>
          <t>Included</t>
        </is>
      </c>
      <c r="E688" s="86" t="inlineStr">
        <is>
          <t>Insufficient to constrct confusion matrix</t>
        </is>
      </c>
      <c r="F688" s="86" t="inlineStr">
        <is>
          <t>Insufficient to constrct confusion matrix</t>
        </is>
      </c>
      <c r="G688" s="86" t="inlineStr">
        <is>
          <t>Insufficient to constrct confusion matrix</t>
        </is>
      </c>
      <c r="H688" s="86" t="inlineStr">
        <is>
          <t>Insufficient to constrct confusion matrix</t>
        </is>
      </c>
      <c r="I688" s="86" t="inlineStr">
        <is>
          <t>Insufficient to constrct confusion matrix</t>
        </is>
      </c>
      <c r="J688" s="86" t="inlineStr">
        <is>
          <t>Insufficient to constrct confusion matrix</t>
        </is>
      </c>
    </row>
    <row r="689">
      <c r="A689" s="86" t="inlineStr">
        <is>
          <t>Automated image analysis for Diabetic Retinopathy Screening with iPhone-based fundus camera</t>
        </is>
      </c>
      <c r="B689" s="86" t="inlineStr">
        <is>
          <t>Bhat, S.</t>
        </is>
      </c>
      <c r="C689" s="86" t="n">
        <v>2016</v>
      </c>
      <c r="D689" s="86" t="inlineStr">
        <is>
          <t>Included</t>
        </is>
      </c>
      <c r="E689" s="86" t="inlineStr">
        <is>
          <t>Not deep learning</t>
        </is>
      </c>
      <c r="F689" s="86" t="inlineStr">
        <is>
          <t>Not deep learning</t>
        </is>
      </c>
      <c r="G689" s="86" t="inlineStr">
        <is>
          <t>Not deep learning</t>
        </is>
      </c>
      <c r="H689" s="86" t="inlineStr">
        <is>
          <t>Not deep learning</t>
        </is>
      </c>
      <c r="I689" s="86" t="inlineStr">
        <is>
          <t>Not deep learning</t>
        </is>
      </c>
      <c r="J689" s="86" t="inlineStr">
        <is>
          <t>Not deep learning</t>
        </is>
      </c>
    </row>
    <row r="690">
      <c r="A690" s="86" t="inlineStr">
        <is>
          <t>Automated diabetic retinopathy screening: Large-scale study on consecutive patient visits in a primary care setting</t>
        </is>
      </c>
      <c r="B690" s="86" t="inlineStr">
        <is>
          <t>Solanki, K.</t>
        </is>
      </c>
      <c r="C690" s="86" t="n">
        <v>2016</v>
      </c>
      <c r="D690" s="86" t="inlineStr">
        <is>
          <t>Included</t>
        </is>
      </c>
      <c r="E690" s="86" t="n">
        <v>51</v>
      </c>
      <c r="F690" s="86" t="n">
        <v>104</v>
      </c>
      <c r="G690" s="5" t="inlineStr">
        <is>
          <t>Outcome not related to interest</t>
        </is>
      </c>
      <c r="H690" s="5" t="inlineStr">
        <is>
          <t>Outcome not related to interest</t>
        </is>
      </c>
      <c r="I690" s="5" t="inlineStr">
        <is>
          <t>Retrospective study</t>
        </is>
      </c>
      <c r="J690" s="86" t="n">
        <v>604</v>
      </c>
    </row>
    <row r="691">
      <c r="A691" s="86" t="inlineStr">
        <is>
          <t>Validation of automated diabetic retinopathy screening with the IDx-DR device in the Hoorn Diabetes Care System</t>
        </is>
      </c>
      <c r="B691" s="86" t="inlineStr">
        <is>
          <t>Van Der Heijden, A.A.W.</t>
        </is>
      </c>
      <c r="C691" s="86" t="n">
        <v>2016</v>
      </c>
      <c r="D691" s="86" t="inlineStr">
        <is>
          <t>Included</t>
        </is>
      </c>
      <c r="E691" s="86" t="n">
        <v>52</v>
      </c>
      <c r="F691" s="86" t="n">
        <v>105</v>
      </c>
      <c r="G691" s="5" t="inlineStr">
        <is>
          <t>Outcome not related to interest</t>
        </is>
      </c>
      <c r="H691" s="5" t="inlineStr">
        <is>
          <t>Outcome not related to interest</t>
        </is>
      </c>
      <c r="I691" s="5" t="inlineStr">
        <is>
          <t>Retrospective study</t>
        </is>
      </c>
      <c r="J691" s="86" t="n">
        <v>605</v>
      </c>
    </row>
    <row r="692">
      <c r="A692" s="86" t="inlineStr">
        <is>
          <t>Automated screening of diabetic retinopathy is safe and effective: A large-scale study on 55,074 diabetic patients</t>
        </is>
      </c>
      <c r="B692" s="86" t="inlineStr">
        <is>
          <t>Solanki, K.M.</t>
        </is>
      </c>
      <c r="C692" s="86" t="n">
        <v>2015</v>
      </c>
      <c r="D692" s="86" t="inlineStr">
        <is>
          <t>Included</t>
        </is>
      </c>
      <c r="E692" s="86" t="n">
        <v>53</v>
      </c>
      <c r="F692" s="86" t="n">
        <v>106</v>
      </c>
      <c r="G692" s="5" t="inlineStr">
        <is>
          <t>Outcome not related to interest</t>
        </is>
      </c>
      <c r="H692" s="5" t="inlineStr">
        <is>
          <t>Outcome not related to interest</t>
        </is>
      </c>
      <c r="I692" s="5" t="inlineStr">
        <is>
          <t>Retrospective study</t>
        </is>
      </c>
      <c r="J692" s="86" t="n">
        <v>606</v>
      </c>
    </row>
    <row r="693">
      <c r="A693" s="86" t="inlineStr">
        <is>
          <t>Diabetic retinopathy severity grading using digital image processing algorithms</t>
        </is>
      </c>
      <c r="B693" s="86" t="inlineStr">
        <is>
          <t>Valverde, C.</t>
        </is>
      </c>
      <c r="C693" s="86" t="n">
        <v>2015</v>
      </c>
      <c r="D693" s="86" t="inlineStr">
        <is>
          <t>Included</t>
        </is>
      </c>
      <c r="E693" s="5" t="inlineStr">
        <is>
          <t>Outcome not related to interest</t>
        </is>
      </c>
      <c r="F693" s="5" t="inlineStr">
        <is>
          <t>Outcome not related to interest</t>
        </is>
      </c>
      <c r="G693" s="5" t="inlineStr">
        <is>
          <t>Outcome not related to interest</t>
        </is>
      </c>
      <c r="H693" s="5" t="inlineStr">
        <is>
          <t>Outcome not related to interest</t>
        </is>
      </c>
      <c r="I693" s="5" t="inlineStr">
        <is>
          <t>Retrospective study</t>
        </is>
      </c>
      <c r="J693" s="86" t="n">
        <v>607</v>
      </c>
    </row>
    <row r="694">
      <c r="A694" s="86" t="inlineStr">
        <is>
          <t>Fully-automated diabetic retinopathy screening using cellphone-based cameras</t>
        </is>
      </c>
      <c r="B694" s="86" t="inlineStr">
        <is>
          <t>Bhat, S.</t>
        </is>
      </c>
      <c r="C694" s="86" t="n">
        <v>2015</v>
      </c>
      <c r="D694" s="86" t="inlineStr">
        <is>
          <t>Included</t>
        </is>
      </c>
      <c r="E694" s="5" t="inlineStr">
        <is>
          <t>Outcome not related to interest</t>
        </is>
      </c>
      <c r="F694" s="5" t="inlineStr">
        <is>
          <t>Outcome not related to interest</t>
        </is>
      </c>
      <c r="G694" s="5" t="inlineStr">
        <is>
          <t>Outcome not related to interest</t>
        </is>
      </c>
      <c r="H694" s="5" t="inlineStr">
        <is>
          <t>Outcome not related to interest</t>
        </is>
      </c>
      <c r="I694" s="5" t="inlineStr">
        <is>
          <t>Retrospective study</t>
        </is>
      </c>
      <c r="J694" s="86" t="n">
        <v>608</v>
      </c>
    </row>
    <row r="695">
      <c r="A695" s="86" t="inlineStr">
        <is>
          <t>EyeArt: Automated, high-throughput, image analysis for diabetic retinopathy screening</t>
        </is>
      </c>
      <c r="B695" s="86" t="inlineStr">
        <is>
          <t>Solanki, K.</t>
        </is>
      </c>
      <c r="C695" s="86" t="n">
        <v>2015</v>
      </c>
      <c r="D695" s="86" t="inlineStr">
        <is>
          <t>Included</t>
        </is>
      </c>
      <c r="E695" s="86" t="n">
        <v>54</v>
      </c>
      <c r="F695" s="86" t="n">
        <v>107</v>
      </c>
      <c r="G695" s="5" t="inlineStr">
        <is>
          <t>Outcome not related to interest</t>
        </is>
      </c>
      <c r="H695" s="5" t="inlineStr">
        <is>
          <t>Outcome not related to interest</t>
        </is>
      </c>
      <c r="I695" s="5" t="inlineStr">
        <is>
          <t>Retrospective study</t>
        </is>
      </c>
      <c r="J695" s="86" t="n">
        <v>609</v>
      </c>
    </row>
    <row r="696">
      <c r="A696" s="86" t="inlineStr">
        <is>
          <t>Cloud-based imaging program for diabetic retinopathy screening and monitoring</t>
        </is>
      </c>
      <c r="B696" s="86" t="inlineStr">
        <is>
          <t>Tan, P.C.</t>
        </is>
      </c>
      <c r="C696" s="86" t="n">
        <v>2015</v>
      </c>
      <c r="D696" s="86" t="inlineStr">
        <is>
          <t>Included</t>
        </is>
      </c>
      <c r="E696" s="5" t="inlineStr">
        <is>
          <t>Outcome not related to interest</t>
        </is>
      </c>
      <c r="F696" s="86" t="n">
        <v>108</v>
      </c>
      <c r="G696" s="5" t="inlineStr">
        <is>
          <t>Outcome not related to interest</t>
        </is>
      </c>
      <c r="H696" s="5" t="inlineStr">
        <is>
          <t>Outcome not related to interest</t>
        </is>
      </c>
      <c r="I696" s="5" t="inlineStr">
        <is>
          <t>Retrospective study</t>
        </is>
      </c>
      <c r="J696" s="86" t="n">
        <v>610</v>
      </c>
    </row>
    <row r="697">
      <c r="A697" s="86" t="inlineStr">
        <is>
          <t>Identifying diabetic eye disease: Comparison of clinical examination by ophthalmologists to automated detection from retinal color images</t>
        </is>
      </c>
      <c r="B697" s="86" t="inlineStr">
        <is>
          <t>Maguire, M.G.</t>
        </is>
      </c>
      <c r="C697" s="86" t="n">
        <v>2015</v>
      </c>
      <c r="D697" s="86" t="inlineStr">
        <is>
          <t>Included</t>
        </is>
      </c>
      <c r="E697" s="86" t="n">
        <v>55</v>
      </c>
      <c r="F697" s="86" t="n">
        <v>109</v>
      </c>
      <c r="G697" s="5" t="inlineStr">
        <is>
          <t>Outcome not related to interest</t>
        </is>
      </c>
      <c r="H697" s="5" t="inlineStr">
        <is>
          <t>Outcome not related to interest</t>
        </is>
      </c>
      <c r="I697" s="5" t="inlineStr">
        <is>
          <t>Retrospective study</t>
        </is>
      </c>
      <c r="J697" s="86" t="n">
        <v>611</v>
      </c>
    </row>
    <row r="698">
      <c r="A698" s="86" t="inlineStr">
        <is>
          <t>Automated high-throughput screening of diabetic retinopathy is safe and effective</t>
        </is>
      </c>
      <c r="B698" s="86" t="inlineStr">
        <is>
          <t>Solanki, K.</t>
        </is>
      </c>
      <c r="C698" s="86" t="n">
        <v>2015</v>
      </c>
      <c r="D698" s="86" t="inlineStr">
        <is>
          <t>Included</t>
        </is>
      </c>
      <c r="E698" s="86" t="n">
        <v>56</v>
      </c>
      <c r="F698" s="86" t="n">
        <v>110</v>
      </c>
      <c r="G698" s="5" t="inlineStr">
        <is>
          <t>Outcome not related to interest</t>
        </is>
      </c>
      <c r="H698" s="5" t="inlineStr">
        <is>
          <t>Outcome not related to interest</t>
        </is>
      </c>
      <c r="I698" s="5" t="inlineStr">
        <is>
          <t>Retrospective study</t>
        </is>
      </c>
      <c r="J698" s="86" t="n">
        <v>612</v>
      </c>
    </row>
    <row r="699">
      <c r="A699" s="86" t="inlineStr">
        <is>
          <t>Comparison of screening for diabetic retinopathy between clinical examination by ophthalmologists and automated detection from retinal color images</t>
        </is>
      </c>
      <c r="B699" s="86" t="inlineStr">
        <is>
          <t>Abramoff, M.</t>
        </is>
      </c>
      <c r="C699" s="86" t="n">
        <v>2015</v>
      </c>
      <c r="D699" s="86" t="inlineStr">
        <is>
          <t>Included</t>
        </is>
      </c>
      <c r="E699" s="86" t="n">
        <v>57</v>
      </c>
      <c r="F699" s="86" t="n">
        <v>111</v>
      </c>
      <c r="G699" s="5" t="inlineStr">
        <is>
          <t>Outcome not related to interest</t>
        </is>
      </c>
      <c r="H699" s="86" t="n">
        <v>34</v>
      </c>
      <c r="I699" s="5" t="inlineStr">
        <is>
          <t>Retrospective study</t>
        </is>
      </c>
      <c r="J699" s="86" t="n">
        <v>613</v>
      </c>
    </row>
    <row r="700">
      <c r="A700" s="86" t="inlineStr">
        <is>
          <t>Real-world workflow effects of automated diabetic retinopathy screening in a primary diabetes care setting with the IDx-DR device</t>
        </is>
      </c>
      <c r="B700" s="86" t="inlineStr">
        <is>
          <t>Nijpels, G.</t>
        </is>
      </c>
      <c r="C700" s="86" t="n">
        <v>2015</v>
      </c>
      <c r="D700" s="86" t="inlineStr">
        <is>
          <t>Included</t>
        </is>
      </c>
      <c r="E700" s="86" t="inlineStr">
        <is>
          <t>Insufficient to constrct confusion matrix</t>
        </is>
      </c>
      <c r="F700" s="86" t="inlineStr">
        <is>
          <t>Insufficient to constrct confusion matrix</t>
        </is>
      </c>
      <c r="G700" s="86" t="inlineStr">
        <is>
          <t>Insufficient to constrct confusion matrix</t>
        </is>
      </c>
      <c r="H700" s="86" t="inlineStr">
        <is>
          <t>Insufficient to constrct confusion matrix</t>
        </is>
      </c>
      <c r="I700" s="86" t="inlineStr">
        <is>
          <t>Insufficient to constrct confusion matrix</t>
        </is>
      </c>
      <c r="J700" s="86" t="inlineStr">
        <is>
          <t>Insufficient to constrct confusion matrix</t>
        </is>
      </c>
    </row>
    <row r="701">
      <c r="A701" s="86" t="inlineStr">
        <is>
          <t>EyeArt: Advanced image analysis tools for Diabetic retinopathy screening and telemeDicine applications</t>
        </is>
      </c>
      <c r="B701" s="86" t="inlineStr">
        <is>
          <t>Solanki, K.</t>
        </is>
      </c>
      <c r="C701" s="86" t="n">
        <v>2014</v>
      </c>
      <c r="D701" s="86" t="inlineStr">
        <is>
          <t>Included</t>
        </is>
      </c>
      <c r="E701" s="86" t="n">
        <v>58</v>
      </c>
      <c r="F701" s="86" t="n">
        <v>112</v>
      </c>
      <c r="G701" s="5" t="inlineStr">
        <is>
          <t>Outcome not related to interest</t>
        </is>
      </c>
      <c r="H701" s="5" t="inlineStr">
        <is>
          <t>Outcome not related to interest</t>
        </is>
      </c>
      <c r="I701" s="5" t="inlineStr">
        <is>
          <t>Retrospective study</t>
        </is>
      </c>
      <c r="J701" s="86" t="n">
        <v>614</v>
      </c>
    </row>
    <row r="702">
      <c r="A702" s="86" t="inlineStr">
        <is>
          <t>An automated retinal imaging method for the early diagnosis of diabetic retinopathy.</t>
        </is>
      </c>
      <c r="B702" s="86" t="inlineStr">
        <is>
          <t>Franklin, S Wilfred</t>
        </is>
      </c>
      <c r="C702" s="86" t="n">
        <v>2013</v>
      </c>
      <c r="D702" s="86" t="inlineStr">
        <is>
          <t>Included</t>
        </is>
      </c>
      <c r="E702" s="5" t="inlineStr">
        <is>
          <t>Outcome not related to interest</t>
        </is>
      </c>
      <c r="F702" s="5" t="inlineStr">
        <is>
          <t>Outcome not related to interest</t>
        </is>
      </c>
      <c r="G702" s="5" t="inlineStr">
        <is>
          <t>Outcome not related to interest</t>
        </is>
      </c>
      <c r="H702" s="5" t="inlineStr">
        <is>
          <t>Outcome not related to interest</t>
        </is>
      </c>
      <c r="I702" s="5" t="inlineStr">
        <is>
          <t>Retrospective study</t>
        </is>
      </c>
      <c r="J702" s="86" t="n">
        <v>615</v>
      </c>
    </row>
    <row r="703">
      <c r="E703" s="86" t="n">
        <v>58</v>
      </c>
      <c r="F703" s="86" t="n">
        <v>112</v>
      </c>
      <c r="H703" s="86" t="n">
        <v>34</v>
      </c>
      <c r="I703" s="86" t="n">
        <v>106</v>
      </c>
      <c r="J703" s="86" t="n">
        <v>615</v>
      </c>
    </row>
  </sheetData>
  <autoFilter ref="A1:L70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1"/>
  <sheetViews>
    <sheetView tabSelected="1" topLeftCell="A1820" zoomScale="119" workbookViewId="0">
      <selection activeCell="A68" sqref="A68"/>
    </sheetView>
  </sheetViews>
  <sheetFormatPr baseColWidth="10" defaultColWidth="11" defaultRowHeight="15"/>
  <cols>
    <col width="65.6640625" customWidth="1" style="55" min="1" max="1"/>
    <col width="13.83203125" customWidth="1" style="55" min="4" max="4"/>
    <col width="18.5" customWidth="1" style="55" min="5" max="5"/>
    <col width="15.1640625" customWidth="1" style="55" min="6" max="6"/>
  </cols>
  <sheetData>
    <row r="1" ht="16" customHeight="1" s="55">
      <c r="A1" s="86" t="inlineStr">
        <is>
          <t>Title</t>
        </is>
      </c>
      <c r="B1" s="86" t="inlineStr">
        <is>
          <t>Author</t>
        </is>
      </c>
      <c r="C1" s="86" t="inlineStr">
        <is>
          <t>Year</t>
        </is>
      </c>
      <c r="D1" s="88" t="inlineStr">
        <is>
          <t>Reader</t>
        </is>
      </c>
      <c r="E1" s="88" t="inlineStr">
        <is>
          <t>External validation</t>
        </is>
      </c>
      <c r="F1" s="88" t="inlineStr">
        <is>
          <t>Architecture</t>
        </is>
      </c>
    </row>
    <row r="2" ht="16" customHeight="1" s="55">
      <c r="A2" s="86" t="inlineStr">
        <is>
          <t>Diabetic Retinopathy Screening Using Smartphone-Based Fundus Photography and Deep-Learning Artificial Intelligence in the Yucatan Peninsula: A Field Study.</t>
        </is>
      </c>
      <c r="B2" s="86" t="inlineStr">
        <is>
          <t>Wroblewski, John J</t>
        </is>
      </c>
      <c r="C2" s="86" t="n">
        <v>2025</v>
      </c>
      <c r="D2" s="86" t="inlineStr">
        <is>
          <t>Outcome not related to interest</t>
        </is>
      </c>
      <c r="E2" s="86" t="inlineStr">
        <is>
          <t>Outcome not related to interest</t>
        </is>
      </c>
      <c r="F2" s="86" t="inlineStr">
        <is>
          <t>Outcome not related to interest</t>
        </is>
      </c>
      <c r="H2" s="86" t="n">
        <v>1</v>
      </c>
      <c r="I2" s="86" t="inlineStr">
        <is>
          <t>Abstract screening</t>
        </is>
      </c>
    </row>
    <row r="3" ht="16" customHeight="1" s="55">
      <c r="A3" s="86" t="inlineStr">
        <is>
          <t>Autonomous artificial intelligence versus teleophthalmology for diabetic retinopathy.</t>
        </is>
      </c>
      <c r="B3" s="86" t="inlineStr">
        <is>
          <t>Musetti, Donatella</t>
        </is>
      </c>
      <c r="C3" s="86" t="n">
        <v>2025</v>
      </c>
      <c r="D3" s="86" t="inlineStr">
        <is>
          <t>Outcome not related to interest</t>
        </is>
      </c>
      <c r="E3" s="86" t="inlineStr">
        <is>
          <t>Outcome not related to interest</t>
        </is>
      </c>
      <c r="F3" s="86" t="inlineStr">
        <is>
          <t>Outcome not related to interest</t>
        </is>
      </c>
      <c r="H3" s="86" t="n">
        <v>2</v>
      </c>
      <c r="I3" s="86" t="inlineStr">
        <is>
          <t>Outcome not related to interest</t>
        </is>
      </c>
    </row>
    <row r="4" ht="16" customHeight="1" s="55">
      <c r="A4" s="86" t="inlineStr">
        <is>
          <t>Diabetic retinopathy screening with confocal fundus camera and artificial intelligence - assisted grading.</t>
        </is>
      </c>
      <c r="B4" s="86" t="inlineStr">
        <is>
          <t>Piatti, A</t>
        </is>
      </c>
      <c r="C4" s="86" t="n">
        <v>2025</v>
      </c>
      <c r="D4" s="86" t="inlineStr">
        <is>
          <t>Outcome not related to interest</t>
        </is>
      </c>
      <c r="E4" s="86" t="inlineStr">
        <is>
          <t>Outcome not related to interest</t>
        </is>
      </c>
      <c r="F4" s="86" t="inlineStr">
        <is>
          <t>Outcome not related to interest</t>
        </is>
      </c>
      <c r="H4" s="86" t="n">
        <v>3</v>
      </c>
      <c r="I4" s="86" t="inlineStr">
        <is>
          <t>Not deep learning</t>
        </is>
      </c>
    </row>
    <row r="5" ht="16" customHeight="1" s="55">
      <c r="A5" s="86" t="inlineStr">
        <is>
          <t>Improved diabetic retinopathy severity classification using squeeze-and-excitation and sparse light weight multi-level attention u-net with transfer learning from xception.</t>
        </is>
      </c>
      <c r="B5" s="86" t="inlineStr">
        <is>
          <t>Bhandari, Sachin</t>
        </is>
      </c>
      <c r="C5" s="86" t="n">
        <v>2025</v>
      </c>
      <c r="D5" s="86" t="inlineStr">
        <is>
          <t>Outcome not related to interest</t>
        </is>
      </c>
      <c r="E5" s="86" t="inlineStr">
        <is>
          <t>Outcome not related to interest</t>
        </is>
      </c>
      <c r="F5" s="86" t="n">
        <v>1</v>
      </c>
      <c r="H5" s="86" t="n">
        <v>4</v>
      </c>
      <c r="I5" s="86" t="inlineStr">
        <is>
          <t>Insufficient to constrct confusion matrix</t>
        </is>
      </c>
    </row>
    <row r="6" ht="16" customHeight="1" s="55">
      <c r="A6" s="86" t="inlineStr">
        <is>
          <t>Classification of diabetic retinopathy algorithm based on a novel dual-path multi-module model.</t>
        </is>
      </c>
      <c r="B6" s="86" t="inlineStr">
        <is>
          <t>Zhang, Lirong</t>
        </is>
      </c>
      <c r="C6" s="86" t="n">
        <v>2025</v>
      </c>
      <c r="D6" s="86" t="inlineStr">
        <is>
          <t>Outcome not related to interest</t>
        </is>
      </c>
      <c r="E6" s="86" t="inlineStr">
        <is>
          <t>Outcome not related to interest</t>
        </is>
      </c>
      <c r="F6" s="86" t="n">
        <v>2</v>
      </c>
      <c r="H6" s="86" t="n">
        <v>5</v>
      </c>
      <c r="I6" s="86" t="inlineStr">
        <is>
          <t>Review</t>
        </is>
      </c>
    </row>
    <row r="7" ht="16" customHeight="1" s="55">
      <c r="A7" s="86" t="inlineStr">
        <is>
          <t>Diagnostic Accuracy of Automated Diabetic Retinopathy Image Assessment Software: IDx-DR and RetCAD.</t>
        </is>
      </c>
      <c r="B7" s="86" t="inlineStr">
        <is>
          <t>Grzybowski, Andrzej</t>
        </is>
      </c>
      <c r="C7" s="86" t="n">
        <v>2025</v>
      </c>
      <c r="D7" s="86" t="inlineStr">
        <is>
          <t>Outcome not related to interest</t>
        </is>
      </c>
      <c r="E7" s="86" t="inlineStr">
        <is>
          <t>Outcome not related to interest</t>
        </is>
      </c>
      <c r="F7" s="86" t="inlineStr">
        <is>
          <t>Outcome not related to interest</t>
        </is>
      </c>
      <c r="H7" s="86" t="n">
        <v>6</v>
      </c>
      <c r="I7" s="86" t="inlineStr">
        <is>
          <t>Not fundus image</t>
        </is>
      </c>
    </row>
    <row r="8" ht="16" customHeight="1" s="55">
      <c r="A8" s="86" t="inlineStr">
        <is>
          <t>ASSESSMENT OF ARTIFICIAL INTELLIGENCE SOFTWARE FOR AUTOMATIC SCREENING OF DIABETIC RETINOPATHY BASED ON FUNDUS PHOTOGRAPHS IN MELANODERM SUBJECTS.</t>
        </is>
      </c>
      <c r="B8" s="86" t="inlineStr">
        <is>
          <t>Mbaye, Soda</t>
        </is>
      </c>
      <c r="C8" s="86" t="n">
        <v>2025</v>
      </c>
      <c r="D8" s="86" t="inlineStr">
        <is>
          <t>Outcome not related to interest</t>
        </is>
      </c>
      <c r="E8" s="86" t="inlineStr">
        <is>
          <t>Outcome not related to interest</t>
        </is>
      </c>
      <c r="F8" s="86" t="inlineStr">
        <is>
          <t>Outcome not related to interest</t>
        </is>
      </c>
      <c r="H8" s="86" t="n">
        <v>7</v>
      </c>
      <c r="I8" s="86" t="inlineStr">
        <is>
          <t>Not</t>
        </is>
      </c>
    </row>
    <row r="9" ht="16" customHeight="1" s="55">
      <c r="A9" s="86" t="inlineStr">
        <is>
          <t>Grading of diabetic retinopathy using a pre-segmenting deep learning classification model: Validation of an automated algorithm.</t>
        </is>
      </c>
      <c r="B9" s="86" t="inlineStr">
        <is>
          <t>Simili矇, Dyllan Edson</t>
        </is>
      </c>
      <c r="C9" s="86" t="n">
        <v>2025</v>
      </c>
      <c r="D9" s="86" t="n">
        <v>2</v>
      </c>
      <c r="E9" s="86" t="inlineStr">
        <is>
          <t>Outcome not related to interest</t>
        </is>
      </c>
      <c r="F9" s="86" t="inlineStr">
        <is>
          <t>Outcome not related to interest</t>
        </is>
      </c>
      <c r="H9" s="86" t="n">
        <v>8</v>
      </c>
      <c r="I9" s="86" t="inlineStr">
        <is>
          <t>Repeated article</t>
        </is>
      </c>
    </row>
    <row r="10" ht="16" customHeight="1" s="55">
      <c r="A10" s="86" t="inlineStr">
        <is>
          <t>Empirical analysis on retinal segmentation using PSO-based thresholding in diabetic retinopathy grading.</t>
        </is>
      </c>
      <c r="B10" s="86" t="inlineStr">
        <is>
          <t>Sekar, Bhuvaneswari</t>
        </is>
      </c>
      <c r="C10" s="86" t="n">
        <v>2025</v>
      </c>
      <c r="D10" s="86" t="inlineStr">
        <is>
          <t>Outcome not related to interest</t>
        </is>
      </c>
      <c r="E10" s="86" t="n">
        <v>1</v>
      </c>
      <c r="F10" s="86" t="inlineStr">
        <is>
          <t>Outcome not related to interest</t>
        </is>
      </c>
      <c r="H10" s="86" t="n">
        <v>9</v>
      </c>
      <c r="I10" s="86" t="inlineStr">
        <is>
          <t>Irrelavant</t>
        </is>
      </c>
    </row>
    <row r="11" ht="16" customHeight="1" s="55">
      <c r="A11" s="86" t="inlineStr">
        <is>
          <t>A novel deep learning framework for retinal disease detection leveraging contextual and local features cues from retinal images.</t>
        </is>
      </c>
      <c r="B11" s="86" t="inlineStr">
        <is>
          <t>Khan, Sultan Daud</t>
        </is>
      </c>
      <c r="C11" s="86" t="n">
        <v>2025</v>
      </c>
      <c r="D11" s="86" t="inlineStr">
        <is>
          <t>Outcome not related to interest</t>
        </is>
      </c>
      <c r="E11" s="86" t="inlineStr">
        <is>
          <t>Outcome not related to interest</t>
        </is>
      </c>
      <c r="F11" s="86" t="n">
        <v>3</v>
      </c>
      <c r="H11" s="86" t="n">
        <v>10</v>
      </c>
      <c r="I11" s="86" t="inlineStr">
        <is>
          <t>Not prospective study</t>
        </is>
      </c>
    </row>
    <row r="12" ht="16" customHeight="1" s="55">
      <c r="A12" s="86" t="inlineStr">
        <is>
          <t>Efficient diagnosis of retinal disorders using dual-branch semi-supervised learning (DB-SSL): An enhanced multi-class classification approach.</t>
        </is>
      </c>
      <c r="B12" s="86" t="inlineStr">
        <is>
          <t>Malik, Muhammad Hammad</t>
        </is>
      </c>
      <c r="C12" s="86" t="n">
        <v>2025</v>
      </c>
      <c r="D12" s="86" t="inlineStr">
        <is>
          <t>Outcome not related to interest</t>
        </is>
      </c>
      <c r="E12" s="86" t="n">
        <v>2</v>
      </c>
      <c r="F12" s="86" t="n">
        <v>4</v>
      </c>
      <c r="H12" s="86" t="n">
        <v>11</v>
      </c>
      <c r="I12" s="86" t="inlineStr">
        <is>
          <t>Fundus Fluorescein Angiography</t>
        </is>
      </c>
    </row>
    <row r="13" ht="16" customHeight="1" s="55">
      <c r="A13" s="86" t="inlineStr">
        <is>
          <t>A deep learning based model for diabetic retinopathy grading.</t>
        </is>
      </c>
      <c r="B13" s="86" t="inlineStr">
        <is>
          <t>Akhtar, Samia</t>
        </is>
      </c>
      <c r="C13" s="86" t="n">
        <v>2025</v>
      </c>
      <c r="D13" s="86" t="inlineStr">
        <is>
          <t>Outcome not related to interest</t>
        </is>
      </c>
      <c r="E13" s="86" t="n">
        <v>3</v>
      </c>
      <c r="F13" s="86" t="inlineStr">
        <is>
          <t>Outcome not related to interest</t>
        </is>
      </c>
      <c r="H13" s="86" t="n">
        <v>12</v>
      </c>
      <c r="I13" s="86" t="inlineStr">
        <is>
          <t>Not adult</t>
        </is>
      </c>
    </row>
    <row r="14" ht="16" customHeight="1" s="55">
      <c r="A14" s="86" t="inlineStr">
        <is>
          <t>Bayesian deep learning applied to diabetic retinopathy with uncertainty quantification.</t>
        </is>
      </c>
      <c r="B14" s="86" t="inlineStr">
        <is>
          <t>Hassan, Masoud Muhammed</t>
        </is>
      </c>
      <c r="C14" s="86" t="n">
        <v>2025</v>
      </c>
      <c r="D14" s="86" t="inlineStr">
        <is>
          <t>Outcome not related to interest</t>
        </is>
      </c>
      <c r="E14" s="86" t="n">
        <v>4</v>
      </c>
      <c r="F14" s="86" t="inlineStr">
        <is>
          <t>Outcome not related to interest</t>
        </is>
      </c>
      <c r="H14" s="86" t="n"/>
      <c r="I14" s="86" t="n"/>
    </row>
    <row r="15" ht="16" customHeight="1" s="55">
      <c r="A15" s="86" t="inlineStr">
        <is>
          <t>Identification of diabetic retinopathy lesions in fundus images by integrating CNN and vision mamba models.</t>
        </is>
      </c>
      <c r="B15" s="86" t="inlineStr">
        <is>
          <t>Liu, Zenglei</t>
        </is>
      </c>
      <c r="C15" s="86" t="n">
        <v>2025</v>
      </c>
      <c r="D15" s="86" t="inlineStr">
        <is>
          <t>Outcome not related to interest</t>
        </is>
      </c>
      <c r="E15" s="86" t="inlineStr">
        <is>
          <t>Outcome not related to interest</t>
        </is>
      </c>
      <c r="F15" s="86" t="n">
        <v>5</v>
      </c>
    </row>
    <row r="16" ht="16" customHeight="1" s="55">
      <c r="A16" s="86" t="inlineStr">
        <is>
          <t>Multi-class Classification of Retinal Eye Diseases from Ophthalmoscopy Images Using Transfer Learning-Based Vision Transformers.</t>
        </is>
      </c>
      <c r="B16" s="86" t="inlineStr">
        <is>
          <t>Cutur, Elif Setenay</t>
        </is>
      </c>
      <c r="C16" s="86" t="n">
        <v>2025</v>
      </c>
      <c r="D16" s="86" t="inlineStr">
        <is>
          <t>Outcome not related to interest</t>
        </is>
      </c>
      <c r="E16" s="86" t="n">
        <v>5</v>
      </c>
      <c r="F16" s="86" t="n">
        <v>6</v>
      </c>
    </row>
    <row r="17" ht="16" customHeight="1" s="55">
      <c r="A17" s="86" t="inlineStr">
        <is>
          <t>Research on grading detection methods for diabetic retinopathy based on deep learning.</t>
        </is>
      </c>
      <c r="B17" s="86" t="inlineStr">
        <is>
          <t>Zhang, Jing</t>
        </is>
      </c>
      <c r="C17" s="86" t="n">
        <v>2025</v>
      </c>
      <c r="D17" s="86" t="inlineStr">
        <is>
          <t>Outcome not related to interest</t>
        </is>
      </c>
      <c r="E17" s="86" t="inlineStr">
        <is>
          <t>Outcome not related to interest</t>
        </is>
      </c>
      <c r="F17" s="86" t="inlineStr">
        <is>
          <t>Outcome not related to interest</t>
        </is>
      </c>
    </row>
    <row r="18" ht="16" customHeight="1" s="55">
      <c r="A18" s="86" t="inlineStr">
        <is>
          <t>A multimodal transformer system for noninvasive diabetic nephropathy diagnosis via retinal imaging.</t>
        </is>
      </c>
      <c r="B18" s="86" t="inlineStr">
        <is>
          <t>Dong, Zheyi</t>
        </is>
      </c>
      <c r="C18" s="86" t="n">
        <v>2025</v>
      </c>
      <c r="D18" s="86" t="inlineStr">
        <is>
          <t>Outcome not related to interest</t>
        </is>
      </c>
      <c r="E18" s="86" t="inlineStr">
        <is>
          <t>Outcome not related to interest</t>
        </is>
      </c>
      <c r="F18" s="86" t="inlineStr">
        <is>
          <t>Outcome not related to interest</t>
        </is>
      </c>
    </row>
    <row r="19" ht="16" customHeight="1" s="55">
      <c r="A19" s="86" t="inlineStr">
        <is>
          <t>Color fundus photograph-based diabetic retinopathy grading via label relaxed collaborative learning on deep features and radiomics features.</t>
        </is>
      </c>
      <c r="B19" s="86" t="inlineStr">
        <is>
          <t>Zhang, Chao</t>
        </is>
      </c>
      <c r="C19" s="86" t="n">
        <v>2025</v>
      </c>
      <c r="D19" s="86" t="inlineStr">
        <is>
          <t>Outcome not related to interest</t>
        </is>
      </c>
      <c r="E19" s="86" t="inlineStr">
        <is>
          <t>Outcome not related to interest</t>
        </is>
      </c>
      <c r="F19" s="86" t="n">
        <v>7</v>
      </c>
    </row>
    <row r="20" ht="16" customHeight="1" s="55">
      <c r="A20" s="86" t="inlineStr">
        <is>
          <t>Lesion classification and diabetic retinopathy grading by integrating softmax and pooling operators into vision transformer.</t>
        </is>
      </c>
      <c r="B20" s="86" t="inlineStr">
        <is>
          <t>Liu, Chong</t>
        </is>
      </c>
      <c r="C20" s="86" t="n">
        <v>2025</v>
      </c>
      <c r="D20" s="86" t="inlineStr">
        <is>
          <t>Outcome not related to interest</t>
        </is>
      </c>
      <c r="E20" s="86" t="inlineStr">
        <is>
          <t>Outcome not related to interest</t>
        </is>
      </c>
      <c r="F20" s="86" t="n">
        <v>8</v>
      </c>
    </row>
    <row r="21" ht="16" customHeight="1" s="55">
      <c r="A21" s="86" t="inlineStr">
        <is>
          <t>Visual impairment prevention by early detection of diabetic retinopathy based on stacked auto-encoder.</t>
        </is>
      </c>
      <c r="B21" s="86" t="inlineStr">
        <is>
          <t>Almas, Shagufta</t>
        </is>
      </c>
      <c r="C21" s="86" t="n">
        <v>2025</v>
      </c>
      <c r="D21" s="86" t="inlineStr">
        <is>
          <t>Outcome not related to interest</t>
        </is>
      </c>
      <c r="E21" s="86" t="inlineStr">
        <is>
          <t>Outcome not related to interest</t>
        </is>
      </c>
      <c r="F21" s="86" t="inlineStr">
        <is>
          <t>Outcome not related to interest</t>
        </is>
      </c>
    </row>
    <row r="22" ht="16" customHeight="1" s="55">
      <c r="A22" s="86" t="inlineStr">
        <is>
          <t>ResViT FusionNet Model: An explainable AI-driven approach for automated grading of diabetic retinopathy in retinal images.</t>
        </is>
      </c>
      <c r="B22" s="86" t="inlineStr">
        <is>
          <t>Ikram, Amna</t>
        </is>
      </c>
      <c r="C22" s="86" t="n">
        <v>2025</v>
      </c>
      <c r="D22" s="86" t="inlineStr">
        <is>
          <t>Outcome not related to interest</t>
        </is>
      </c>
      <c r="E22" s="86" t="inlineStr">
        <is>
          <t>Outcome not related to interest</t>
        </is>
      </c>
      <c r="F22" s="86" t="inlineStr">
        <is>
          <t>Outcome not related to interest</t>
        </is>
      </c>
    </row>
    <row r="23" ht="16" customHeight="1" s="55">
      <c r="A23" s="86" t="inlineStr">
        <is>
          <t>Transforming Non-Digital, Clinical Workflows to Detect and Track Vision-Threatening Diabetic Retinopathy via a Digital Platform Integrating Artificial Intelligence: Implementation Research.</t>
        </is>
      </c>
      <c r="B23" s="86" t="inlineStr">
        <is>
          <t>Chotcomwongse, Peranut</t>
        </is>
      </c>
      <c r="C23" s="86" t="n">
        <v>2025</v>
      </c>
      <c r="D23" s="86" t="inlineStr">
        <is>
          <t>Insufficient to constrct confusion matrix</t>
        </is>
      </c>
      <c r="E23" s="86" t="inlineStr">
        <is>
          <t>Outcome not related to interest</t>
        </is>
      </c>
      <c r="F23" s="86" t="inlineStr">
        <is>
          <t>Outcome not related to interest</t>
        </is>
      </c>
    </row>
    <row r="24" ht="16" customHeight="1" s="55">
      <c r="A24" s="86" t="inlineStr">
        <is>
          <t>Uncertainty-aware diabetic retinopathy detection using deep learning enhanced by Bayesian approaches.</t>
        </is>
      </c>
      <c r="B24" s="86" t="inlineStr">
        <is>
          <t>Akram, Mohsin</t>
        </is>
      </c>
      <c r="C24" s="86" t="n">
        <v>2025</v>
      </c>
      <c r="D24" s="86" t="inlineStr">
        <is>
          <t>Outcome not related to interest</t>
        </is>
      </c>
      <c r="E24" s="86" t="inlineStr">
        <is>
          <t>Outcome not related to interest</t>
        </is>
      </c>
      <c r="F24" s="86" t="inlineStr">
        <is>
          <t>Outcome not related to interest</t>
        </is>
      </c>
    </row>
    <row r="25" ht="16" customHeight="1" s="55">
      <c r="A25" s="86" t="inlineStr">
        <is>
          <t>Validation of a Deep Learning Model for Diabetic Retinopathy on Patients with Young-Onset Diabetes.</t>
        </is>
      </c>
      <c r="B25" s="86" t="inlineStr">
        <is>
          <t>Tan-Torres, Antonio</t>
        </is>
      </c>
      <c r="C25" s="86" t="n">
        <v>2025</v>
      </c>
      <c r="D25" s="86" t="inlineStr">
        <is>
          <t>Outcome not related to interest</t>
        </is>
      </c>
      <c r="E25" s="86" t="inlineStr">
        <is>
          <t>Outcome not related to interest</t>
        </is>
      </c>
      <c r="F25" s="86" t="inlineStr">
        <is>
          <t>Outcome not related to interest</t>
        </is>
      </c>
    </row>
    <row r="26" ht="16" customHeight="1" s="55">
      <c r="A26" s="86" t="inlineStr">
        <is>
          <t>A multi model deep net with an explainable AI based framework for diabetic retinopathy segmentation and classification.</t>
        </is>
      </c>
      <c r="B26" s="86" t="inlineStr">
        <is>
          <t>Sharma, Neeraj</t>
        </is>
      </c>
      <c r="C26" s="86" t="n">
        <v>2025</v>
      </c>
      <c r="D26" s="86" t="inlineStr">
        <is>
          <t>Outcome not related to interest</t>
        </is>
      </c>
      <c r="E26" s="86" t="inlineStr">
        <is>
          <t>Outcome not related to interest</t>
        </is>
      </c>
      <c r="F26" s="86" t="n">
        <v>9</v>
      </c>
    </row>
    <row r="27" ht="16" customHeight="1" s="55">
      <c r="A27" s="86" t="inlineStr">
        <is>
          <t>Practical Applications of Artificial Intelligence Diagnostic Systems in Fundus Retinal Disease Screening.</t>
        </is>
      </c>
      <c r="B27" s="86" t="inlineStr">
        <is>
          <t>Wei, Qingquan</t>
        </is>
      </c>
      <c r="C27" s="86" t="n">
        <v>2025</v>
      </c>
      <c r="D27" s="86" t="inlineStr">
        <is>
          <t>Outcome not related to interest</t>
        </is>
      </c>
      <c r="E27" s="86" t="inlineStr">
        <is>
          <t>Outcome not related to interest</t>
        </is>
      </c>
      <c r="F27" s="86" t="inlineStr">
        <is>
          <t>Outcome not related to interest</t>
        </is>
      </c>
    </row>
    <row r="28" ht="16" customHeight="1" s="55">
      <c r="A28" s="86" t="inlineStr">
        <is>
          <t>D-GET: Group-Enhanced Transformer for Diabetic Retinopathy Severity Classification in Fundus Fluorescein Angiography.</t>
        </is>
      </c>
      <c r="B28" s="86" t="inlineStr">
        <is>
          <t>Liu, Xina</t>
        </is>
      </c>
      <c r="C28" s="86" t="n">
        <v>2025</v>
      </c>
      <c r="D28" s="86" t="inlineStr">
        <is>
          <t>Fundus Fluorescein Angiography</t>
        </is>
      </c>
      <c r="E28" s="86" t="inlineStr">
        <is>
          <t>Fundus Fluorescein Angiography</t>
        </is>
      </c>
      <c r="F28" s="86" t="inlineStr">
        <is>
          <t>Fundus Fluorescein Angiography</t>
        </is>
      </c>
    </row>
    <row r="29" ht="16" customHeight="1" s="55">
      <c r="A29" s="86" t="inlineStr">
        <is>
          <t>Attention dual transformer with adaptive temporal convolutional for diabetic retinopathy detection.</t>
        </is>
      </c>
      <c r="B29" s="86" t="inlineStr">
        <is>
          <t>Sushith, Mishmala</t>
        </is>
      </c>
      <c r="C29" s="86" t="n">
        <v>2025</v>
      </c>
      <c r="D29" s="86" t="inlineStr">
        <is>
          <t>Outcome not related to interest</t>
        </is>
      </c>
      <c r="E29" s="86" t="n">
        <v>6</v>
      </c>
      <c r="F29" s="86" t="n">
        <v>10</v>
      </c>
    </row>
    <row r="30" ht="16" customHeight="1" s="55">
      <c r="A30" s="86" t="inlineStr">
        <is>
          <t>MSTNet: Multi-scale spatial-aware transformer with multi-instance learning for diabetic retinopathy classification.</t>
        </is>
      </c>
      <c r="B30" s="86" t="inlineStr">
        <is>
          <t>Wei, Xin</t>
        </is>
      </c>
      <c r="C30" s="86" t="n">
        <v>2025</v>
      </c>
      <c r="D30" s="86" t="inlineStr">
        <is>
          <t>Outcome not related to interest</t>
        </is>
      </c>
      <c r="E30" s="86" t="inlineStr">
        <is>
          <t>Outcome not related to interest</t>
        </is>
      </c>
      <c r="F30" s="86" t="n">
        <v>11</v>
      </c>
    </row>
    <row r="31" ht="16" customHeight="1" s="55">
      <c r="A31" s="86" t="inlineStr">
        <is>
          <t>QuantumNet: An enhanced diabetic retinopathy detection model using classical deep learning-quantum transfer learning.</t>
        </is>
      </c>
      <c r="B31" s="86" t="inlineStr">
        <is>
          <t>Bali, Manish</t>
        </is>
      </c>
      <c r="C31" s="86" t="n">
        <v>2025</v>
      </c>
      <c r="D31" s="86" t="inlineStr">
        <is>
          <t>Outcome not related to interest</t>
        </is>
      </c>
      <c r="E31" s="86" t="inlineStr">
        <is>
          <t>Outcome not related to interest</t>
        </is>
      </c>
      <c r="F31" s="86" t="n">
        <v>12</v>
      </c>
    </row>
    <row r="32" ht="16" customHeight="1" s="55">
      <c r="A32" s="86" t="inlineStr">
        <is>
          <t>Capsule network-based deep learning for early and accurate diabetic retinopathy detection.</t>
        </is>
      </c>
      <c r="B32" s="86" t="inlineStr">
        <is>
          <t>Govindharaj, I</t>
        </is>
      </c>
      <c r="C32" s="86" t="n">
        <v>2025</v>
      </c>
      <c r="D32" s="86" t="inlineStr">
        <is>
          <t>Outcome not related to interest</t>
        </is>
      </c>
      <c r="E32" s="86" t="inlineStr">
        <is>
          <t>Outcome not related to interest</t>
        </is>
      </c>
      <c r="F32" s="86" t="n">
        <v>13</v>
      </c>
    </row>
    <row r="33" ht="16" customHeight="1" s="55">
      <c r="A33" s="86" t="inlineStr">
        <is>
          <t>Fundus image classification using feature concatenation for early diagnosis of retinal disease.</t>
        </is>
      </c>
      <c r="B33" s="86" t="inlineStr">
        <is>
          <t>Ejaz, Sara</t>
        </is>
      </c>
      <c r="C33" s="86" t="n">
        <v>2025</v>
      </c>
      <c r="D33" s="86" t="inlineStr">
        <is>
          <t>Outcome not related to interest</t>
        </is>
      </c>
      <c r="E33" s="86" t="inlineStr">
        <is>
          <t>Outcome not related to interest</t>
        </is>
      </c>
      <c r="F33" s="86" t="inlineStr">
        <is>
          <t>Outcome not related to interest</t>
        </is>
      </c>
    </row>
    <row r="34" ht="16" customHeight="1" s="55">
      <c r="A34" s="86" t="inlineStr">
        <is>
          <t>VisionGuard: enhancing diabetic retinopathy detection with hybrid deep learning.</t>
        </is>
      </c>
      <c r="B34" s="86" t="inlineStr">
        <is>
          <t>Rao, Sudesh</t>
        </is>
      </c>
      <c r="C34" s="86" t="n">
        <v>2025</v>
      </c>
      <c r="D34" s="86" t="inlineStr">
        <is>
          <t>Outcome not related to interest</t>
        </is>
      </c>
      <c r="E34" s="86" t="inlineStr">
        <is>
          <t>Outcome not related to interest</t>
        </is>
      </c>
      <c r="F34" s="86" t="n">
        <v>14</v>
      </c>
    </row>
    <row r="35" ht="16" customHeight="1" s="55">
      <c r="A35" s="86" t="inlineStr">
        <is>
          <t>Hybrid deep learning framework for diabetic retinopathy classification with optimized attention AlexNet.</t>
        </is>
      </c>
      <c r="B35" s="86" t="inlineStr">
        <is>
          <t>D S, Renu</t>
        </is>
      </c>
      <c r="C35" s="86" t="n">
        <v>2025</v>
      </c>
      <c r="D35" s="86" t="inlineStr">
        <is>
          <t>Outcome not related to interest</t>
        </is>
      </c>
      <c r="E35" s="86" t="inlineStr">
        <is>
          <t>Outcome not related to interest</t>
        </is>
      </c>
      <c r="F35" s="86" t="inlineStr">
        <is>
          <t>Outcome not related to interest</t>
        </is>
      </c>
    </row>
    <row r="36" ht="16" customHeight="1" s="55">
      <c r="A36" s="86" t="inlineStr">
        <is>
          <t>A Deep Learning Segmentation Model for Detection of Active Proliferative Diabetic Retinopathy.</t>
        </is>
      </c>
      <c r="B36" s="86" t="inlineStr">
        <is>
          <t>Dinesen, Sebastian</t>
        </is>
      </c>
      <c r="C36" s="86" t="n">
        <v>2025</v>
      </c>
      <c r="D36" s="86" t="inlineStr">
        <is>
          <t>Outcome not related to interest</t>
        </is>
      </c>
      <c r="E36" s="86" t="inlineStr">
        <is>
          <t>Outcome not related to interest</t>
        </is>
      </c>
      <c r="F36" s="86" t="inlineStr">
        <is>
          <t>Outcome not related to interest</t>
        </is>
      </c>
    </row>
    <row r="37" ht="16" customHeight="1" s="55">
      <c r="A37" s="86" t="inlineStr">
        <is>
          <t>Comparison of the Aireen System with Telemedicine Evaluation by an Ophthalmologist - A Real-World Study.</t>
        </is>
      </c>
      <c r="B37" s="86" t="inlineStr">
        <is>
          <t>穩n, Martin</t>
        </is>
      </c>
      <c r="C37" s="86" t="n">
        <v>2025</v>
      </c>
      <c r="D37" s="86" t="n">
        <v>4</v>
      </c>
      <c r="E37" s="86" t="inlineStr">
        <is>
          <t>Outcome not related to interest</t>
        </is>
      </c>
      <c r="F37" s="86" t="inlineStr">
        <is>
          <t>Outcome not related to interest</t>
        </is>
      </c>
    </row>
    <row r="38" ht="16" customHeight="1" s="55">
      <c r="A38" s="86" t="inlineStr">
        <is>
          <t>Performance of a Deep Learning Diabetic Retinopathy Algorithm in India.</t>
        </is>
      </c>
      <c r="B38" s="86" t="inlineStr">
        <is>
          <t>Brant, Arthur</t>
        </is>
      </c>
      <c r="C38" s="86" t="n">
        <v>2025</v>
      </c>
      <c r="D38" s="86" t="inlineStr">
        <is>
          <t>Outcome not related to interest</t>
        </is>
      </c>
      <c r="E38" s="86" t="inlineStr">
        <is>
          <t>Outcome not related to interest</t>
        </is>
      </c>
      <c r="F38" s="86" t="inlineStr">
        <is>
          <t>Outcome not related to interest</t>
        </is>
      </c>
    </row>
    <row r="39" ht="16" customHeight="1" s="55">
      <c r="A39" s="86" t="inlineStr">
        <is>
          <t>Diabetic retinopathy detection via deep learning based dual features integrated classification model.</t>
        </is>
      </c>
      <c r="B39" s="86" t="inlineStr">
        <is>
          <t>Devi, T M</t>
        </is>
      </c>
      <c r="C39" s="86" t="n">
        <v>2025</v>
      </c>
      <c r="D39" s="86" t="inlineStr">
        <is>
          <t>Outcome not related to interest</t>
        </is>
      </c>
      <c r="E39" s="86" t="inlineStr">
        <is>
          <t>Outcome not related to interest</t>
        </is>
      </c>
      <c r="F39" s="86" t="inlineStr">
        <is>
          <t>Outcome not related to interest</t>
        </is>
      </c>
    </row>
    <row r="40" ht="16" customHeight="1" s="55">
      <c r="A40" s="86" t="inlineStr">
        <is>
          <t>DEO-Fusion: Differential evolution optimization for fusion of CNN models in eye disease detection</t>
        </is>
      </c>
      <c r="B40" s="86" t="inlineStr">
        <is>
          <t>Asif, S.</t>
        </is>
      </c>
      <c r="C40" s="86" t="n">
        <v>2025</v>
      </c>
      <c r="D40" s="86" t="inlineStr">
        <is>
          <t>Outcome not related to interest</t>
        </is>
      </c>
      <c r="E40" s="86" t="inlineStr">
        <is>
          <t>Outcome not related to interest</t>
        </is>
      </c>
      <c r="F40" s="86" t="inlineStr">
        <is>
          <t>Outcome not related to interest</t>
        </is>
      </c>
    </row>
    <row r="41" ht="16" customHeight="1" s="55">
      <c r="A41" s="86" t="inlineStr">
        <is>
          <t>Advancing diabetic retinopathy classification using ensemble deep learning approaches</t>
        </is>
      </c>
      <c r="B41" s="86" t="inlineStr">
        <is>
          <t>Biswas, A.</t>
        </is>
      </c>
      <c r="C41" s="86" t="n">
        <v>2025</v>
      </c>
      <c r="D41" s="86" t="inlineStr">
        <is>
          <t>Outcome not related to interest</t>
        </is>
      </c>
      <c r="E41" s="86" t="inlineStr">
        <is>
          <t>Outcome not related to interest</t>
        </is>
      </c>
      <c r="F41" s="86" t="inlineStr">
        <is>
          <t>Outcome not related to interest</t>
        </is>
      </c>
    </row>
    <row r="42" ht="16" customHeight="1" s="55">
      <c r="A42" s="86" t="inlineStr">
        <is>
          <t>MHSAGGCN-BCOA: A novel deep learning based approach for diabetic retinopathy detection</t>
        </is>
      </c>
      <c r="B42" s="86" t="inlineStr">
        <is>
          <t>Bindu Priya, M.</t>
        </is>
      </c>
      <c r="C42" s="86" t="n">
        <v>2025</v>
      </c>
      <c r="D42" s="86" t="inlineStr">
        <is>
          <t>Outcome not related to interest</t>
        </is>
      </c>
      <c r="E42" s="86" t="inlineStr">
        <is>
          <t>Outcome not related to interest</t>
        </is>
      </c>
      <c r="F42" s="86" t="n">
        <v>15</v>
      </c>
    </row>
    <row r="43" ht="16" customHeight="1" s="55">
      <c r="A43" s="86" t="inlineStr">
        <is>
          <t>MRFANet: Massive retinopathy feature aggregation network for pixel-level diabetes-induced lesion detection from fundus images</t>
        </is>
      </c>
      <c r="B43" s="86" t="inlineStr">
        <is>
          <t>Zhou, W.</t>
        </is>
      </c>
      <c r="C43" s="86" t="n">
        <v>2025</v>
      </c>
      <c r="D43" s="86" t="inlineStr">
        <is>
          <t>Outcome not related to interest</t>
        </is>
      </c>
      <c r="E43" s="86" t="inlineStr">
        <is>
          <t>Outcome not related to interest</t>
        </is>
      </c>
      <c r="F43" s="86" t="inlineStr">
        <is>
          <t>Outcome not related to interest</t>
        </is>
      </c>
    </row>
    <row r="44" ht="16" customHeight="1" s="55">
      <c r="A44" s="86" t="inlineStr">
        <is>
          <t>STMF-DRNet: A multi-branch fine-grained classification model for diabetic retinopathy using Swin-TransformerV2</t>
        </is>
      </c>
      <c r="B44" s="86" t="inlineStr">
        <is>
          <t>Liu, Y.</t>
        </is>
      </c>
      <c r="C44" s="86" t="n">
        <v>2025</v>
      </c>
      <c r="D44" s="86" t="inlineStr">
        <is>
          <t>Outcome not related to interest</t>
        </is>
      </c>
      <c r="E44" s="86" t="inlineStr">
        <is>
          <t>Outcome not related to interest</t>
        </is>
      </c>
      <c r="F44" s="86" t="n">
        <v>16</v>
      </c>
    </row>
    <row r="45" ht="16" customHeight="1" s="55">
      <c r="A45" s="86" t="inlineStr">
        <is>
          <t>Improved African Vulture Optimization with Deep Learning Based Segmentation for Accurate Detection of Diabetic Retinopathy</t>
        </is>
      </c>
      <c r="B45" s="86" t="inlineStr">
        <is>
          <t>Gupta, I.K.</t>
        </is>
      </c>
      <c r="C45" s="86" t="n">
        <v>2025</v>
      </c>
      <c r="D45" s="86" t="inlineStr">
        <is>
          <t>Outcome not related to interest</t>
        </is>
      </c>
      <c r="E45" s="86" t="n">
        <v>7</v>
      </c>
      <c r="F45" s="86" t="inlineStr">
        <is>
          <t>Outcome not related to interest</t>
        </is>
      </c>
    </row>
    <row r="46" ht="16" customHeight="1" s="55">
      <c r="A46" s="86" t="inlineStr">
        <is>
          <t>DIA-VXNET: A framework for automated diabetic eye disease detection using transfer learning with feature fusion network</t>
        </is>
      </c>
      <c r="B46" s="86" t="inlineStr">
        <is>
          <t>Hasan, M.N.</t>
        </is>
      </c>
      <c r="C46" s="86" t="n">
        <v>2025</v>
      </c>
      <c r="D46" s="86" t="inlineStr">
        <is>
          <t>Outcome not related to interest</t>
        </is>
      </c>
      <c r="E46" s="86" t="inlineStr">
        <is>
          <t>Outcome not related to interest</t>
        </is>
      </c>
      <c r="F46" s="86" t="n">
        <v>17</v>
      </c>
    </row>
    <row r="47" ht="16" customHeight="1" s="55">
      <c r="A47" s="86" t="inlineStr">
        <is>
          <t>Compact Pyramidal dense mixed attention network for Diabetic retinopathy severity prediction under deep learning</t>
        </is>
      </c>
      <c r="B47" s="86" t="inlineStr">
        <is>
          <t>Gargi, M.</t>
        </is>
      </c>
      <c r="C47" s="86" t="n">
        <v>2025</v>
      </c>
      <c r="D47" s="86" t="inlineStr">
        <is>
          <t>Outcome not related to interest</t>
        </is>
      </c>
      <c r="E47" s="86" t="inlineStr">
        <is>
          <t>Outcome not related to interest</t>
        </is>
      </c>
      <c r="F47" s="86" t="inlineStr">
        <is>
          <t>Insufficient to constrct confusion matrix</t>
        </is>
      </c>
    </row>
    <row r="48" ht="16" customHeight="1" s="55">
      <c r="A48" s="86" t="inlineStr">
        <is>
          <t>SDRG-Net: Secure DR grading network for Real-Time decision support in IoMT environments</t>
        </is>
      </c>
      <c r="B48" s="86" t="inlineStr">
        <is>
          <t>Poranki, V.K.R.</t>
        </is>
      </c>
      <c r="C48" s="86" t="n">
        <v>2025</v>
      </c>
      <c r="D48" s="86" t="inlineStr">
        <is>
          <t>Outcome not related to interest</t>
        </is>
      </c>
      <c r="E48" s="86" t="inlineStr">
        <is>
          <t>Outcome not related to interest</t>
        </is>
      </c>
      <c r="F48" s="86" t="n">
        <v>18</v>
      </c>
    </row>
    <row r="49" ht="16" customHeight="1" s="55">
      <c r="A49" s="86" t="inlineStr">
        <is>
          <t>Deep neural network model for diagnosing diabetic retinopathy detection: An efficient mechanism for diabetic management</t>
        </is>
      </c>
      <c r="B49" s="86" t="inlineStr">
        <is>
          <t>Muthusamy, D.</t>
        </is>
      </c>
      <c r="C49" s="86" t="n">
        <v>2025</v>
      </c>
      <c r="D49" s="86" t="inlineStr">
        <is>
          <t>Outcome not related to interest</t>
        </is>
      </c>
      <c r="E49" s="86" t="inlineStr">
        <is>
          <t>Outcome not related to interest</t>
        </is>
      </c>
      <c r="F49" s="86" t="inlineStr">
        <is>
          <t>Outcome not related to interest</t>
        </is>
      </c>
    </row>
    <row r="50" ht="16" customHeight="1" s="55">
      <c r="A50" s="86" t="inlineStr">
        <is>
          <t>Automated detection of diabetic retinopathy using an improved deep learning model with smartphone images</t>
        </is>
      </c>
      <c r="B50" s="86" t="inlineStr">
        <is>
          <t>Bhimavarapu, U.</t>
        </is>
      </c>
      <c r="C50" s="86" t="n">
        <v>2025</v>
      </c>
      <c r="D50" s="86" t="inlineStr">
        <is>
          <t>Insufficient to constrct confusion matrix</t>
        </is>
      </c>
      <c r="E50" s="86" t="inlineStr">
        <is>
          <t>Outcome not related to interest</t>
        </is>
      </c>
      <c r="F50" s="86" t="inlineStr">
        <is>
          <t>Outcome not related to interest</t>
        </is>
      </c>
    </row>
    <row r="51" ht="16" customHeight="1" s="55">
      <c r="A51" s="86" t="inlineStr">
        <is>
          <t>A hybrid model for diabetic retinopathy and diabetic macular edema severity grade classification</t>
        </is>
      </c>
      <c r="B51" s="86" t="inlineStr">
        <is>
          <t>Sabeena, A.S.</t>
        </is>
      </c>
      <c r="C51" s="86" t="n">
        <v>2025</v>
      </c>
      <c r="D51" s="86" t="inlineStr">
        <is>
          <t>Outcome not related to interest</t>
        </is>
      </c>
      <c r="E51" s="86" t="inlineStr">
        <is>
          <t>Outcome not related to interest</t>
        </is>
      </c>
      <c r="F51" s="86" t="n">
        <v>19</v>
      </c>
    </row>
    <row r="52" ht="16" customHeight="1" s="55">
      <c r="A52" s="86" t="inlineStr">
        <is>
          <t>Hybrid model of feature-driven modular neural networkbased grasshopper optimization algorithm for diabetic retinopathy classification using fundus images</t>
        </is>
      </c>
      <c r="B52" s="86" t="inlineStr">
        <is>
          <t>Durai, D.B.J.</t>
        </is>
      </c>
      <c r="C52" s="86" t="n">
        <v>2025</v>
      </c>
      <c r="D52" s="86" t="inlineStr">
        <is>
          <t>Outcome not related to interest</t>
        </is>
      </c>
      <c r="E52" s="86" t="inlineStr">
        <is>
          <t>Outcome not related to interest</t>
        </is>
      </c>
      <c r="F52" s="86" t="inlineStr">
        <is>
          <t>Insufficient to constrct confusion matrix</t>
        </is>
      </c>
    </row>
    <row r="53" ht="16" customHeight="1" s="55">
      <c r="A53" s="86" t="inlineStr">
        <is>
          <t>Modified deep inductive transfer learning diagnostic systems for diabetic retinopathy severity levels classification</t>
        </is>
      </c>
      <c r="B53" s="86" t="inlineStr">
        <is>
          <t>Vij, R.</t>
        </is>
      </c>
      <c r="C53" s="86" t="n">
        <v>2025</v>
      </c>
      <c r="D53" s="86" t="inlineStr">
        <is>
          <t>Outcome not related to interest</t>
        </is>
      </c>
      <c r="E53" s="86" t="n">
        <v>8</v>
      </c>
      <c r="F53" s="86" t="n">
        <v>20</v>
      </c>
    </row>
    <row r="54" ht="16" customHeight="1" s="55">
      <c r="A54" s="86" t="inlineStr">
        <is>
          <t>Revolutionizing diabetic retinopathy diagnosis through advanced deep learning techniques: Harnessing the power of GAN model with transfer learning and the DiaGAN-CNN model</t>
        </is>
      </c>
      <c r="B54" s="86" t="inlineStr">
        <is>
          <t>Shoaib, M.R.</t>
        </is>
      </c>
      <c r="C54" s="86" t="n">
        <v>2025</v>
      </c>
      <c r="D54" s="86" t="inlineStr">
        <is>
          <t>Outcome not related to interest</t>
        </is>
      </c>
      <c r="E54" s="86" t="inlineStr">
        <is>
          <t>Outcome not related to interest</t>
        </is>
      </c>
      <c r="F54" s="86" t="inlineStr">
        <is>
          <t>Outcome not related to interest</t>
        </is>
      </c>
    </row>
    <row r="55" ht="16" customHeight="1" s="55">
      <c r="A55" s="86" t="inlineStr">
        <is>
          <t>Screening diabetic retinopathy and exudates in retinal images using dual functional convolutional neural networks</t>
        </is>
      </c>
      <c r="B55" s="86" t="inlineStr">
        <is>
          <t>Geetha, T.</t>
        </is>
      </c>
      <c r="C55" s="86" t="n">
        <v>2025</v>
      </c>
      <c r="D55" s="86" t="inlineStr">
        <is>
          <t>Outcome not related to interest</t>
        </is>
      </c>
      <c r="E55" s="86" t="inlineStr">
        <is>
          <t>Outcome not related to interest</t>
        </is>
      </c>
      <c r="F55" s="86" t="inlineStr">
        <is>
          <t>Outcome not related to interest</t>
        </is>
      </c>
      <c r="G55" s="86" t="n"/>
    </row>
    <row r="56" ht="16" customHeight="1" s="55">
      <c r="A56" s="86" t="inlineStr">
        <is>
          <t>DeB5-XNet: An explainable ensemble model for ocular disease classification using feature extraction and Grad-CAM</t>
        </is>
      </c>
      <c r="B56" s="86" t="inlineStr">
        <is>
          <t>Kher, G.</t>
        </is>
      </c>
      <c r="C56" s="86" t="n">
        <v>2025</v>
      </c>
      <c r="D56" s="86" t="inlineStr">
        <is>
          <t>Outcome not related to interest</t>
        </is>
      </c>
      <c r="E56" s="86" t="inlineStr">
        <is>
          <t>Outcome not related to interest</t>
        </is>
      </c>
      <c r="F56" s="86" t="n">
        <v>21</v>
      </c>
    </row>
    <row r="57" ht="16" customHeight="1" s="55">
      <c r="A57" s="86" t="inlineStr">
        <is>
          <t>Detection of diabetic retinopathy severity from fundus images: DCNN</t>
        </is>
      </c>
      <c r="B57" s="86" t="inlineStr">
        <is>
          <t>Kumar, T.S.</t>
        </is>
      </c>
      <c r="C57" s="86" t="n">
        <v>2025</v>
      </c>
      <c r="D57" s="86" t="inlineStr">
        <is>
          <t>Outcome not related to interest</t>
        </is>
      </c>
      <c r="E57" s="86" t="inlineStr">
        <is>
          <t>Outcome not related to interest</t>
        </is>
      </c>
      <c r="F57" s="86" t="n">
        <v>22</v>
      </c>
    </row>
    <row r="58" ht="16" customHeight="1" s="55">
      <c r="A58" s="86" t="inlineStr">
        <is>
          <t>Enhanced Diabetic Retinopathy Detection: An Explainable Semi-Supervised Approach Using Contrastive Learning</t>
        </is>
      </c>
      <c r="B58" s="86" t="inlineStr">
        <is>
          <t>Ali, R.</t>
        </is>
      </c>
      <c r="C58" s="86" t="n">
        <v>2025</v>
      </c>
      <c r="D58" s="86" t="inlineStr">
        <is>
          <t>Outcome not related to interest</t>
        </is>
      </c>
      <c r="E58" s="86" t="inlineStr">
        <is>
          <t>Outcome not related to interest</t>
        </is>
      </c>
      <c r="F58" s="86" t="inlineStr">
        <is>
          <t>Outcome not related to interest</t>
        </is>
      </c>
    </row>
    <row r="59" ht="16" customHeight="1" s="55">
      <c r="A59" s="86" t="inlineStr">
        <is>
          <t>HYBRID DEEP SPIKING NEURAL PRINCIPAL COMPONENT ANALYSIS NETWORK FOR DIABETIC RETINOPATHY DETECTION USING RETINAL FUNDUS IMAGE</t>
        </is>
      </c>
      <c r="B59" s="86" t="inlineStr">
        <is>
          <t>Rathod-Jadhav, K.T.</t>
        </is>
      </c>
      <c r="C59" s="86" t="n">
        <v>2025</v>
      </c>
      <c r="D59" s="86" t="inlineStr">
        <is>
          <t>Outcome not related to interest</t>
        </is>
      </c>
      <c r="E59" s="86" t="inlineStr">
        <is>
          <t>Outcome not related to interest</t>
        </is>
      </c>
      <c r="F59" s="86" t="inlineStr">
        <is>
          <t>Outcome not related to interest</t>
        </is>
      </c>
    </row>
    <row r="60" ht="16" customHeight="1" s="55">
      <c r="A60" s="86" t="inlineStr">
        <is>
          <t>Non-proliferative diabetic retinopathy detection using Rosmarus Quagga optimized explainable generative meta learning based deep convolutional neural network model.</t>
        </is>
      </c>
      <c r="B60" s="86" t="inlineStr">
        <is>
          <t>Mahapadi, Ajita Arvind</t>
        </is>
      </c>
      <c r="C60" s="86" t="n">
        <v>2025</v>
      </c>
      <c r="D60" s="86" t="inlineStr">
        <is>
          <t>Outcome not related to interest</t>
        </is>
      </c>
      <c r="E60" s="86" t="inlineStr">
        <is>
          <t>Outcome not related to interest</t>
        </is>
      </c>
      <c r="F60" s="86" t="n">
        <v>23</v>
      </c>
    </row>
    <row r="61" ht="16" customHeight="1" s="55">
      <c r="A61" s="86" t="inlineStr">
        <is>
          <t>Optimised Hybrid Attention-Based Capsule Network Integrated Three-Pathway Network for Chronic Disease Detection in Retinal Images.</t>
        </is>
      </c>
      <c r="B61" s="86" t="inlineStr">
        <is>
          <t>Mohamed Yaseen, M</t>
        </is>
      </c>
      <c r="C61" s="86" t="n">
        <v>2025</v>
      </c>
      <c r="D61" s="86" t="inlineStr">
        <is>
          <t>Outcome not related to interest</t>
        </is>
      </c>
      <c r="E61" s="86" t="inlineStr">
        <is>
          <t>Outcome not related to interest</t>
        </is>
      </c>
      <c r="F61" s="86" t="n">
        <v>24</v>
      </c>
    </row>
    <row r="62" ht="16" customHeight="1" s="55">
      <c r="A62" s="86" t="inlineStr">
        <is>
          <t>A hybrid deep learning framework for early detection of diabetic retinopathy using retinal fundus images.</t>
        </is>
      </c>
      <c r="B62" s="86" t="inlineStr">
        <is>
          <t>Sushith, Mishmala</t>
        </is>
      </c>
      <c r="C62" s="86" t="n">
        <v>2025</v>
      </c>
      <c r="D62" s="86" t="inlineStr">
        <is>
          <t>Outcome not related to interest</t>
        </is>
      </c>
      <c r="E62" s="86" t="n"/>
      <c r="F62" s="86" t="n"/>
    </row>
    <row r="63" ht="16" customHeight="1" s="55">
      <c r="A63" s="86" t="inlineStr">
        <is>
          <t>Optimizing diabetic retinopathy detection with electric fish algorithm and bilinear convolutional networks.</t>
        </is>
      </c>
      <c r="B63" s="86" t="inlineStr">
        <is>
          <t>Pamula, Udayaraju</t>
        </is>
      </c>
      <c r="C63" s="86" t="n">
        <v>2025</v>
      </c>
      <c r="D63" s="86" t="inlineStr">
        <is>
          <t>Outcome not related to interest</t>
        </is>
      </c>
      <c r="E63" s="86" t="n"/>
      <c r="F63" s="86" t="n"/>
    </row>
    <row r="64" ht="16" customHeight="1" s="55">
      <c r="A64" s="86" t="inlineStr">
        <is>
          <t>Validation of artificial intelligence algorithm LuxIA for screening of diabetic retinopathy from a single 45簞 retinal colour fundus images: the CARDS study.</t>
        </is>
      </c>
      <c r="B64" s="86" t="inlineStr">
        <is>
          <t>Abreu-Gonzalez, Rodrigo</t>
        </is>
      </c>
      <c r="C64" s="86" t="n">
        <v>2025</v>
      </c>
      <c r="D64" s="86" t="inlineStr">
        <is>
          <t>Outcome not related to interest</t>
        </is>
      </c>
      <c r="E64" s="86" t="n"/>
      <c r="F64" s="86" t="n"/>
    </row>
    <row r="65" ht="16" customHeight="1" s="55">
      <c r="A65" s="86" t="inlineStr">
        <is>
          <t>EffiViT: Hybrid CNN-Transformer for Retinal Imaging.</t>
        </is>
      </c>
      <c r="B65" s="86" t="n"/>
      <c r="C65" s="86" t="n">
        <v>2025</v>
      </c>
      <c r="D65" s="86" t="inlineStr">
        <is>
          <t>Outcome not related to interest</t>
        </is>
      </c>
      <c r="E65" s="86" t="n"/>
      <c r="F65" s="86" t="n"/>
    </row>
    <row r="66" ht="16" customHeight="1" s="55">
      <c r="A66" s="86" t="inlineStr">
        <is>
          <t>Diabetic retinopathy detection based on mobile maxout network and weber local descriptor feature selection using retinal fundus image.</t>
        </is>
      </c>
      <c r="B66" s="86" t="inlineStr">
        <is>
          <t>Sheejakumari, V</t>
        </is>
      </c>
      <c r="C66" s="86" t="n">
        <v>2025</v>
      </c>
      <c r="D66" s="86" t="inlineStr">
        <is>
          <t>Outcome not related to interest</t>
        </is>
      </c>
      <c r="E66" s="86" t="n"/>
      <c r="F66" s="86" t="n"/>
    </row>
    <row r="67" ht="16" customHeight="1" s="55">
      <c r="A67" s="86" t="inlineStr">
        <is>
          <t>EfficientNetB0-Based End-to-End Diagnostic System for Diabetic Retinopathy Grading and Macular Edema Detection.</t>
        </is>
      </c>
      <c r="B67" s="86" t="inlineStr">
        <is>
          <t>Long, Xin</t>
        </is>
      </c>
      <c r="C67" s="86" t="n">
        <v>2025</v>
      </c>
      <c r="D67" s="86" t="inlineStr">
        <is>
          <t>Outcome not related to interest</t>
        </is>
      </c>
      <c r="E67" s="86" t="n"/>
      <c r="F67" s="86" t="n"/>
    </row>
    <row r="68" ht="16" customHeight="1" s="55">
      <c r="A68" s="86" t="inlineStr">
        <is>
          <t>A lightweight multi-deep learning framework for accurate diabetic retinopathy detection and multi-level severity identification.</t>
        </is>
      </c>
      <c r="B68" s="86" t="inlineStr">
        <is>
          <t>Zafar, Amad</t>
        </is>
      </c>
      <c r="C68" s="86" t="n">
        <v>2025</v>
      </c>
      <c r="D68" s="86" t="inlineStr">
        <is>
          <t>Outcome not related to interest</t>
        </is>
      </c>
      <c r="E68" s="86" t="n"/>
      <c r="F68" s="86" t="n"/>
    </row>
    <row r="69" ht="16" customHeight="1" s="55">
      <c r="A69" s="86" t="inlineStr">
        <is>
          <t>Identification of Eye Diseases Through Deep Learning.</t>
        </is>
      </c>
      <c r="B69" s="86" t="inlineStr">
        <is>
          <t>Acevedo, Elena</t>
        </is>
      </c>
      <c r="C69" s="86" t="n">
        <v>2025</v>
      </c>
      <c r="D69" s="86" t="inlineStr">
        <is>
          <t>Outcome not related to interest</t>
        </is>
      </c>
      <c r="E69" s="86" t="n"/>
      <c r="F69" s="86" t="n"/>
    </row>
    <row r="70" ht="16" customHeight="1" s="55">
      <c r="A70" s="86" t="inlineStr">
        <is>
          <t>Advancing Visual Perception Through VCANet-Crossover Osprey Algorithm: Integrating Visual Technologies.</t>
        </is>
      </c>
      <c r="B70" s="86" t="inlineStr">
        <is>
          <t>Ning, Yuwen</t>
        </is>
      </c>
      <c r="C70" s="86" t="n">
        <v>2025</v>
      </c>
      <c r="D70" s="86" t="inlineStr">
        <is>
          <t>Outcome not related to interest</t>
        </is>
      </c>
      <c r="E70" s="86" t="n"/>
      <c r="F70" s="86" t="n"/>
    </row>
    <row r="71" ht="16" customHeight="1" s="55">
      <c r="A71" s="86" t="inlineStr">
        <is>
          <t>Retinal fundus imaging-based diabetic retinopathy classification using transfer learning and fennec fox optimization.</t>
        </is>
      </c>
      <c r="B71" s="86" t="inlineStr">
        <is>
          <t>Gupta, Indresh Kumar</t>
        </is>
      </c>
      <c r="C71" s="86" t="n">
        <v>2025</v>
      </c>
      <c r="D71" s="86" t="inlineStr">
        <is>
          <t>Outcome not related to interest</t>
        </is>
      </c>
      <c r="E71" s="86" t="n"/>
      <c r="F71" s="86" t="n"/>
    </row>
    <row r="72" ht="16" customHeight="1" s="55">
      <c r="A72" s="86" t="inlineStr">
        <is>
          <t>Innovative Approach for Diabetic Retinopathy Severity Classification: An AI-Powered Tool using CNN-Transformer Fusion.</t>
        </is>
      </c>
      <c r="B72" s="86" t="inlineStr">
        <is>
          <t>Rezaee, Khosro</t>
        </is>
      </c>
      <c r="C72" s="86" t="n">
        <v>2025</v>
      </c>
      <c r="D72" s="86" t="inlineStr">
        <is>
          <t>Outcome not related to interest</t>
        </is>
      </c>
      <c r="E72" s="86" t="n"/>
      <c r="F72" s="86" t="n"/>
    </row>
    <row r="73" ht="16" customHeight="1" s="55">
      <c r="A73" s="86" t="inlineStr">
        <is>
          <t>An inherently interpretable AI model improves screening speed and accuracy for early diabetic retinopathy.</t>
        </is>
      </c>
      <c r="B73" s="86" t="inlineStr">
        <is>
          <t>Djoumessi, Kerol</t>
        </is>
      </c>
      <c r="C73" s="86" t="n">
        <v>2025</v>
      </c>
      <c r="D73" s="86" t="inlineStr">
        <is>
          <t>Outcome not related to interest</t>
        </is>
      </c>
      <c r="E73" s="86" t="n"/>
      <c r="F73" s="86" t="n"/>
    </row>
    <row r="74" ht="16" customHeight="1" s="55">
      <c r="A74" s="86" t="inlineStr">
        <is>
          <t>Non-invasive biopsy diagnosis of diabetic kidney disease via deep learning applied to retinal images: a population-based study.</t>
        </is>
      </c>
      <c r="B74" s="86" t="inlineStr">
        <is>
          <t>Meng, Ziyao</t>
        </is>
      </c>
      <c r="C74" s="86" t="n">
        <v>2025</v>
      </c>
      <c r="D74" s="86" t="inlineStr">
        <is>
          <t>Outcome not related to interest</t>
        </is>
      </c>
      <c r="E74" s="86" t="n"/>
      <c r="F74" s="86" t="n"/>
    </row>
    <row r="75" ht="16" customHeight="1" s="55">
      <c r="A75" s="86" t="inlineStr">
        <is>
          <t>[Automated diabetic retinopathy screening in out-patient diabetes care - comparison of two artificial intelligence algorithms RetCAD and OphtAI].</t>
        </is>
      </c>
      <c r="B75" s="86" t="inlineStr">
        <is>
          <t>Bauer, Florian Maria</t>
        </is>
      </c>
      <c r="C75" s="86" t="n">
        <v>2025</v>
      </c>
      <c r="D75" s="86" t="inlineStr">
        <is>
          <t>Outcome not related to interest</t>
        </is>
      </c>
      <c r="E75" s="86" t="n"/>
      <c r="F75" s="86" t="n"/>
    </row>
    <row r="76" ht="16" customHeight="1" s="55">
      <c r="A76" s="86" t="inlineStr">
        <is>
          <t>Diagnostic Efficacy and Cost-effectiveness of Artificial Intelligence Systems in Diabetic Retinopathy Screening in Low-Resource Settings: a Multicenter Randomized Controlled Trail</t>
        </is>
      </c>
      <c r="B76" s="86" t="inlineStr">
        <is>
          <t xml:space="preserve">ChiCTR2500096375, </t>
        </is>
      </c>
      <c r="C76" s="86" t="n">
        <v>2025</v>
      </c>
      <c r="D76" s="86" t="inlineStr">
        <is>
          <t>Outcome not related to interest</t>
        </is>
      </c>
      <c r="E76" s="86" t="n"/>
      <c r="F76" s="86" t="n"/>
    </row>
    <row r="77" ht="16" customHeight="1" s="55">
      <c r="A77" s="86" t="inlineStr">
        <is>
          <t>Ensemble-based eye disease detection system utilizing fundus and vascular structures.</t>
        </is>
      </c>
      <c r="B77" s="86" t="inlineStr">
        <is>
          <t>Yu, Hongjie</t>
        </is>
      </c>
      <c r="C77" s="86" t="n">
        <v>2025</v>
      </c>
      <c r="D77" s="86" t="inlineStr">
        <is>
          <t>Outcome not related to interest</t>
        </is>
      </c>
      <c r="E77" s="86" t="n"/>
      <c r="F77" s="86" t="n"/>
    </row>
    <row r="78" ht="16" customHeight="1" s="55">
      <c r="A78" s="86" t="inlineStr">
        <is>
          <t>Ultra-wide-field fundus photography and AI-based screening and referral for multiple ocular fundus diseases.</t>
        </is>
      </c>
      <c r="B78" s="86" t="inlineStr">
        <is>
          <t>Zhao, Xinyu</t>
        </is>
      </c>
      <c r="C78" s="86" t="n">
        <v>2025</v>
      </c>
      <c r="D78" s="86" t="n">
        <v>5</v>
      </c>
      <c r="E78" s="86" t="n"/>
      <c r="F78" s="86" t="n"/>
    </row>
    <row r="79" ht="16" customHeight="1" s="55">
      <c r="A79" s="86" t="inlineStr">
        <is>
          <t>Development and Validation of a Deep Learning System for the Provision of a District-Wide Diabetes Retinal Screening Service.</t>
        </is>
      </c>
      <c r="B79" s="86" t="inlineStr">
        <is>
          <t>Daley, Jason R</t>
        </is>
      </c>
      <c r="C79" s="86" t="n">
        <v>2025</v>
      </c>
      <c r="D79" s="86" t="inlineStr">
        <is>
          <t>Outcome not related to interest</t>
        </is>
      </c>
      <c r="E79" s="86" t="n"/>
      <c r="F79" s="86" t="n"/>
    </row>
    <row r="80" ht="16" customHeight="1" s="55">
      <c r="A80" s="86" t="inlineStr">
        <is>
          <t>Artificial intelligence for advancing eye care in resource-poor settings: Assessing the predictive accuracy of an AI-model for diabetic retinopathy screening in India.</t>
        </is>
      </c>
      <c r="B80" s="86" t="inlineStr">
        <is>
          <t>Chawla, Rohan</t>
        </is>
      </c>
      <c r="C80" s="86" t="n">
        <v>2025</v>
      </c>
      <c r="D80" s="86" t="inlineStr">
        <is>
          <t>Outcome not related to interest</t>
        </is>
      </c>
      <c r="E80" s="86" t="n"/>
      <c r="F80" s="86" t="n"/>
    </row>
    <row r="81" ht="16" customHeight="1" s="55">
      <c r="A81" s="86" t="inlineStr">
        <is>
          <t>Diabetic retinopathy screening using artificial intelligence and its predictors among people with type 2 diabetes mellitus in an urban area of Durgapur.</t>
        </is>
      </c>
      <c r="B81" s="86" t="inlineStr">
        <is>
          <t>Sarkar, Poulami</t>
        </is>
      </c>
      <c r="C81" s="86" t="n">
        <v>2025</v>
      </c>
      <c r="D81" s="86" t="inlineStr">
        <is>
          <t>Outcome not related to interest</t>
        </is>
      </c>
      <c r="E81" s="86" t="n"/>
      <c r="F81" s="86" t="n"/>
    </row>
    <row r="82" ht="16" customHeight="1" s="55">
      <c r="A82" s="86" t="inlineStr">
        <is>
          <t>Temporal Integrative Machine Learning for Early Detection of Diabetic Retinopathy Using Fundus Imaging and Electronic Health Records.</t>
        </is>
      </c>
      <c r="B82" s="86" t="inlineStr">
        <is>
          <t>Messica, Shvat</t>
        </is>
      </c>
      <c r="C82" s="86" t="n">
        <v>2025</v>
      </c>
      <c r="D82" s="86" t="inlineStr">
        <is>
          <t>Outcome not related to interest</t>
        </is>
      </c>
      <c r="E82" s="86" t="n"/>
      <c r="F82" s="86" t="n"/>
    </row>
    <row r="83" ht="16" customHeight="1" s="55">
      <c r="A83" s="86" t="inlineStr">
        <is>
          <t>Vision transformer-based stratification of pre/diabetic and pre/hypertensive patients from retinal photographs for 3PM applications.</t>
        </is>
      </c>
      <c r="B83" s="86" t="inlineStr">
        <is>
          <t>Pushpanathan, Krithi</t>
        </is>
      </c>
      <c r="C83" s="86" t="n">
        <v>2025</v>
      </c>
      <c r="D83" s="86" t="inlineStr">
        <is>
          <t>Outcome not related to interest</t>
        </is>
      </c>
      <c r="E83" s="86" t="n"/>
      <c r="F83" s="86" t="n"/>
    </row>
    <row r="84" ht="16" customHeight="1" s="55">
      <c r="A84" s="86" t="inlineStr">
        <is>
          <t>Validation of a deep learning system for the detection of diabetic retinopathy in Indigenous Australians.</t>
        </is>
      </c>
      <c r="B84" s="86" t="inlineStr">
        <is>
          <t>Chia, Mark A</t>
        </is>
      </c>
      <c r="C84" s="86" t="n">
        <v>2024</v>
      </c>
      <c r="D84" s="86" t="n">
        <v>4</v>
      </c>
      <c r="E84" s="86" t="n"/>
      <c r="F84" s="86" t="n"/>
      <c r="G84" s="86" t="n"/>
      <c r="H84" s="86" t="n"/>
    </row>
    <row r="85" ht="16" customHeight="1" s="55">
      <c r="A85" s="86" t="inlineStr">
        <is>
          <t>Ensemble of deep convolutional neural networks is more accurate and reliable than board-certified ophthalmologists at detecting multiple diseases in retinal fundus photographs.</t>
        </is>
      </c>
      <c r="B85" s="86" t="inlineStr">
        <is>
          <t>Pandey, Prashant U</t>
        </is>
      </c>
      <c r="C85" s="86" t="n">
        <v>2024</v>
      </c>
      <c r="D85" s="86" t="n">
        <v>5</v>
      </c>
      <c r="E85" s="86" t="n"/>
      <c r="F85" s="86" t="n"/>
      <c r="G85" s="86" t="n"/>
      <c r="H85" s="86" t="n"/>
    </row>
    <row r="86" ht="16" customHeight="1" s="55">
      <c r="A86" s="86" t="inlineStr">
        <is>
          <t>Implementation of deep learning artificial intelligence in vision-threatening disease screenings for an underserved community during COVID-19.</t>
        </is>
      </c>
      <c r="B86" s="86" t="inlineStr">
        <is>
          <t>Zhu, Aretha</t>
        </is>
      </c>
      <c r="C86" s="86" t="n">
        <v>2024</v>
      </c>
      <c r="D86" s="5" t="inlineStr">
        <is>
          <t>Outcome not related to interest</t>
        </is>
      </c>
      <c r="E86" s="86" t="n"/>
      <c r="F86" s="86" t="n"/>
      <c r="G86" s="86" t="n"/>
      <c r="H86" s="5" t="n"/>
    </row>
    <row r="87" ht="16" customHeight="1" s="55">
      <c r="A87" s="86" t="inlineStr">
        <is>
          <t>Application of artificial intelligence system for screening multiple fundus diseases in Chinese primary healthcare settings: a real-world, multicentre and cross-sectional study of 4795 cases.</t>
        </is>
      </c>
      <c r="B87" s="86" t="inlineStr">
        <is>
          <t>Gu, Chufeng</t>
        </is>
      </c>
      <c r="C87" s="86" t="n">
        <v>2024</v>
      </c>
      <c r="D87" s="5" t="inlineStr">
        <is>
          <t>Outcome not related to interest</t>
        </is>
      </c>
      <c r="E87" s="86" t="n"/>
      <c r="F87" s="86" t="n"/>
      <c r="G87" s="86" t="n"/>
      <c r="H87" s="5" t="n"/>
    </row>
    <row r="88" ht="16" customHeight="1" s="55">
      <c r="A88" s="86" t="inlineStr">
        <is>
          <t>Deep learning detection of diabetic retinopathy in Scotland's diabetic eye screening programme.</t>
        </is>
      </c>
      <c r="B88" s="86" t="inlineStr">
        <is>
          <t>Fleming, Alan D</t>
        </is>
      </c>
      <c r="C88" s="86" t="n">
        <v>2024</v>
      </c>
      <c r="D88" s="86" t="inlineStr">
        <is>
          <t>Outcome not related to interest</t>
        </is>
      </c>
      <c r="E88" s="86" t="n"/>
      <c r="F88" s="86" t="n"/>
      <c r="G88" s="86" t="n"/>
      <c r="H88" s="86" t="n"/>
    </row>
    <row r="89" ht="16" customHeight="1" s="55">
      <c r="A89" s="86" t="inlineStr">
        <is>
          <t>Feasibility and accuracy of the screening for diabetic retinopathy using a fundus camera and an artificial intelligence pre-evaluation application.</t>
        </is>
      </c>
      <c r="B89" s="86" t="inlineStr">
        <is>
          <t>Piatti, A</t>
        </is>
      </c>
      <c r="C89" s="86" t="n">
        <v>2024</v>
      </c>
      <c r="D89" s="5" t="inlineStr">
        <is>
          <t>Outcome not related to interest</t>
        </is>
      </c>
      <c r="E89" s="86" t="n"/>
      <c r="F89" s="86" t="n"/>
      <c r="G89" s="86" t="n"/>
      <c r="H89" s="5" t="n"/>
    </row>
    <row r="90" ht="16" customHeight="1" s="55">
      <c r="A90" s="86" t="inlineStr">
        <is>
          <t>An advanced deep learning method to detect and classify diabetic retinopathy based on color fundus images.</t>
        </is>
      </c>
      <c r="B90" s="86" t="inlineStr">
        <is>
          <t>Akella, Prasanna Lakshmi</t>
        </is>
      </c>
      <c r="C90" s="86" t="n">
        <v>2024</v>
      </c>
      <c r="D90" s="5" t="inlineStr">
        <is>
          <t>Outcome not related to interest</t>
        </is>
      </c>
      <c r="E90" s="86" t="n"/>
      <c r="F90" s="86" t="n"/>
      <c r="G90" s="86" t="n"/>
      <c r="H90" s="5" t="n"/>
    </row>
    <row r="91" ht="16" customHeight="1" s="55">
      <c r="A91" s="86" t="inlineStr">
        <is>
          <t>Feasibility and acceptance of artificial intelligence-based diabetic retinopathy screening in Rwanda.</t>
        </is>
      </c>
      <c r="B91" s="86" t="inlineStr">
        <is>
          <t>Whitestone, Noelle</t>
        </is>
      </c>
      <c r="C91" s="86" t="n">
        <v>2024</v>
      </c>
      <c r="D91" s="5" t="inlineStr">
        <is>
          <t>Outcome not related to interest</t>
        </is>
      </c>
      <c r="E91" s="17" t="n"/>
      <c r="F91" s="86" t="n"/>
      <c r="G91" s="86" t="n"/>
      <c r="H91" s="5" t="n"/>
    </row>
    <row r="92" ht="16" customHeight="1" s="55">
      <c r="A92" s="86" t="inlineStr">
        <is>
          <t>A double-blinded study for quantifiable assessment of the diagnostic accuracy of AI tool "ADVEN-i" in identifying diseased fundus images including diabetic retinopathy on a retrospective data.</t>
        </is>
      </c>
      <c r="B92" s="86" t="inlineStr">
        <is>
          <t>Acharyya, Mausumi</t>
        </is>
      </c>
      <c r="C92" s="86" t="n">
        <v>2024</v>
      </c>
      <c r="D92" s="5" t="inlineStr">
        <is>
          <t>Outcome not related to interest</t>
        </is>
      </c>
      <c r="E92" s="86" t="n"/>
      <c r="F92" s="86" t="n"/>
      <c r="G92" s="86" t="n"/>
      <c r="H92" s="5" t="n"/>
    </row>
    <row r="93" ht="16" customHeight="1" s="55">
      <c r="A93" s="86" t="inlineStr">
        <is>
          <t>Effect of simulated cataract on the accuracy of artificial intelligence in detecting diabetic retinopathy in color fundus photos.</t>
        </is>
      </c>
      <c r="B93" s="86" t="inlineStr">
        <is>
          <t>Crane, Alexander B</t>
        </is>
      </c>
      <c r="C93" s="86" t="n">
        <v>2024</v>
      </c>
      <c r="D93" s="5" t="inlineStr">
        <is>
          <t>Outcome not related to interest</t>
        </is>
      </c>
      <c r="E93" s="86" t="n"/>
      <c r="F93" s="86" t="n"/>
      <c r="G93" s="86" t="n"/>
      <c r="H93" s="5" t="n"/>
    </row>
    <row r="94" ht="16" customHeight="1" s="55">
      <c r="A94" s="86" t="inlineStr">
        <is>
          <t>Diabetic Retinopathy Diagnosis based on Convolutional Neural Network in the Russian Population: A Multicenter Prospective Study.</t>
        </is>
      </c>
      <c r="B94" s="86" t="inlineStr">
        <is>
          <t>Gognieva, Daria</t>
        </is>
      </c>
      <c r="C94" s="86" t="n">
        <v>2024</v>
      </c>
      <c r="D94" s="5" t="inlineStr">
        <is>
          <t>Outcome not related to interest</t>
        </is>
      </c>
      <c r="E94" s="86" t="n"/>
      <c r="F94" s="86" t="n"/>
      <c r="G94" s="86" t="n"/>
      <c r="H94" s="5" t="n"/>
    </row>
    <row r="95" ht="16" customHeight="1" s="55">
      <c r="A95" s="86" t="inlineStr">
        <is>
          <t>Implementing and evaluating a fully functional AI-enabled model for chronic eye disease screening in a real clinical environment.</t>
        </is>
      </c>
      <c r="B95" s="86" t="inlineStr">
        <is>
          <t>Skevas, Christos</t>
        </is>
      </c>
      <c r="C95" s="86" t="n">
        <v>2024</v>
      </c>
      <c r="D95" s="5" t="inlineStr">
        <is>
          <t>Outcome not related to interest</t>
        </is>
      </c>
      <c r="E95" s="86" t="n"/>
      <c r="F95" s="86" t="n"/>
      <c r="G95" s="86" t="n"/>
      <c r="H95" s="5" t="n"/>
    </row>
    <row r="96" ht="16" customHeight="1" s="55">
      <c r="A96" s="86" t="inlineStr">
        <is>
          <t>UC-stack: a deep learning computer automatic detection system for diabetic retinopathy classification.</t>
        </is>
      </c>
      <c r="B96" s="86" t="inlineStr">
        <is>
          <t>Fu, Yong</t>
        </is>
      </c>
      <c r="C96" s="86" t="n">
        <v>2024</v>
      </c>
      <c r="D96" s="5" t="inlineStr">
        <is>
          <t>Outcome not related to interest</t>
        </is>
      </c>
      <c r="E96" s="86" t="n"/>
      <c r="F96" s="86" t="n"/>
      <c r="G96" s="86" t="n"/>
      <c r="H96" s="5" t="n"/>
    </row>
    <row r="97" ht="16" customHeight="1" s="55">
      <c r="A97" s="86" t="inlineStr">
        <is>
          <t>Automated Diabetic Retinopathy Diagnosis for Improved Clinical Decision Support.</t>
        </is>
      </c>
      <c r="B97" s="86" t="inlineStr">
        <is>
          <t>Boyle, Justin</t>
        </is>
      </c>
      <c r="C97" s="86" t="n">
        <v>2024</v>
      </c>
      <c r="D97" s="5" t="inlineStr">
        <is>
          <t>Outcome not related to interest</t>
        </is>
      </c>
      <c r="E97" s="86" t="n"/>
      <c r="F97" s="86" t="n"/>
      <c r="G97" s="86" t="n"/>
      <c r="H97" s="5" t="n"/>
    </row>
    <row r="98" ht="16" customHeight="1" s="55">
      <c r="A98" s="86" t="inlineStr">
        <is>
          <t>A hybrid neural network approach for classifying diabetic retinopathy subtypes.</t>
        </is>
      </c>
      <c r="B98" s="86" t="inlineStr">
        <is>
          <t>Xu, Huanqing</t>
        </is>
      </c>
      <c r="C98" s="86" t="n">
        <v>2024</v>
      </c>
      <c r="D98" s="5" t="inlineStr">
        <is>
          <t>Outcome not related to interest</t>
        </is>
      </c>
      <c r="E98" s="86" t="n"/>
      <c r="F98" s="86" t="n"/>
      <c r="G98" s="86" t="n"/>
      <c r="H98" s="5" t="n"/>
    </row>
    <row r="99" ht="16" customHeight="1" s="55">
      <c r="A99" s="86" t="inlineStr">
        <is>
          <t>Multi-Branching Temporal Convolutional Network With Tensor Data Completion for Diabetic Retinopathy Prediction.</t>
        </is>
      </c>
      <c r="B99" s="86" t="inlineStr">
        <is>
          <t>Wang, Zekai</t>
        </is>
      </c>
      <c r="C99" s="86" t="n">
        <v>2024</v>
      </c>
      <c r="D99" s="86" t="inlineStr">
        <is>
          <t>Insufficient to constrct confusion matrix</t>
        </is>
      </c>
      <c r="E99" s="86" t="n"/>
      <c r="F99" s="86" t="n"/>
      <c r="G99" s="86" t="n"/>
      <c r="H99" s="86" t="n"/>
    </row>
    <row r="100" ht="16" customHeight="1" s="55">
      <c r="A100" s="86" t="inlineStr">
        <is>
          <t>Improved Support Vector Machine based on CNN-SVD for vision-threatening diabetic retinopathy detection and classification.</t>
        </is>
      </c>
      <c r="B100" s="86" t="inlineStr">
        <is>
          <t>Bilal, Anas</t>
        </is>
      </c>
      <c r="C100" s="86" t="n">
        <v>2024</v>
      </c>
      <c r="D100" s="5" t="inlineStr">
        <is>
          <t>Outcome not related to interest</t>
        </is>
      </c>
      <c r="E100" s="86" t="n"/>
      <c r="F100" s="86" t="n"/>
      <c r="G100" s="86" t="n"/>
      <c r="H100" s="5" t="n"/>
    </row>
    <row r="101" ht="16" customHeight="1" s="55">
      <c r="A101" s="86" t="inlineStr">
        <is>
          <t>Deep learning innovations in diagnosing diabetic retinopathy: The potential of transfer learning and the DiaCNN model.</t>
        </is>
      </c>
      <c r="B101" s="86" t="inlineStr">
        <is>
          <t>Shoaib, Mohamed R</t>
        </is>
      </c>
      <c r="C101" s="86" t="n">
        <v>2024</v>
      </c>
      <c r="D101" s="5" t="inlineStr">
        <is>
          <t>Outcome not related to interest</t>
        </is>
      </c>
      <c r="E101" s="86" t="n"/>
      <c r="F101" s="86" t="n"/>
      <c r="G101" s="86" t="n"/>
      <c r="H101" s="5" t="n"/>
    </row>
    <row r="102" ht="16" customHeight="1" s="55">
      <c r="A102" s="86" t="inlineStr">
        <is>
          <t>Head to head comparison of diagnostic performance of three non-mydriatic cameras for diabetic retinopathy screening with artificial intelligence.</t>
        </is>
      </c>
      <c r="B102" s="86" t="inlineStr">
        <is>
          <t>Doan, Mehmet Erkan</t>
        </is>
      </c>
      <c r="C102" s="86" t="n">
        <v>2024</v>
      </c>
      <c r="D102" s="5" t="inlineStr">
        <is>
          <t>Outcome not related to interest</t>
        </is>
      </c>
      <c r="E102" s="86" t="n"/>
      <c r="F102" s="86" t="n"/>
      <c r="G102" s="86" t="n"/>
      <c r="H102" s="5" t="n"/>
    </row>
    <row r="103" ht="16" customHeight="1" s="55">
      <c r="A103" s="86" t="inlineStr">
        <is>
          <t>An interpretable dual attention network for diabetic retinopathy grading: IDANet.</t>
        </is>
      </c>
      <c r="B103" s="86" t="inlineStr">
        <is>
          <t>Bhati, Amit</t>
        </is>
      </c>
      <c r="C103" s="86" t="n">
        <v>2024</v>
      </c>
      <c r="D103" s="5" t="inlineStr">
        <is>
          <t>Outcome not related to interest</t>
        </is>
      </c>
      <c r="E103" s="86" t="n"/>
      <c r="F103" s="86" t="n"/>
      <c r="G103" s="86" t="n"/>
      <c r="H103" s="5" t="n"/>
    </row>
    <row r="104" ht="16" customHeight="1" s="55">
      <c r="A104" s="86" t="inlineStr">
        <is>
          <t>A graph convolutional network with dynamic weight fusion of multi-scale local features for diabetic retinopathy grading.</t>
        </is>
      </c>
      <c r="B104" s="86" t="inlineStr">
        <is>
          <t>Wang, Yipeng</t>
        </is>
      </c>
      <c r="C104" s="86" t="n">
        <v>2024</v>
      </c>
      <c r="D104" s="5" t="inlineStr">
        <is>
          <t>Outcome not related to interest</t>
        </is>
      </c>
      <c r="E104" s="86" t="n"/>
      <c r="F104" s="86" t="n"/>
      <c r="G104" s="86" t="n"/>
      <c r="H104" s="5" t="n"/>
    </row>
    <row r="105" ht="16" customHeight="1" s="55">
      <c r="A105" s="86" t="inlineStr">
        <is>
          <t>Vision transformer with masked autoencoders for referable diabetic retinopathy classification based on large-size retina image.</t>
        </is>
      </c>
      <c r="B105" s="86" t="inlineStr">
        <is>
          <t>Yang, Yaoming</t>
        </is>
      </c>
      <c r="C105" s="86" t="n">
        <v>2024</v>
      </c>
      <c r="D105" s="5" t="inlineStr">
        <is>
          <t>Outcome not related to interest</t>
        </is>
      </c>
      <c r="E105" s="86" t="n"/>
      <c r="F105" s="86" t="n"/>
      <c r="G105" s="86" t="n"/>
      <c r="H105" s="5" t="n"/>
    </row>
    <row r="106" ht="16" customHeight="1" s="55">
      <c r="A106" s="86" t="inlineStr">
        <is>
          <t>An enumerative pre-processing approach for retinopathy severity grading using an interpretable classifier: a comparative study.</t>
        </is>
      </c>
      <c r="B106" s="86" t="inlineStr">
        <is>
          <t>Vasireddi, Hemanth Kumar</t>
        </is>
      </c>
      <c r="C106" s="86" t="n">
        <v>2024</v>
      </c>
      <c r="D106" s="5" t="inlineStr">
        <is>
          <t>Outcome not related to interest</t>
        </is>
      </c>
      <c r="E106" s="86" t="n"/>
      <c r="F106" s="86" t="n"/>
      <c r="G106" s="86" t="n"/>
      <c r="H106" s="5" t="n"/>
    </row>
    <row r="107" ht="16" customHeight="1" s="55">
      <c r="A107" s="86" t="inlineStr">
        <is>
          <t>Identifying Diabetic Retinopathy in the Human Eye: A Hybrid Approach Based on a Computer-Aided Diagnosis System Combined with Deep Learning.</t>
        </is>
      </c>
      <c r="B107" s="86" t="inlineStr">
        <is>
          <t>Atc覺, 羹kran Yaman</t>
        </is>
      </c>
      <c r="C107" s="86" t="n">
        <v>2024</v>
      </c>
      <c r="D107" s="5" t="inlineStr">
        <is>
          <t>Outcome not related to interest</t>
        </is>
      </c>
      <c r="E107" s="86" t="n"/>
      <c r="F107" s="86" t="n"/>
      <c r="G107" s="86" t="n"/>
      <c r="H107" s="5" t="n"/>
    </row>
    <row r="108" ht="16" customHeight="1" s="55">
      <c r="A108" s="86" t="inlineStr">
        <is>
          <t>A novel deep learning model for diabetic retinopathy detection in retinal fundus images using pre-trained CNN and HWBLSTM.</t>
        </is>
      </c>
      <c r="B108" s="86" t="inlineStr">
        <is>
          <t>Hemanth, S V</t>
        </is>
      </c>
      <c r="C108" s="86" t="n">
        <v>2024</v>
      </c>
      <c r="D108" s="5" t="inlineStr">
        <is>
          <t>Outcome not related to interest</t>
        </is>
      </c>
      <c r="E108" s="86" t="n"/>
      <c r="F108" s="86" t="n"/>
      <c r="G108" s="86" t="n"/>
      <c r="H108" s="5" t="n"/>
    </row>
    <row r="109" ht="16" customHeight="1" s="55">
      <c r="A109" s="86" t="inlineStr">
        <is>
          <t>Exploration of AI-powered DenseNet121 for effective diabetic retinopathy detection.</t>
        </is>
      </c>
      <c r="B109" s="86" t="inlineStr">
        <is>
          <t>Lakshmi, K Santhiya</t>
        </is>
      </c>
      <c r="C109" s="86" t="n">
        <v>2024</v>
      </c>
      <c r="D109" s="5" t="inlineStr">
        <is>
          <t>Outcome not related to interest</t>
        </is>
      </c>
      <c r="E109" s="86" t="n"/>
      <c r="F109" s="86" t="n"/>
      <c r="G109" s="86" t="n"/>
      <c r="H109" s="5" t="n"/>
    </row>
    <row r="110" ht="16" customHeight="1" s="55">
      <c r="A110" s="86" t="inlineStr">
        <is>
          <t>The use of artificial intelligence to assess diabetic eye disease among the Greenlandic population.</t>
        </is>
      </c>
      <c r="B110" s="86" t="inlineStr">
        <is>
          <t>Larsen, Trine Jul</t>
        </is>
      </c>
      <c r="C110" s="86" t="n">
        <v>2024</v>
      </c>
      <c r="D110" s="5" t="inlineStr">
        <is>
          <t>Outcome not related to interest</t>
        </is>
      </c>
      <c r="E110" s="86" t="n"/>
      <c r="F110" s="86" t="n"/>
      <c r="G110" s="86" t="n"/>
      <c r="H110" s="5" t="n"/>
    </row>
    <row r="111" ht="16" customHeight="1" s="55">
      <c r="A111" s="86" t="inlineStr">
        <is>
          <t>Computational Model for the Detection of Diabetic Retinopathy in 2-D Color Fundus Retina Scan.</t>
        </is>
      </c>
      <c r="B111" s="86" t="inlineStr">
        <is>
          <t>Aggarwal, Akshit</t>
        </is>
      </c>
      <c r="C111" s="86" t="n">
        <v>2024</v>
      </c>
      <c r="D111" s="5" t="inlineStr">
        <is>
          <t>Outcome not related to interest</t>
        </is>
      </c>
      <c r="E111" s="86" t="n"/>
      <c r="F111" s="86" t="n"/>
      <c r="G111" s="86" t="n"/>
      <c r="H111" s="5" t="n"/>
    </row>
    <row r="112" ht="16" customHeight="1" s="55">
      <c r="A112" s="86" t="inlineStr">
        <is>
          <t>Automated Machine Learning for Predicting Diabetic Retinopathy Progression From Ultra-Widefield Retinal Images.</t>
        </is>
      </c>
      <c r="B112" s="86" t="inlineStr">
        <is>
          <t>Silva, Paolo S</t>
        </is>
      </c>
      <c r="C112" s="86" t="n">
        <v>2024</v>
      </c>
      <c r="D112" s="5" t="inlineStr">
        <is>
          <t>Outcome not related to interest</t>
        </is>
      </c>
      <c r="E112" s="86" t="n"/>
      <c r="F112" s="86" t="n"/>
      <c r="G112" s="86" t="n"/>
      <c r="H112" s="5" t="n"/>
    </row>
    <row r="113" ht="16" customHeight="1" s="55">
      <c r="A113" s="86" t="inlineStr">
        <is>
          <t>Automated Identification of Different Severity Levels of Diabetic Retinopathy Using a Handheld Fundus Camera and Single-Image Protocol.</t>
        </is>
      </c>
      <c r="B113" s="86" t="inlineStr">
        <is>
          <t>Malerbi, Fernando K</t>
        </is>
      </c>
      <c r="C113" s="86" t="n">
        <v>2024</v>
      </c>
      <c r="D113" s="5" t="inlineStr">
        <is>
          <t>Outcome not related to interest</t>
        </is>
      </c>
      <c r="E113" s="86" t="n"/>
      <c r="F113" s="86" t="n"/>
      <c r="G113" s="86" t="n"/>
      <c r="H113" s="5" t="n"/>
    </row>
    <row r="114" ht="16" customHeight="1" s="55">
      <c r="A114" s="86" t="inlineStr">
        <is>
          <t>A User-friendly Approach for the Diagnosis of Diabetic Retinopathy Using ChatGPT and Automated Machine Learning.</t>
        </is>
      </c>
      <c r="B114" s="86" t="inlineStr">
        <is>
          <t>Mohammadi, S Saeed</t>
        </is>
      </c>
      <c r="C114" s="86" t="n">
        <v>2024</v>
      </c>
      <c r="D114" s="5" t="inlineStr">
        <is>
          <t>Outcome not related to interest</t>
        </is>
      </c>
      <c r="E114" s="86" t="n"/>
      <c r="F114" s="86" t="n"/>
      <c r="G114" s="86" t="n"/>
      <c r="H114" s="5" t="n"/>
    </row>
    <row r="115" ht="16" customHeight="1" s="55">
      <c r="A115" s="86" t="inlineStr">
        <is>
          <t>Recognition of diabetic retinopathy and macular edema using deep learning.</t>
        </is>
      </c>
      <c r="B115" s="86" t="inlineStr">
        <is>
          <t>Jeribi, Fathe</t>
        </is>
      </c>
      <c r="C115" s="86" t="n">
        <v>2024</v>
      </c>
      <c r="D115" s="5" t="inlineStr">
        <is>
          <t>Outcome not related to interest</t>
        </is>
      </c>
      <c r="E115" s="86" t="n"/>
      <c r="F115" s="86" t="n"/>
      <c r="G115" s="86" t="n"/>
      <c r="H115" s="5" t="n"/>
    </row>
    <row r="116" ht="16" customHeight="1" s="55">
      <c r="A116" s="86" t="inlineStr">
        <is>
          <t>Enhancing deep learning pre-trained networks on diabetic retinopathy fundus photographs with SLIC-G.</t>
        </is>
      </c>
      <c r="B116" s="86" t="inlineStr">
        <is>
          <t>Lim, Wei Xiang</t>
        </is>
      </c>
      <c r="C116" s="86" t="n">
        <v>2024</v>
      </c>
      <c r="D116" s="5" t="inlineStr">
        <is>
          <t>Outcome not related to interest</t>
        </is>
      </c>
      <c r="E116" s="86" t="n"/>
      <c r="F116" s="86" t="n"/>
      <c r="G116" s="86" t="n"/>
      <c r="H116" s="5" t="n"/>
    </row>
    <row r="117" ht="16" customHeight="1" s="55">
      <c r="A117" s="86" t="inlineStr">
        <is>
          <t>Diabetic retinopathy detection using Bilayered Neural Network classification model with resubstitution validation.</t>
        </is>
      </c>
      <c r="B117" s="86" t="inlineStr">
        <is>
          <t>Omer, Herman Khalid</t>
        </is>
      </c>
      <c r="C117" s="86" t="n">
        <v>2024</v>
      </c>
      <c r="D117" s="5" t="inlineStr">
        <is>
          <t>Outcome not related to interest</t>
        </is>
      </c>
      <c r="E117" s="86" t="n"/>
      <c r="F117" s="86" t="n"/>
      <c r="G117" s="86" t="n"/>
      <c r="H117" s="5" t="n"/>
    </row>
    <row r="118" ht="16" customHeight="1" s="55">
      <c r="A118" s="86" t="inlineStr">
        <is>
          <t>Computer aided diagnosis of diabetic retinopathy based on multi-view joint learning.</t>
        </is>
      </c>
      <c r="B118" s="86" t="inlineStr">
        <is>
          <t>Xu, Xuebin</t>
        </is>
      </c>
      <c r="C118" s="86" t="n">
        <v>2024</v>
      </c>
      <c r="D118" s="5" t="inlineStr">
        <is>
          <t>Outcome not related to interest</t>
        </is>
      </c>
      <c r="E118" s="86" t="n"/>
      <c r="F118" s="86" t="n"/>
      <c r="G118" s="86" t="n"/>
      <c r="H118" s="5" t="n"/>
    </row>
    <row r="119" ht="16" customHeight="1" s="55">
      <c r="A119" s="86" t="inlineStr">
        <is>
          <t>Attention-based deep learning framework for automatic fundus image processing to aid in diabetic retinopathy grading.</t>
        </is>
      </c>
      <c r="B119" s="86" t="inlineStr">
        <is>
          <t>Romero-Ora獺, Roberto</t>
        </is>
      </c>
      <c r="C119" s="86" t="n">
        <v>2024</v>
      </c>
      <c r="D119" s="5" t="inlineStr">
        <is>
          <t>Outcome not related to interest</t>
        </is>
      </c>
      <c r="E119" s="86" t="n"/>
      <c r="F119" s="86" t="n"/>
      <c r="G119" s="86" t="n"/>
      <c r="H119" s="5" t="n"/>
    </row>
    <row r="120" ht="16" customHeight="1" s="55">
      <c r="A120" s="86" t="inlineStr">
        <is>
          <t>A Lesion-Fusion Neural Network for Multi-View Diabetic Retinopathy Grading.</t>
        </is>
      </c>
      <c r="B120" s="86" t="inlineStr">
        <is>
          <t>Luo, Xiaoling</t>
        </is>
      </c>
      <c r="C120" s="86" t="n">
        <v>2024</v>
      </c>
      <c r="D120" s="5" t="inlineStr">
        <is>
          <t>Outcome not related to interest</t>
        </is>
      </c>
      <c r="E120" s="86" t="n"/>
      <c r="F120" s="86" t="n"/>
      <c r="G120" s="86" t="n"/>
      <c r="H120" s="5" t="n"/>
    </row>
    <row r="121" ht="16" customHeight="1" s="55">
      <c r="A121" s="86" t="inlineStr">
        <is>
          <t>Artificial intelligence based glaucoma and diabetic retinopathy detection using MATLAB - retrained AlexNet convolutional neural network.</t>
        </is>
      </c>
      <c r="B121" s="86" t="inlineStr">
        <is>
          <t>Arias-Serrano, Isaac</t>
        </is>
      </c>
      <c r="C121" s="86" t="n">
        <v>2024</v>
      </c>
      <c r="D121" s="5" t="inlineStr">
        <is>
          <t>Outcome not related to interest</t>
        </is>
      </c>
      <c r="E121" s="86" t="n"/>
      <c r="F121" s="86" t="n"/>
      <c r="G121" s="86" t="n"/>
      <c r="H121" s="5" t="n"/>
    </row>
    <row r="122" ht="16" customHeight="1" s="55">
      <c r="A122" s="86" t="inlineStr">
        <is>
          <t>MediDRNet: Tackling category imbalance in diabetic retinopathy classification with dual-branch learning and prototypical contrastive learning.</t>
        </is>
      </c>
      <c r="B122" s="86" t="inlineStr">
        <is>
          <t>Teng, Siying</t>
        </is>
      </c>
      <c r="C122" s="86" t="n">
        <v>2024</v>
      </c>
      <c r="D122" s="5" t="inlineStr">
        <is>
          <t>Outcome not related to interest</t>
        </is>
      </c>
      <c r="E122" s="86" t="n"/>
      <c r="F122" s="86" t="n"/>
      <c r="G122" s="86" t="n"/>
      <c r="H122" s="5" t="n"/>
    </row>
    <row r="123" ht="16" customHeight="1" s="55">
      <c r="A123" s="86" t="inlineStr">
        <is>
          <t>A pilot cost-analysis study comparing AI-based EyeArt簧 and ophthalmologist assessment of diabetic retinopathy in minority women in Oslo, Norway.</t>
        </is>
      </c>
      <c r="B123" s="86" t="inlineStr">
        <is>
          <t>Karabeg, Mia</t>
        </is>
      </c>
      <c r="C123" s="86" t="n">
        <v>2024</v>
      </c>
      <c r="D123" s="5" t="inlineStr">
        <is>
          <t>Outcome not related to interest</t>
        </is>
      </c>
      <c r="E123" s="86" t="n"/>
      <c r="F123" s="86" t="n"/>
      <c r="G123" s="86" t="n"/>
      <c r="H123" s="5" t="n"/>
    </row>
    <row r="124" ht="16" customHeight="1" s="55">
      <c r="A124" s="86" t="inlineStr">
        <is>
          <t>Localization and grading of NPDR lesions using ResNet-18-YOLOv8 model and informative features selection for DR classification based on transfer learning.</t>
        </is>
      </c>
      <c r="B124" s="86" t="inlineStr">
        <is>
          <t>Amin, Javaria</t>
        </is>
      </c>
      <c r="C124" s="86" t="n">
        <v>2024</v>
      </c>
      <c r="D124" s="5" t="inlineStr">
        <is>
          <t>Outcome not related to interest</t>
        </is>
      </c>
      <c r="E124" s="86" t="n"/>
      <c r="F124" s="86" t="n"/>
      <c r="G124" s="86" t="n"/>
      <c r="H124" s="5" t="n"/>
    </row>
    <row r="125" ht="16" customHeight="1" s="55">
      <c r="A125" s="86" t="inlineStr">
        <is>
          <t>Synchronous Diagnosis of Diabetic Retinopathy by a Handheld Retinal Camera, Artificial Intelligence, and Simultaneous Specialist Confirmation.</t>
        </is>
      </c>
      <c r="B125" s="86" t="inlineStr">
        <is>
          <t>Melo, Gustavo Barreto</t>
        </is>
      </c>
      <c r="C125" s="86" t="n">
        <v>2024</v>
      </c>
      <c r="D125" s="5" t="inlineStr">
        <is>
          <t>Outcome not related to interest</t>
        </is>
      </c>
      <c r="E125" s="86" t="n"/>
      <c r="F125" s="86" t="n"/>
      <c r="G125" s="86" t="n"/>
      <c r="H125" s="5" t="n"/>
    </row>
    <row r="126" ht="16" customHeight="1" s="55">
      <c r="A126" s="86" t="inlineStr">
        <is>
          <t>Comparison of 21 artificial intelligence algorithms in automated diabetic retinopathy screening using handheld fundus camera.</t>
        </is>
      </c>
      <c r="B126" s="86" t="inlineStr">
        <is>
          <t>Kubin, Anna-Maria</t>
        </is>
      </c>
      <c r="C126" s="86" t="n">
        <v>2024</v>
      </c>
      <c r="D126" s="5" t="inlineStr">
        <is>
          <t>Outcome not related to interest</t>
        </is>
      </c>
      <c r="E126" s="86" t="n"/>
      <c r="F126" s="86" t="n"/>
      <c r="G126" s="86" t="n"/>
      <c r="H126" s="5" t="n"/>
    </row>
    <row r="127" ht="16" customHeight="1" s="55">
      <c r="A127" s="86" t="inlineStr">
        <is>
          <t>An Artificial Intelligence Driven Approach for Classification of Ophthalmic Images using Convolutional Neural Network: An Experimental Study.</t>
        </is>
      </c>
      <c r="B127" s="86" t="inlineStr">
        <is>
          <t>Singh, Shagundeep</t>
        </is>
      </c>
      <c r="C127" s="86" t="n">
        <v>2024</v>
      </c>
      <c r="D127" s="5" t="inlineStr">
        <is>
          <t>Outcome not related to interest</t>
        </is>
      </c>
      <c r="E127" s="86" t="n"/>
      <c r="F127" s="86" t="n"/>
      <c r="G127" s="86" t="n"/>
      <c r="H127" s="5" t="n"/>
    </row>
    <row r="128" ht="16" customHeight="1" s="55">
      <c r="A128" s="86" t="inlineStr">
        <is>
          <t>DEC-DRR: deep ensemble of classification model for diabetic retinopathy recognition.</t>
        </is>
      </c>
      <c r="B128" s="86" t="inlineStr">
        <is>
          <t>Lisha, L B</t>
        </is>
      </c>
      <c r="C128" s="86" t="n">
        <v>2024</v>
      </c>
      <c r="D128" s="5" t="inlineStr">
        <is>
          <t>Outcome not related to interest</t>
        </is>
      </c>
      <c r="E128" s="86" t="n"/>
      <c r="F128" s="86" t="n"/>
      <c r="G128" s="86" t="n"/>
      <c r="H128" s="5" t="n"/>
    </row>
    <row r="129" ht="16" customHeight="1" s="55">
      <c r="A129" s="86" t="inlineStr">
        <is>
          <t>Automated machine learning model for fundus image classification by health-care professionals with no coding experience.</t>
        </is>
      </c>
      <c r="B129" s="86" t="inlineStr">
        <is>
          <t>Zago Ribeiro, Lucas</t>
        </is>
      </c>
      <c r="C129" s="86" t="n">
        <v>2024</v>
      </c>
      <c r="D129" s="5" t="inlineStr">
        <is>
          <t>Outcome not related to interest</t>
        </is>
      </c>
      <c r="E129" s="86" t="n"/>
      <c r="F129" s="86" t="n"/>
      <c r="G129" s="86" t="n"/>
      <c r="H129" s="5" t="n"/>
    </row>
    <row r="130" ht="16" customHeight="1" s="55">
      <c r="A130" s="86" t="inlineStr">
        <is>
          <t>Diabetic retinopathy prediction based on vision transformer and modified capsule network.</t>
        </is>
      </c>
      <c r="B130" s="86" t="inlineStr">
        <is>
          <t>Oulhadj, Mohammed</t>
        </is>
      </c>
      <c r="C130" s="86" t="n">
        <v>2024</v>
      </c>
      <c r="D130" s="5" t="inlineStr">
        <is>
          <t>Outcome not related to interest</t>
        </is>
      </c>
      <c r="E130" s="86" t="n"/>
      <c r="F130" s="86" t="n"/>
      <c r="G130" s="86" t="n"/>
      <c r="H130" s="5" t="n"/>
    </row>
    <row r="131" ht="16" customHeight="1" s="55">
      <c r="A131" s="86" t="inlineStr">
        <is>
          <t>Smart grading of diabetic retinopathy: an intelligent recommendation-based fine-tuned EfficientNetB0 framework.</t>
        </is>
      </c>
      <c r="B131" s="86" t="inlineStr">
        <is>
          <t>Anand, Vatsala</t>
        </is>
      </c>
      <c r="C131" s="86" t="n">
        <v>2024</v>
      </c>
      <c r="D131" s="5" t="inlineStr">
        <is>
          <t>Outcome not related to interest</t>
        </is>
      </c>
      <c r="E131" s="86" t="n"/>
      <c r="F131" s="86" t="n"/>
      <c r="G131" s="86" t="n"/>
      <c r="H131" s="5" t="n"/>
    </row>
    <row r="132" ht="16" customHeight="1" s="55">
      <c r="A132" s="86" t="inlineStr">
        <is>
          <t>Screening for diabetic retinopathy with artificial intelligence: a real world evaluation.</t>
        </is>
      </c>
      <c r="B132" s="86" t="inlineStr">
        <is>
          <t>Burlina, Silvia</t>
        </is>
      </c>
      <c r="C132" s="86" t="n">
        <v>2024</v>
      </c>
      <c r="D132" s="5" t="inlineStr">
        <is>
          <t>Outcome not related to interest</t>
        </is>
      </c>
      <c r="E132" s="86" t="n"/>
      <c r="F132" s="86" t="n"/>
      <c r="G132" s="86" t="n"/>
      <c r="H132" s="5" t="n"/>
    </row>
    <row r="133" ht="16" customHeight="1" s="55">
      <c r="A133" s="86" t="inlineStr">
        <is>
          <t>Artificial intelligence in diabetic retinopathy screening: from idea to a medical device in clinical practice.</t>
        </is>
      </c>
      <c r="B133" s="86" t="inlineStr">
        <is>
          <t>Va躂kov獺, Jozef穩na</t>
        </is>
      </c>
      <c r="C133" s="86" t="n">
        <v>2024</v>
      </c>
      <c r="D133" s="86" t="inlineStr">
        <is>
          <t>Review</t>
        </is>
      </c>
      <c r="E133" s="86" t="n"/>
      <c r="F133" s="86" t="n"/>
      <c r="G133" s="86" t="n"/>
      <c r="H133" s="86" t="n"/>
    </row>
    <row r="134" ht="16" customHeight="1" s="55">
      <c r="A134" s="86" t="inlineStr">
        <is>
          <t>Classification of Diabetic Retinopathy Disease Levels by Extracting Spectral Features Using Wavelet CNN.</t>
        </is>
      </c>
      <c r="B134" s="86" t="inlineStr">
        <is>
          <t>Sundar, Sumod</t>
        </is>
      </c>
      <c r="C134" s="86" t="n">
        <v>2024</v>
      </c>
      <c r="D134" s="5" t="inlineStr">
        <is>
          <t>Outcome not related to interest</t>
        </is>
      </c>
      <c r="E134" s="86" t="n"/>
      <c r="F134" s="86" t="n"/>
      <c r="G134" s="86" t="n"/>
      <c r="H134" s="5" t="n"/>
    </row>
    <row r="135" ht="16" customHeight="1" s="55">
      <c r="A135" s="86" t="inlineStr">
        <is>
          <t>Multi-label classification of retinal diseases based on fundus images using Resnet and Transformer.</t>
        </is>
      </c>
      <c r="B135" s="86" t="inlineStr">
        <is>
          <t>Zhao, Jiaqing</t>
        </is>
      </c>
      <c r="C135" s="86" t="n">
        <v>2024</v>
      </c>
      <c r="D135" s="86" t="inlineStr">
        <is>
          <t>Insufficient to constrct confusion matrix</t>
        </is>
      </c>
      <c r="E135" s="86" t="n"/>
      <c r="F135" s="86" t="n"/>
      <c r="G135" s="86" t="n"/>
      <c r="H135" s="86" t="n"/>
    </row>
    <row r="136" ht="16" customHeight="1" s="55">
      <c r="A136" s="86" t="inlineStr">
        <is>
          <t>Advancing healthcare with artificial intelligence: diagnostic accuracy of machine learning algorithm in diagnosis of diabetic retinopathy in the Brazilian population.</t>
        </is>
      </c>
      <c r="B136" s="86" t="inlineStr">
        <is>
          <t>Dos Reis, Mateus A</t>
        </is>
      </c>
      <c r="C136" s="86" t="n">
        <v>2024</v>
      </c>
      <c r="D136" s="5" t="inlineStr">
        <is>
          <t>Outcome not related to interest</t>
        </is>
      </c>
      <c r="E136" s="86" t="n"/>
      <c r="F136" s="86" t="n"/>
      <c r="G136" s="86" t="n"/>
      <c r="H136" s="5" t="n"/>
    </row>
    <row r="137" ht="16" customHeight="1" s="55">
      <c r="A137" s="86" t="inlineStr">
        <is>
          <t>Accuracy of Autonomous Artificial Intelligence-Based Diabetic Retinopathy Screening in Real-Life Clinical Practice.</t>
        </is>
      </c>
      <c r="B137" s="86" t="inlineStr">
        <is>
          <t>Riotto, Eleonora</t>
        </is>
      </c>
      <c r="C137" s="86" t="n">
        <v>2024</v>
      </c>
      <c r="D137" s="5" t="inlineStr">
        <is>
          <t>Outcome not related to interest</t>
        </is>
      </c>
      <c r="E137" s="86" t="n"/>
      <c r="F137" s="86" t="n"/>
      <c r="G137" s="86" t="n"/>
      <c r="H137" s="5" t="n"/>
    </row>
    <row r="138" ht="16" customHeight="1" s="55">
      <c r="A138" s="86" t="inlineStr">
        <is>
          <t>Optimized deep CNN for detection and classification of diabetic retinopathy and diabetic macular edema.</t>
        </is>
      </c>
      <c r="B138" s="86" t="inlineStr">
        <is>
          <t>Thanikachalam, V</t>
        </is>
      </c>
      <c r="C138" s="86" t="n">
        <v>2024</v>
      </c>
      <c r="D138" s="5" t="inlineStr">
        <is>
          <t>Outcome not related to interest</t>
        </is>
      </c>
      <c r="E138" s="86" t="n"/>
      <c r="F138" s="86" t="n"/>
      <c r="G138" s="86" t="n"/>
      <c r="H138" s="5" t="n"/>
    </row>
    <row r="139" ht="16" customHeight="1" s="55">
      <c r="A139" s="86" t="inlineStr">
        <is>
          <t>Comparative Analysis of Vision Transformers and Conventional Convolutional Neural Networks in Detecting Referable Diabetic Retinopathy.</t>
        </is>
      </c>
      <c r="B139" s="86" t="inlineStr">
        <is>
          <t>Goh, Jocelyn Hui Lin</t>
        </is>
      </c>
      <c r="C139" s="86" t="n">
        <v>2024</v>
      </c>
      <c r="D139" s="5" t="inlineStr">
        <is>
          <t>Outcome not related to interest</t>
        </is>
      </c>
      <c r="E139" s="86" t="n"/>
      <c r="F139" s="86" t="n"/>
      <c r="G139" s="86" t="n"/>
      <c r="H139" s="5" t="n"/>
    </row>
    <row r="140" ht="16" customHeight="1" s="55">
      <c r="A140" s="86" t="inlineStr">
        <is>
          <t>Impact of Gold-Standard Label Errors on Evaluating Performance of Deep Learning Models in Diabetic Retinopathy Screening: Nationwide Real-World Validation Study.</t>
        </is>
      </c>
      <c r="B140" s="86" t="inlineStr">
        <is>
          <t>Wang, Yueye</t>
        </is>
      </c>
      <c r="C140" s="86" t="n">
        <v>2024</v>
      </c>
      <c r="D140" s="5" t="inlineStr">
        <is>
          <t>Outcome not related to interest</t>
        </is>
      </c>
      <c r="E140" s="86" t="n"/>
      <c r="F140" s="86" t="n"/>
      <c r="G140" s="86" t="n"/>
      <c r="H140" s="5" t="n"/>
    </row>
    <row r="141" ht="16" customHeight="1" s="55">
      <c r="A141" s="86" t="inlineStr">
        <is>
          <t>Real-world evaluation of RetCAD deep-learning system for the detection of referable diabetic retinopathy and age-related macular degeneration.</t>
        </is>
      </c>
      <c r="B141" s="86" t="inlineStr">
        <is>
          <t>Taylor, Joshua R</t>
        </is>
      </c>
      <c r="C141" s="86" t="n">
        <v>2024</v>
      </c>
      <c r="D141" s="5" t="inlineStr">
        <is>
          <t>Outcome not related to interest</t>
        </is>
      </c>
      <c r="E141" s="86" t="n"/>
      <c r="F141" s="86" t="n"/>
      <c r="G141" s="86" t="n"/>
      <c r="H141" s="5" t="n"/>
    </row>
    <row r="142" ht="16" customHeight="1" s="55">
      <c r="A142" s="86" t="inlineStr">
        <is>
          <t>Evaluation of an AI algorithm trained on an ethnically diverse dataset to screen a previously unseen population for diabetic retinopathy.</t>
        </is>
      </c>
      <c r="B142" s="86" t="inlineStr">
        <is>
          <t>Rao, Divya P</t>
        </is>
      </c>
      <c r="C142" s="86" t="n">
        <v>2024</v>
      </c>
      <c r="D142" s="5" t="inlineStr">
        <is>
          <t>Outcome not related to interest</t>
        </is>
      </c>
      <c r="E142" s="86" t="n"/>
      <c r="F142" s="86" t="n"/>
      <c r="G142" s="86" t="n"/>
      <c r="H142" s="5" t="n"/>
    </row>
    <row r="143" ht="16" customHeight="1" s="55">
      <c r="A143" s="86" t="inlineStr">
        <is>
          <t>A deep learning framework for the early detection of multi-retinal diseases.</t>
        </is>
      </c>
      <c r="B143" s="86" t="inlineStr">
        <is>
          <t>Ejaz, Sara</t>
        </is>
      </c>
      <c r="C143" s="86" t="n">
        <v>2024</v>
      </c>
      <c r="D143" s="5" t="inlineStr">
        <is>
          <t>Outcome not related to interest</t>
        </is>
      </c>
      <c r="E143" s="86" t="n"/>
      <c r="F143" s="86" t="n"/>
      <c r="G143" s="86" t="n"/>
      <c r="H143" s="5" t="n"/>
    </row>
    <row r="144" ht="16" customHeight="1" s="55">
      <c r="A144" s="86" t="inlineStr">
        <is>
          <t>Detection and diagnosis of diabetic eye diseases using two phase transfer learning approach.</t>
        </is>
      </c>
      <c r="B144" s="86" t="inlineStr">
        <is>
          <t>Madduri, Vamsi Krishna</t>
        </is>
      </c>
      <c r="C144" s="86" t="n">
        <v>2024</v>
      </c>
      <c r="D144" s="5" t="inlineStr">
        <is>
          <t>Outcome not related to interest</t>
        </is>
      </c>
      <c r="E144" s="86" t="n"/>
      <c r="F144" s="86" t="n"/>
      <c r="G144" s="86" t="n"/>
      <c r="H144" s="5" t="n"/>
    </row>
    <row r="145" ht="16" customHeight="1" s="55">
      <c r="A145" s="86" t="inlineStr">
        <is>
          <t>A Self-Supervised Equivariant Refinement Classification Network for Diabetic Retinopathy Classification.</t>
        </is>
      </c>
      <c r="B145" s="86" t="inlineStr">
        <is>
          <t>Fan, Jiacheng</t>
        </is>
      </c>
      <c r="C145" s="86" t="n">
        <v>2024</v>
      </c>
      <c r="D145" s="5" t="inlineStr">
        <is>
          <t>Outcome not related to interest</t>
        </is>
      </c>
      <c r="E145" s="86" t="n"/>
      <c r="F145" s="86" t="n"/>
      <c r="G145" s="86" t="n"/>
      <c r="H145" s="5" t="n"/>
    </row>
    <row r="146" ht="16" customHeight="1" s="55">
      <c r="A146" s="86" t="inlineStr">
        <is>
          <t>MobileNet-V2 /IFHO model for Accurate Detection of early-stage diabetic retinopathy.</t>
        </is>
      </c>
      <c r="B146" s="86" t="inlineStr">
        <is>
          <t>Huang, Chunjuan</t>
        </is>
      </c>
      <c r="C146" s="86" t="n">
        <v>2024</v>
      </c>
      <c r="D146" s="5" t="inlineStr">
        <is>
          <t>Outcome not related to interest</t>
        </is>
      </c>
      <c r="E146" s="86" t="n"/>
      <c r="F146" s="86" t="n"/>
      <c r="G146" s="86" t="n"/>
      <c r="H146" s="5" t="n"/>
    </row>
    <row r="147" ht="16" customHeight="1" s="55">
      <c r="A147" s="86" t="inlineStr">
        <is>
          <t>Assessment of Clinical Metadata on the Accuracy of Retinal Fundus Image Labels in Diabetic Retinopathy in Uganda: Case-Crossover Study Using the Multimodal Database of Retinal Images in Africa.</t>
        </is>
      </c>
      <c r="B147" s="86" t="inlineStr">
        <is>
          <t>Arunga, Simon</t>
        </is>
      </c>
      <c r="C147" s="86" t="n">
        <v>2024</v>
      </c>
      <c r="D147" s="5" t="inlineStr">
        <is>
          <t>Outcome not related to interest</t>
        </is>
      </c>
      <c r="E147" s="86" t="n"/>
      <c r="F147" s="86" t="n"/>
      <c r="G147" s="86" t="n"/>
      <c r="H147" s="5" t="n"/>
    </row>
    <row r="148" ht="16" customHeight="1" s="55">
      <c r="A148" s="86" t="inlineStr">
        <is>
          <t>Artificial Intelligence-Based Screening System for Diabetic Retinopathy in Primary Care.</t>
        </is>
      </c>
      <c r="B148" s="86" t="inlineStr">
        <is>
          <t>Baget-Bernaldiz, Marc</t>
        </is>
      </c>
      <c r="C148" s="86" t="n">
        <v>2024</v>
      </c>
      <c r="D148" s="5" t="inlineStr">
        <is>
          <t>Outcome not related to interest</t>
        </is>
      </c>
      <c r="E148" s="86" t="n"/>
      <c r="F148" s="86" t="n"/>
      <c r="G148" s="86" t="n"/>
      <c r="H148" s="5" t="n"/>
    </row>
    <row r="149" ht="16" customHeight="1" s="55">
      <c r="A149" s="86" t="inlineStr">
        <is>
          <t>Diabetes detection from non-diabetic retinopathy fundus images using deep learning methodology.</t>
        </is>
      </c>
      <c r="B149" s="86" t="inlineStr">
        <is>
          <t>Rom, Yovel</t>
        </is>
      </c>
      <c r="C149" s="86" t="n">
        <v>2024</v>
      </c>
      <c r="D149" s="5" t="inlineStr">
        <is>
          <t>Outcome not related to interest</t>
        </is>
      </c>
      <c r="E149" s="86" t="n"/>
      <c r="F149" s="86" t="n"/>
      <c r="G149" s="86" t="n"/>
      <c r="H149" s="5" t="n"/>
    </row>
    <row r="150" ht="16" customHeight="1" s="55">
      <c r="A150" s="86" t="inlineStr">
        <is>
          <t>Evaluation of AI-enhanced non-mydriatic fundus photography for diabetic retinopathy screening.</t>
        </is>
      </c>
      <c r="B150" s="86" t="inlineStr">
        <is>
          <t>Hu, Chen-Liang</t>
        </is>
      </c>
      <c r="C150" s="86" t="n">
        <v>2024</v>
      </c>
      <c r="D150" s="86" t="n">
        <v>7</v>
      </c>
      <c r="E150" s="86" t="n"/>
      <c r="F150" s="86" t="n"/>
      <c r="G150" s="86" t="n"/>
      <c r="H150" s="86" t="n"/>
    </row>
    <row r="151" ht="16" customHeight="1" s="55">
      <c r="A151" s="86" t="inlineStr">
        <is>
          <t>Implementation of Artificial Intelligence-Based Diabetic Retinopathy Screening in a Tertiary Care Hospital in Quebec: Prospective Validation Study.</t>
        </is>
      </c>
      <c r="B151" s="86" t="inlineStr">
        <is>
          <t>Antaki, Fares</t>
        </is>
      </c>
      <c r="C151" s="86" t="n">
        <v>2024</v>
      </c>
      <c r="D151" s="86" t="inlineStr">
        <is>
          <t>Not deep learning</t>
        </is>
      </c>
      <c r="E151" s="86" t="n"/>
      <c r="F151" s="86" t="n"/>
      <c r="G151" s="86" t="n"/>
      <c r="H151" s="86" t="n"/>
    </row>
    <row r="152" ht="16" customHeight="1" s="55">
      <c r="A152" s="86" t="inlineStr">
        <is>
          <t>Heatmap analysis for artificial intelligence explainability in diabetic retinopathy detection: illuminating the rationale of deep learning decisions.</t>
        </is>
      </c>
      <c r="B152" s="86" t="inlineStr">
        <is>
          <t>Malerbi, Fernando Korn</t>
        </is>
      </c>
      <c r="C152" s="86" t="n">
        <v>2024</v>
      </c>
      <c r="D152" s="5" t="inlineStr">
        <is>
          <t>Outcome not related to interest</t>
        </is>
      </c>
      <c r="E152" s="86" t="n"/>
      <c r="F152" s="86" t="n"/>
      <c r="G152" s="86" t="n"/>
      <c r="H152" s="5" t="n"/>
    </row>
    <row r="153" ht="16" customHeight="1" s="55">
      <c r="A153" s="86" t="inlineStr">
        <is>
          <t>Multi-lesion segmentation guided deep attention network for automated detection of diabetic retinopathy.</t>
        </is>
      </c>
      <c r="B153" s="86" t="inlineStr">
        <is>
          <t>Li, Feng</t>
        </is>
      </c>
      <c r="C153" s="86" t="n">
        <v>2024</v>
      </c>
      <c r="D153" s="5" t="inlineStr">
        <is>
          <t>Outcome not related to interest</t>
        </is>
      </c>
      <c r="E153" s="86" t="n"/>
      <c r="F153" s="86" t="n"/>
      <c r="G153" s="86" t="n"/>
      <c r="H153" s="5" t="n"/>
    </row>
    <row r="154" ht="16" customHeight="1" s="55">
      <c r="A154" s="86" t="inlineStr">
        <is>
          <t>[Small-scale cross-layer fusion network for classification of diabetic retinopathy].</t>
        </is>
      </c>
      <c r="B154" s="86" t="inlineStr">
        <is>
          <t>Guo, Ying</t>
        </is>
      </c>
      <c r="C154" s="86" t="n">
        <v>2024</v>
      </c>
      <c r="D154" s="5" t="inlineStr">
        <is>
          <t>Outcome not related to interest</t>
        </is>
      </c>
      <c r="E154" s="86" t="n"/>
      <c r="F154" s="86" t="n"/>
      <c r="G154" s="86" t="n"/>
      <c r="H154" s="5" t="n"/>
    </row>
    <row r="155" ht="16" customHeight="1" s="55">
      <c r="A155" s="86" t="inlineStr">
        <is>
          <t>Clinical Utility of Deep Learning Assistance for Detecting Various Abnormal Findings in Color Retinal Fundus Images: A Reader Study.</t>
        </is>
      </c>
      <c r="B155" s="86" t="inlineStr">
        <is>
          <t>Shin, Joo Young</t>
        </is>
      </c>
      <c r="C155" s="86" t="n">
        <v>2024</v>
      </c>
      <c r="D155" s="86" t="inlineStr">
        <is>
          <t>Outcome not related to interest</t>
        </is>
      </c>
      <c r="E155" s="86" t="n"/>
      <c r="F155" s="86" t="n"/>
      <c r="G155" s="86" t="n"/>
      <c r="H155" s="86" t="n"/>
    </row>
    <row r="156" ht="16" customHeight="1" s="55">
      <c r="A156" s="86" t="inlineStr">
        <is>
          <t>Effectiveness of artificial intelligence for diabetic retinopathy screening in community in Binh Dinh Province, Vietnam.</t>
        </is>
      </c>
      <c r="B156" s="86" t="inlineStr">
        <is>
          <t>Van, Thanh Nguyen</t>
        </is>
      </c>
      <c r="C156" s="86" t="n">
        <v>2024</v>
      </c>
      <c r="D156" s="5" t="inlineStr">
        <is>
          <t>Outcome not related to interest</t>
        </is>
      </c>
      <c r="E156" s="86" t="n"/>
      <c r="F156" s="86" t="n"/>
      <c r="G156" s="86" t="n"/>
      <c r="H156" s="5" t="n"/>
    </row>
    <row r="157" ht="16" customHeight="1" s="55">
      <c r="A157" s="86" t="inlineStr">
        <is>
          <t>A multi-class fundus disease classification system based on an adaptive scale discriminator and hybrid loss.</t>
        </is>
      </c>
      <c r="B157" s="86" t="inlineStr">
        <is>
          <t>Zhou, Shiyu</t>
        </is>
      </c>
      <c r="C157" s="86" t="n">
        <v>2024</v>
      </c>
      <c r="D157" s="5" t="inlineStr">
        <is>
          <t>Outcome not related to interest</t>
        </is>
      </c>
      <c r="E157" s="86" t="n"/>
      <c r="F157" s="86" t="n"/>
      <c r="G157" s="86" t="n"/>
      <c r="H157" s="5" t="n"/>
    </row>
    <row r="158" ht="16" customHeight="1" s="55">
      <c r="A158" s="86" t="inlineStr">
        <is>
          <t>CAD-EYE: An Automated System for Multi-Eye Disease Classification Using Feature Fusion with Deep Learning Models and Fluorescence Imaging for Enhanced Interpretability.</t>
        </is>
      </c>
      <c r="B158" s="86" t="inlineStr">
        <is>
          <t>Khalid, Maimoona</t>
        </is>
      </c>
      <c r="C158" s="86" t="n">
        <v>2024</v>
      </c>
      <c r="D158" s="86" t="inlineStr">
        <is>
          <t>Not fundus image</t>
        </is>
      </c>
      <c r="E158" s="86" t="n"/>
      <c r="F158" s="86" t="n"/>
      <c r="G158" s="86" t="n"/>
      <c r="H158" s="86" t="n"/>
    </row>
    <row r="159" ht="16" customHeight="1" s="55">
      <c r="A159" s="86" t="inlineStr">
        <is>
          <t>Screening and evaluation of diabetic retinopathy via a deep learning network model: A prospective study.</t>
        </is>
      </c>
      <c r="B159" s="86" t="inlineStr">
        <is>
          <t>Yao, Li</t>
        </is>
      </c>
      <c r="C159" s="86" t="n">
        <v>2024</v>
      </c>
      <c r="D159" s="5" t="inlineStr">
        <is>
          <t>Outcome not related to interest</t>
        </is>
      </c>
      <c r="E159" s="86" t="n"/>
      <c r="F159" s="86" t="n"/>
      <c r="G159" s="86" t="n"/>
      <c r="H159" s="5" t="n"/>
    </row>
    <row r="160" ht="16" customHeight="1" s="55">
      <c r="A160" s="86" t="inlineStr">
        <is>
          <t>Evaluating the efficacy of AI systems in diabetic retinopathy detection: A comparative analysis of Mona DR and IDx-DR.</t>
        </is>
      </c>
      <c r="B160" s="86" t="inlineStr">
        <is>
          <t>Grzybowski, Andrzej</t>
        </is>
      </c>
      <c r="C160" s="86" t="n">
        <v>2024</v>
      </c>
      <c r="D160" s="5" t="inlineStr">
        <is>
          <t>Outcome not related to interest</t>
        </is>
      </c>
      <c r="E160" s="86" t="n"/>
      <c r="F160" s="86" t="n"/>
      <c r="G160" s="86" t="n"/>
      <c r="H160" s="5" t="n"/>
    </row>
    <row r="161" ht="16" customHeight="1" s="55">
      <c r="A161" s="86" t="inlineStr">
        <is>
          <t>Revolutionizing diabetic eye disease detection: retinal image analysis with cutting-edge deep learning techniques.</t>
        </is>
      </c>
      <c r="B161" s="86" t="inlineStr">
        <is>
          <t>D, Banumathy</t>
        </is>
      </c>
      <c r="C161" s="86" t="n">
        <v>2024</v>
      </c>
      <c r="D161" s="5" t="inlineStr">
        <is>
          <t>Outcome not related to interest</t>
        </is>
      </c>
      <c r="E161" s="86" t="n"/>
      <c r="F161" s="86" t="n"/>
      <c r="G161" s="86" t="n"/>
      <c r="H161" s="5" t="n"/>
    </row>
    <row r="162" ht="16" customHeight="1" s="55">
      <c r="A162" s="86" t="inlineStr">
        <is>
          <t>DRSegNet: A cutting-edge approach to Diabetic Retinopathy segmentation and classification using parameter-aware Nature-Inspired optimization.</t>
        </is>
      </c>
      <c r="B162" s="86" t="inlineStr">
        <is>
          <t>Kamal, Sundreen Asad</t>
        </is>
      </c>
      <c r="C162" s="86" t="n">
        <v>2024</v>
      </c>
      <c r="D162" s="5" t="inlineStr">
        <is>
          <t>Outcome not related to interest</t>
        </is>
      </c>
      <c r="E162" s="86" t="n"/>
      <c r="F162" s="86" t="n"/>
      <c r="G162" s="86" t="n"/>
      <c r="H162" s="5" t="n"/>
    </row>
    <row r="163" ht="16" customHeight="1" s="55">
      <c r="A163" s="86" t="inlineStr">
        <is>
          <t>Deep learning based binary classification of diabetic retinopathy images using transfer learning approach.</t>
        </is>
      </c>
      <c r="B163" s="86" t="inlineStr">
        <is>
          <t>Saproo, Dimple</t>
        </is>
      </c>
      <c r="C163" s="86" t="n">
        <v>2024</v>
      </c>
      <c r="D163" s="86" t="inlineStr">
        <is>
          <t>Insufficient to constrct confusion matrix</t>
        </is>
      </c>
      <c r="E163" s="18" t="n"/>
      <c r="F163" s="86" t="n"/>
      <c r="G163" s="86" t="n"/>
      <c r="H163" s="86" t="n"/>
    </row>
    <row r="164" ht="16" customHeight="1" s="55">
      <c r="A164" s="86" t="inlineStr">
        <is>
          <t>Two Handheld Retinograph Devices Evaluated by Ophthalmologists and an Artificial Intelligence Algorithm.</t>
        </is>
      </c>
      <c r="B164" s="86" t="inlineStr">
        <is>
          <t>Romero-Aroca, Pedro</t>
        </is>
      </c>
      <c r="C164" s="86" t="n">
        <v>2024</v>
      </c>
      <c r="D164" s="5" t="inlineStr">
        <is>
          <t>Outcome not related to interest</t>
        </is>
      </c>
      <c r="E164" s="86" t="n"/>
      <c r="F164" s="86" t="n"/>
      <c r="G164" s="86" t="n"/>
      <c r="H164" s="5" t="n"/>
    </row>
    <row r="165" ht="16" customHeight="1" s="55">
      <c r="A165" s="86" t="inlineStr">
        <is>
          <t>FedDL: personalized federated deep learning for enhanced detection and classification of diabetic retinopathy.</t>
        </is>
      </c>
      <c r="B165" s="86" t="inlineStr">
        <is>
          <t>Bhulakshmi, Dasari</t>
        </is>
      </c>
      <c r="C165" s="86" t="n">
        <v>2024</v>
      </c>
      <c r="D165" s="5" t="inlineStr">
        <is>
          <t>Outcome not related to interest</t>
        </is>
      </c>
      <c r="E165" s="86" t="n"/>
      <c r="F165" s="86" t="n"/>
      <c r="G165" s="86" t="n"/>
      <c r="H165" s="5" t="n"/>
    </row>
    <row r="166" ht="16" customHeight="1" s="55">
      <c r="A166" s="86" t="inlineStr">
        <is>
          <t>Enhanced diabetic retinopathy detection using U-shaped network and capsule network-driven deep learning.</t>
        </is>
      </c>
      <c r="B166" s="86" t="inlineStr">
        <is>
          <t>I, Govindharaj</t>
        </is>
      </c>
      <c r="C166" s="86" t="n">
        <v>2024</v>
      </c>
      <c r="D166" s="5" t="inlineStr">
        <is>
          <t>Outcome not related to interest</t>
        </is>
      </c>
      <c r="E166" s="86" t="n"/>
      <c r="F166" s="86" t="n"/>
      <c r="G166" s="86" t="n"/>
      <c r="H166" s="5" t="n"/>
    </row>
    <row r="167" ht="16" customHeight="1" s="55">
      <c r="A167" s="86" t="inlineStr">
        <is>
          <t>[Use of Artificial Intelligence in Diabetic Retinopathy Screening: Experience in a Health Service in Santiago, Chile].</t>
        </is>
      </c>
      <c r="B167" s="86" t="inlineStr">
        <is>
          <t>Iba簽ez-Bruron, Mar穩a C</t>
        </is>
      </c>
      <c r="C167" s="86" t="n">
        <v>2024</v>
      </c>
      <c r="D167" s="5" t="inlineStr">
        <is>
          <t>Outcome not related to interest</t>
        </is>
      </c>
      <c r="E167" s="86" t="n"/>
      <c r="F167" s="86" t="n"/>
      <c r="G167" s="86" t="n"/>
      <c r="H167" s="5" t="n"/>
    </row>
    <row r="168" ht="16" customHeight="1" s="55">
      <c r="A168" s="86" t="inlineStr">
        <is>
          <t>Dr-Hydranet: Enhancing Diabetic Retinopathy Diagnosis by Integrating Hydra Attention and Removing Inefficient Heads</t>
        </is>
      </c>
      <c r="B168" s="86" t="inlineStr">
        <is>
          <t>Ali, M.S.</t>
        </is>
      </c>
      <c r="C168" s="86" t="n">
        <v>2024</v>
      </c>
      <c r="D168" s="5" t="inlineStr">
        <is>
          <t>Outcome not related to interest</t>
        </is>
      </c>
      <c r="E168" s="86" t="n"/>
      <c r="F168" s="86" t="n"/>
      <c r="G168" s="86" t="n"/>
      <c r="H168" s="5" t="n"/>
    </row>
    <row r="169" ht="16" customHeight="1" s="55">
      <c r="A169" s="86" t="inlineStr">
        <is>
          <t>Quantumnet: An Enhanced Diabetic Retinopathy Detection Model Using Classical Deep Learning-Quantum Transfer Learning</t>
        </is>
      </c>
      <c r="B169" s="86" t="inlineStr">
        <is>
          <t>Bali, M.</t>
        </is>
      </c>
      <c r="C169" s="86" t="n">
        <v>2024</v>
      </c>
      <c r="D169" s="5" t="inlineStr">
        <is>
          <t>Outcome not related to interest</t>
        </is>
      </c>
      <c r="E169" s="86" t="n"/>
      <c r="F169" s="86" t="n"/>
      <c r="G169" s="86" t="n"/>
      <c r="H169" s="5" t="n"/>
    </row>
    <row r="170" ht="16" customHeight="1" s="55">
      <c r="A170" s="86" t="inlineStr">
        <is>
          <t>Discriminative analysis of diabetic retinopathy using cascaded network with Atrous convolution and fundus biomarkers</t>
        </is>
      </c>
      <c r="B170" s="86" t="inlineStr">
        <is>
          <t>Pandey, A.</t>
        </is>
      </c>
      <c r="C170" s="86" t="n">
        <v>2024</v>
      </c>
      <c r="D170" s="5" t="inlineStr">
        <is>
          <t>Outcome not related to interest</t>
        </is>
      </c>
      <c r="E170" s="86" t="n"/>
      <c r="F170" s="86" t="n"/>
      <c r="G170" s="86" t="n"/>
      <c r="H170" s="5" t="n"/>
    </row>
    <row r="171" ht="16" customHeight="1" s="55">
      <c r="A171" s="86" t="inlineStr">
        <is>
          <t>MSEF-Net: A multi-scale EfficientNet Fusion for Diabetic Retinopathy grading</t>
        </is>
      </c>
      <c r="B171" s="86" t="inlineStr">
        <is>
          <t>Fu, Y.</t>
        </is>
      </c>
      <c r="C171" s="86" t="n">
        <v>2024</v>
      </c>
      <c r="D171" s="5" t="inlineStr">
        <is>
          <t>Outcome not related to interest</t>
        </is>
      </c>
      <c r="E171" s="86" t="n"/>
      <c r="F171" s="86" t="n"/>
      <c r="G171" s="86" t="n"/>
      <c r="H171" s="5" t="n"/>
    </row>
    <row r="172" ht="16" customHeight="1" s="55">
      <c r="A172" s="86" t="inlineStr">
        <is>
          <t>Automatic grading diabetic retinopathy in color fundus image: Cascaded hybrid attention network</t>
        </is>
      </c>
      <c r="B172" s="86" t="inlineStr">
        <is>
          <t>Liu, Y.</t>
        </is>
      </c>
      <c r="C172" s="86" t="n">
        <v>2024</v>
      </c>
      <c r="D172" s="5" t="inlineStr">
        <is>
          <t>Outcome not related to interest</t>
        </is>
      </c>
      <c r="E172" s="86" t="n"/>
      <c r="F172" s="86" t="n"/>
      <c r="G172" s="86" t="n"/>
      <c r="H172" s="5" t="n"/>
    </row>
    <row r="173" ht="16" customHeight="1" s="55">
      <c r="A173" s="86" t="inlineStr">
        <is>
          <t>ViT-HHO: Optimized vision transformer for diabetic retinopathy detection using Harris Hawk optimization</t>
        </is>
      </c>
      <c r="B173" s="86" t="inlineStr">
        <is>
          <t>Awasthi, V.</t>
        </is>
      </c>
      <c r="C173" s="86" t="n">
        <v>2024</v>
      </c>
      <c r="D173" s="5" t="inlineStr">
        <is>
          <t>Outcome not related to interest</t>
        </is>
      </c>
      <c r="E173" s="86" t="n"/>
      <c r="F173" s="86" t="n"/>
      <c r="G173" s="86" t="n"/>
      <c r="H173" s="5" t="n"/>
    </row>
    <row r="174" ht="16" customHeight="1" s="55">
      <c r="A174" s="86" t="inlineStr">
        <is>
          <t>Deep learning CS-ResNet-101 model for diabetic retinopathy classification</t>
        </is>
      </c>
      <c r="B174" s="86" t="inlineStr">
        <is>
          <t>Suo, Y.</t>
        </is>
      </c>
      <c r="C174" s="86" t="n">
        <v>2024</v>
      </c>
      <c r="D174" s="5" t="inlineStr">
        <is>
          <t>Outcome not related to interest</t>
        </is>
      </c>
      <c r="E174" s="86" t="n"/>
      <c r="F174" s="86" t="n"/>
      <c r="G174" s="86" t="n"/>
      <c r="H174" s="5" t="n"/>
    </row>
    <row r="175" ht="16" customHeight="1" s="55">
      <c r="A175" s="86" t="inlineStr">
        <is>
          <t>Optimizing diabetic retinopathy detection with inception-V4 and dynamic version of snow leopard optimization algorithm</t>
        </is>
      </c>
      <c r="B175" s="86" t="inlineStr">
        <is>
          <t>Yang, J.</t>
        </is>
      </c>
      <c r="C175" s="86" t="n">
        <v>2024</v>
      </c>
      <c r="D175" s="5" t="inlineStr">
        <is>
          <t>Outcome not related to interest</t>
        </is>
      </c>
      <c r="E175" s="86" t="n"/>
      <c r="F175" s="86" t="n"/>
      <c r="G175" s="86" t="n"/>
      <c r="H175" s="5" t="n"/>
    </row>
    <row r="176" ht="16" customHeight="1" s="55">
      <c r="A176" s="86" t="inlineStr">
        <is>
          <t>DFCAFNet: Dual-feature co-attentive fusion network for diabetic retinopathy grading</t>
        </is>
      </c>
      <c r="B176" s="86" t="inlineStr">
        <is>
          <t>Madarapu, S.</t>
        </is>
      </c>
      <c r="C176" s="86" t="n">
        <v>2024</v>
      </c>
      <c r="D176" s="5" t="inlineStr">
        <is>
          <t>Outcome not related to interest</t>
        </is>
      </c>
      <c r="E176" s="86" t="n"/>
      <c r="F176" s="86" t="n"/>
      <c r="G176" s="86" t="n"/>
      <c r="H176" s="5" t="n"/>
    </row>
    <row r="177" ht="16" customHeight="1" s="55">
      <c r="A177" s="86" t="inlineStr">
        <is>
          <t>Re-training and fine-tuning a deep learning artificial intelligence model for the detection of referable diabetic retinopathy in children and young people with diabetes</t>
        </is>
      </c>
      <c r="B177" s="86" t="inlineStr">
        <is>
          <t>Lim, G.</t>
        </is>
      </c>
      <c r="C177" s="86" t="n">
        <v>2024</v>
      </c>
      <c r="D177" s="86" t="inlineStr">
        <is>
          <t>Not adult</t>
        </is>
      </c>
      <c r="E177" s="86" t="n"/>
      <c r="F177" s="86" t="n"/>
      <c r="G177" s="86" t="n"/>
      <c r="H177" s="86" t="n"/>
    </row>
    <row r="178" ht="16" customHeight="1" s="55">
      <c r="A178" s="86" t="inlineStr">
        <is>
          <t>RP squeeze U-SegNet model for lesion segmentation and optimization enabled ShuffleNet based multi-level severity diabetic retinopathy classification</t>
        </is>
      </c>
      <c r="B178" s="86" t="inlineStr">
        <is>
          <t>Sulaiman, Z.B.</t>
        </is>
      </c>
      <c r="C178" s="86" t="n">
        <v>2024</v>
      </c>
      <c r="D178" s="5" t="inlineStr">
        <is>
          <t>Outcome not related to interest</t>
        </is>
      </c>
      <c r="E178" s="86" t="n"/>
      <c r="F178" s="86" t="n"/>
      <c r="G178" s="86" t="n"/>
      <c r="H178" s="5" t="n"/>
    </row>
    <row r="179" ht="16" customHeight="1" s="55">
      <c r="A179" s="86" t="inlineStr">
        <is>
          <t>Classification of diabetic retinopathy severity level using deep learning</t>
        </is>
      </c>
      <c r="B179" s="86" t="inlineStr">
        <is>
          <t>Durairaj, S.</t>
        </is>
      </c>
      <c r="C179" s="86" t="n">
        <v>2024</v>
      </c>
      <c r="D179" s="5" t="inlineStr">
        <is>
          <t>Outcome not related to interest</t>
        </is>
      </c>
      <c r="E179" s="86" t="n"/>
      <c r="F179" s="86" t="n"/>
      <c r="G179" s="86" t="n"/>
      <c r="H179" s="5" t="n"/>
    </row>
    <row r="180" ht="16" customHeight="1" s="55">
      <c r="A180" s="86" t="inlineStr">
        <is>
          <t>Optimized Deep Learning based Approach for Enhanced frame work of Automated Diagnosis of Diabetic Retinopathy</t>
        </is>
      </c>
      <c r="B180" s="86" t="inlineStr">
        <is>
          <t>Ravala, L.</t>
        </is>
      </c>
      <c r="C180" s="86" t="n">
        <v>2024</v>
      </c>
      <c r="D180" s="5" t="inlineStr">
        <is>
          <t>Outcome not related to interest</t>
        </is>
      </c>
      <c r="E180" s="86" t="n"/>
      <c r="F180" s="86" t="n"/>
      <c r="G180" s="86" t="n"/>
      <c r="H180" s="5" t="n"/>
    </row>
    <row r="181" ht="16" customHeight="1" s="55">
      <c r="A181" s="86" t="inlineStr">
        <is>
          <t>Classification of diabetic retinopathy based on Functional Linked Neural network utilizing segmented fundus image features</t>
        </is>
      </c>
      <c r="B181" s="86" t="inlineStr">
        <is>
          <t>Sasikala, D.</t>
        </is>
      </c>
      <c r="C181" s="86" t="n">
        <v>2024</v>
      </c>
      <c r="D181" s="5" t="inlineStr">
        <is>
          <t>Outcome not related to interest</t>
        </is>
      </c>
      <c r="E181" s="86" t="n"/>
      <c r="F181" s="86" t="n"/>
      <c r="G181" s="86" t="n"/>
      <c r="H181" s="5" t="n"/>
    </row>
    <row r="182" ht="16" customHeight="1" s="55">
      <c r="A182" s="86" t="inlineStr">
        <is>
          <t>Arithmetic Optimization for Coinciding Diabetic Retinopathy and Diabetic Macular Edema Grading based on Self-Attention Convolutional Neural Network</t>
        </is>
      </c>
      <c r="B182" s="86" t="inlineStr">
        <is>
          <t>Devi, T.M.</t>
        </is>
      </c>
      <c r="C182" s="86" t="n">
        <v>2024</v>
      </c>
      <c r="D182" s="5" t="inlineStr">
        <is>
          <t>Outcome not related to interest</t>
        </is>
      </c>
      <c r="E182" s="86" t="n"/>
      <c r="F182" s="86" t="n"/>
      <c r="G182" s="86" t="n"/>
      <c r="H182" s="5" t="n"/>
    </row>
    <row r="183" ht="16" customHeight="1" s="55">
      <c r="A183" s="86" t="inlineStr">
        <is>
          <t>Hybrid hunter-prey ladybug beetle optimization enabled deep learning for diabetic retinopathy classification</t>
        </is>
      </c>
      <c r="B183" s="86" t="inlineStr">
        <is>
          <t>Sagvekar, V.</t>
        </is>
      </c>
      <c r="C183" s="86" t="n">
        <v>2024</v>
      </c>
      <c r="D183" s="5" t="inlineStr">
        <is>
          <t>Outcome not related to interest</t>
        </is>
      </c>
      <c r="E183" s="86" t="n"/>
      <c r="F183" s="86" t="n"/>
      <c r="G183" s="86" t="n"/>
      <c r="H183" s="5" t="n"/>
    </row>
    <row r="184" ht="16" customHeight="1" s="55">
      <c r="A184" s="86" t="inlineStr">
        <is>
          <t>BathNet: A network to classification of fundus and contrast images using label transfer and multi-branch transformer</t>
        </is>
      </c>
      <c r="B184" s="86" t="inlineStr">
        <is>
          <t>Wang, Y.</t>
        </is>
      </c>
      <c r="C184" s="86" t="n">
        <v>2024</v>
      </c>
      <c r="D184" s="5" t="inlineStr">
        <is>
          <t>Outcome not related to interest</t>
        </is>
      </c>
      <c r="E184" s="86" t="n"/>
      <c r="F184" s="86" t="n"/>
      <c r="G184" s="86" t="n"/>
      <c r="H184" s="5" t="n"/>
    </row>
    <row r="185" ht="16" customHeight="1" s="55">
      <c r="A185" s="86" t="inlineStr">
        <is>
          <t>Graph-based multi-level feature fusion network for diabetic retinopathy grading using ultra-wide-field images</t>
        </is>
      </c>
      <c r="B185" s="86" t="inlineStr">
        <is>
          <t>Zhang, D.</t>
        </is>
      </c>
      <c r="C185" s="86" t="n">
        <v>2024</v>
      </c>
      <c r="D185" s="86" t="inlineStr">
        <is>
          <t>Fundus Fluorescein Angiography</t>
        </is>
      </c>
      <c r="E185" s="86" t="n"/>
      <c r="F185" s="86" t="n"/>
      <c r="G185" s="86" t="n"/>
      <c r="H185" s="86" t="n"/>
    </row>
    <row r="186" ht="16" customHeight="1" s="55">
      <c r="A186" s="86" t="inlineStr">
        <is>
          <t>Dual branch deep learning network for detection and stage grading of diabetic retinopathy</t>
        </is>
      </c>
      <c r="B186" s="86" t="inlineStr">
        <is>
          <t>Shakibania, H.</t>
        </is>
      </c>
      <c r="C186" s="86" t="n">
        <v>2024</v>
      </c>
      <c r="D186" s="5" t="inlineStr">
        <is>
          <t>Outcome not related to interest</t>
        </is>
      </c>
      <c r="E186" s="86" t="n"/>
      <c r="F186" s="86" t="n"/>
      <c r="G186" s="86" t="n"/>
      <c r="H186" s="5" t="n"/>
    </row>
    <row r="187" ht="16" customHeight="1" s="55">
      <c r="A187" s="86" t="inlineStr">
        <is>
          <t>An advanced deep neural network for fundus image analysis and enhancing diabetic retinopathy detection</t>
        </is>
      </c>
      <c r="B187" s="86" t="inlineStr">
        <is>
          <t>Mehedi Shamrat, F.M.J.</t>
        </is>
      </c>
      <c r="C187" s="86" t="n">
        <v>2024</v>
      </c>
      <c r="D187" s="5" t="inlineStr">
        <is>
          <t>Outcome not related to interest</t>
        </is>
      </c>
      <c r="E187" s="86" t="n"/>
      <c r="F187" s="86" t="n"/>
      <c r="G187" s="86" t="n"/>
      <c r="H187" s="5" t="n"/>
    </row>
    <row r="188" ht="16" customHeight="1" s="55">
      <c r="A188" s="86" t="inlineStr">
        <is>
          <t>A hybrid approach with customized machine learning classifiers and multiple feature extractors for enhancing diabetic retinopathy detection</t>
        </is>
      </c>
      <c r="B188" s="86" t="inlineStr">
        <is>
          <t>Taifa, I.A.</t>
        </is>
      </c>
      <c r="C188" s="86" t="n">
        <v>2024</v>
      </c>
      <c r="D188" s="5" t="inlineStr">
        <is>
          <t>Outcome not related to interest</t>
        </is>
      </c>
      <c r="E188" s="86" t="n"/>
      <c r="F188" s="86" t="n"/>
      <c r="G188" s="86" t="n"/>
      <c r="H188" s="5" t="n"/>
    </row>
    <row r="189" ht="16" customHeight="1" s="55">
      <c r="A189" s="86" t="inlineStr">
        <is>
          <t>Cross-Device Al Fusion: Enhancing Diabetic Retinopathy Diagnosis with Combined Clarus and Optos Images</t>
        </is>
      </c>
      <c r="B189" s="86" t="inlineStr">
        <is>
          <t>El Habib Daho, M.</t>
        </is>
      </c>
      <c r="C189" s="86" t="n">
        <v>2024</v>
      </c>
      <c r="D189" s="86" t="inlineStr">
        <is>
          <t>Insufficient to constrct confusion matrix</t>
        </is>
      </c>
      <c r="E189" s="86" t="n"/>
      <c r="F189" s="86" t="n"/>
      <c r="G189" s="86" t="n"/>
      <c r="H189" s="86" t="n"/>
    </row>
    <row r="190" ht="16" customHeight="1" s="55">
      <c r="A190" s="86" t="inlineStr">
        <is>
          <t>Diagnostic accuracy and feasibility of artificial intelligence-based diabetic retinopathy screening in primary care settings: a real-world assessment</t>
        </is>
      </c>
      <c r="B190" s="86" t="inlineStr">
        <is>
          <t>Joseph, S.</t>
        </is>
      </c>
      <c r="C190" s="86" t="n">
        <v>2024</v>
      </c>
      <c r="D190" s="5" t="inlineStr">
        <is>
          <t>Outcome not related to interest</t>
        </is>
      </c>
      <c r="E190" s="86" t="n"/>
      <c r="F190" s="86" t="n"/>
      <c r="G190" s="86" t="n"/>
      <c r="H190" s="5" t="n"/>
    </row>
    <row r="191" ht="16" customHeight="1" s="55">
      <c r="A191" s="86" t="inlineStr">
        <is>
          <t>Evaluation of a novel artificial intelligence (AI) algorithm to screen for retinopathy among diabetics in India</t>
        </is>
      </c>
      <c r="B191" s="86" t="inlineStr">
        <is>
          <t>Doshi, M.</t>
        </is>
      </c>
      <c r="C191" s="86" t="n">
        <v>2024</v>
      </c>
      <c r="D191" s="5" t="inlineStr">
        <is>
          <t>Outcome not related to interest</t>
        </is>
      </c>
      <c r="E191" s="86" t="n"/>
      <c r="F191" s="86" t="n"/>
      <c r="G191" s="86" t="n"/>
      <c r="H191" s="5" t="n"/>
    </row>
    <row r="192" ht="16" customHeight="1" s="55">
      <c r="A192" s="86" t="inlineStr">
        <is>
          <t>Validating a Deep Learning based Diabetic Retinopathy Model among Patients with Young-onset diabetes</t>
        </is>
      </c>
      <c r="B192" s="86" t="inlineStr">
        <is>
          <t>Tan-Torres, A.</t>
        </is>
      </c>
      <c r="C192" s="86" t="n">
        <v>2024</v>
      </c>
      <c r="D192" s="5" t="inlineStr">
        <is>
          <t>Outcome not related to interest</t>
        </is>
      </c>
      <c r="E192" s="86" t="n"/>
      <c r="F192" s="86" t="n"/>
      <c r="G192" s="86" t="n"/>
      <c r="H192" s="5" t="n"/>
    </row>
    <row r="193" ht="16" customHeight="1" s="55">
      <c r="A193" s="86" t="inlineStr">
        <is>
          <t>Real-World Performance of a Deep Learning Diabetic Retinopathy Algorithm</t>
        </is>
      </c>
      <c r="B193" s="86" t="inlineStr">
        <is>
          <t>Kim, R.</t>
        </is>
      </c>
      <c r="C193" s="86" t="n">
        <v>2024</v>
      </c>
      <c r="D193" s="5" t="inlineStr">
        <is>
          <t>Outcome not related to interest</t>
        </is>
      </c>
      <c r="E193" s="86" t="n"/>
      <c r="F193" s="86" t="n"/>
      <c r="G193" s="86" t="n"/>
      <c r="H193" s="5" t="n"/>
    </row>
    <row r="194" ht="16" customHeight="1" s="55">
      <c r="A194" s="86" t="inlineStr">
        <is>
          <t>An interpretable deep learning model for detection of referable/non-referable diabetic retinopathy: a retrospective, multicenter study</t>
        </is>
      </c>
      <c r="B194" s="86" t="inlineStr">
        <is>
          <t>Hu, X.</t>
        </is>
      </c>
      <c r="C194" s="86" t="n">
        <v>2024</v>
      </c>
      <c r="D194" s="5" t="inlineStr">
        <is>
          <t>Outcome not related to interest</t>
        </is>
      </c>
      <c r="E194" s="86" t="n"/>
      <c r="F194" s="86" t="n"/>
      <c r="G194" s="86" t="n"/>
      <c r="H194" s="5" t="n"/>
    </row>
    <row r="195" ht="16" customHeight="1" s="55">
      <c r="A195" s="86" t="inlineStr">
        <is>
          <t>Evaluating Performance of ResNet-50 and RETFound Image Classification Algorithms on Ultra-widefield Fundus Images</t>
        </is>
      </c>
      <c r="B195" s="86" t="inlineStr">
        <is>
          <t>Gadiraju, N.V.</t>
        </is>
      </c>
      <c r="C195" s="86" t="n">
        <v>2024</v>
      </c>
      <c r="D195" s="5" t="inlineStr">
        <is>
          <t>Outcome not related to interest</t>
        </is>
      </c>
      <c r="E195" s="86" t="n"/>
      <c r="F195" s="86" t="n"/>
      <c r="G195" s="86" t="n"/>
      <c r="H195" s="5" t="n"/>
    </row>
    <row r="196" ht="16" customHeight="1" s="55">
      <c r="A196" s="86" t="inlineStr">
        <is>
          <t>Evaluation of a deep learning artificial intelligence model in screening children and young people for diabetic retinopathy</t>
        </is>
      </c>
      <c r="B196" s="86" t="inlineStr">
        <is>
          <t>Zheng, F.</t>
        </is>
      </c>
      <c r="C196" s="86" t="n">
        <v>2024</v>
      </c>
      <c r="D196" s="86" t="inlineStr">
        <is>
          <t>Not adult</t>
        </is>
      </c>
      <c r="E196" s="86" t="n"/>
      <c r="F196" s="86" t="n"/>
      <c r="G196" s="86" t="n"/>
      <c r="H196" s="86" t="n"/>
    </row>
    <row r="197" ht="16" customHeight="1" s="55">
      <c r="A197" s="86" t="inlineStr">
        <is>
          <t>The Effect of Disease Prevalence on Performance of a Novel Comparative AI for Diabetic Retinopathy</t>
        </is>
      </c>
      <c r="B197" s="86" t="inlineStr">
        <is>
          <t>Burgess, P.</t>
        </is>
      </c>
      <c r="C197" s="86" t="n">
        <v>2024</v>
      </c>
      <c r="D197" s="5" t="inlineStr">
        <is>
          <t>Outcome not related to interest</t>
        </is>
      </c>
      <c r="E197" s="86" t="n"/>
      <c r="F197" s="86" t="n"/>
      <c r="G197" s="86" t="n"/>
      <c r="H197" s="5" t="n"/>
    </row>
    <row r="198" ht="16" customHeight="1" s="55">
      <c r="A198" s="86" t="inlineStr">
        <is>
          <t>A Deep Learning System for Predicting the Progression of Diabetic Retinopathy</t>
        </is>
      </c>
      <c r="B198" s="86" t="inlineStr">
        <is>
          <t>Wang, V.</t>
        </is>
      </c>
      <c r="C198" s="86" t="n">
        <v>2024</v>
      </c>
      <c r="D198" s="5" t="inlineStr">
        <is>
          <t>Outcome not related to interest</t>
        </is>
      </c>
      <c r="E198" s="86" t="n"/>
      <c r="F198" s="86" t="n"/>
      <c r="G198" s="86" t="n"/>
      <c r="H198" s="5" t="n"/>
    </row>
    <row r="199" ht="16" customHeight="1" s="55">
      <c r="A199" s="86" t="inlineStr">
        <is>
          <t>An Explainable Artificial Intelligence System for Personalized Diabetic Retinopathy (DR) Screening: DR-PREDICT</t>
        </is>
      </c>
      <c r="B199" s="86" t="inlineStr">
        <is>
          <t>Tan, T.F.</t>
        </is>
      </c>
      <c r="C199" s="86" t="n">
        <v>2024</v>
      </c>
      <c r="D199" s="5" t="inlineStr">
        <is>
          <t>Outcome not related to interest</t>
        </is>
      </c>
      <c r="E199" s="86" t="n"/>
      <c r="F199" s="86" t="n"/>
      <c r="G199" s="86" t="n"/>
      <c r="H199" s="5" t="n"/>
    </row>
    <row r="200" ht="16" customHeight="1" s="55">
      <c r="A200" s="86" t="inlineStr">
        <is>
          <t>Diabetic retinopathy detection using developed hybrid cascaded multi-scale DCNN with hybrid heuristic strategy</t>
        </is>
      </c>
      <c r="B200" s="86" t="inlineStr">
        <is>
          <t>Ali Tabtaba, A.</t>
        </is>
      </c>
      <c r="C200" s="86" t="n">
        <v>2024</v>
      </c>
      <c r="D200" s="5" t="inlineStr">
        <is>
          <t>Outcome not related to interest</t>
        </is>
      </c>
      <c r="E200" s="86" t="n"/>
      <c r="F200" s="86" t="n"/>
      <c r="G200" s="86" t="n"/>
      <c r="H200" s="5" t="n"/>
    </row>
    <row r="201" ht="16" customHeight="1" s="55">
      <c r="A201" s="86" t="inlineStr">
        <is>
          <t>Triplet-branch network with contrastive prior-knowledge embedding for disease grading</t>
        </is>
      </c>
      <c r="B201" s="86" t="inlineStr">
        <is>
          <t>Li, Y.</t>
        </is>
      </c>
      <c r="C201" s="86" t="n">
        <v>2024</v>
      </c>
      <c r="D201" s="5" t="inlineStr">
        <is>
          <t>Outcome not related to interest</t>
        </is>
      </c>
      <c r="E201" s="86" t="n"/>
      <c r="F201" s="86" t="n"/>
      <c r="G201" s="86" t="n"/>
      <c r="H201" s="5" t="n"/>
    </row>
    <row r="202" ht="16" customHeight="1" s="55">
      <c r="A202" s="86" t="inlineStr">
        <is>
          <t>An AI-Assisted System for Classification and Triage of Diabetic Retinopathy (DR) by Using Real-World Fundus Images</t>
        </is>
      </c>
      <c r="B202" s="86" t="inlineStr">
        <is>
          <t>Chakor Dj, H.</t>
        </is>
      </c>
      <c r="C202" s="86" t="n">
        <v>2024</v>
      </c>
      <c r="D202" s="5" t="inlineStr">
        <is>
          <t>Outcome not related to interest</t>
        </is>
      </c>
      <c r="E202" s="86" t="n"/>
      <c r="F202" s="86" t="n"/>
      <c r="G202" s="86" t="n"/>
      <c r="H202" s="5" t="n"/>
    </row>
    <row r="203" ht="16" customHeight="1" s="55">
      <c r="A203" s="86" t="inlineStr">
        <is>
          <t>Lesion identification in fundus images via convolutional neural network-vision transformer</t>
        </is>
      </c>
      <c r="B203" s="86" t="inlineStr">
        <is>
          <t>Lian, J.</t>
        </is>
      </c>
      <c r="C203" s="86" t="n">
        <v>2024</v>
      </c>
      <c r="D203" s="5" t="inlineStr">
        <is>
          <t>Outcome not related to interest</t>
        </is>
      </c>
      <c r="E203" s="86" t="n"/>
      <c r="F203" s="86" t="n"/>
      <c r="G203" s="86" t="n"/>
      <c r="H203" s="5" t="n"/>
    </row>
    <row r="204" ht="16" customHeight="1" s="55">
      <c r="A204" s="86" t="inlineStr">
        <is>
          <t>Automated diagnostic classification of diabetic retinopathy with microvascular structure of fundus images using deep learning method</t>
        </is>
      </c>
      <c r="B204" s="86" t="inlineStr">
        <is>
          <t>Sivapriya, G.</t>
        </is>
      </c>
      <c r="C204" s="86" t="n">
        <v>2024</v>
      </c>
      <c r="D204" s="5" t="inlineStr">
        <is>
          <t>Outcome not related to interest</t>
        </is>
      </c>
      <c r="E204" s="86" t="n"/>
      <c r="F204" s="86" t="n"/>
      <c r="G204" s="86" t="n"/>
      <c r="H204" s="5" t="n"/>
    </row>
    <row r="205" ht="16" customHeight="1" s="55">
      <c r="A205" s="86" t="inlineStr">
        <is>
          <t>A refined ResNet18 architecture with Swish activation function for Diabetic Retinopathy classification</t>
        </is>
      </c>
      <c r="B205" s="86" t="inlineStr">
        <is>
          <t>Sunkari, S.</t>
        </is>
      </c>
      <c r="C205" s="86" t="n">
        <v>2024</v>
      </c>
      <c r="D205" s="5" t="inlineStr">
        <is>
          <t>Outcome not related to interest</t>
        </is>
      </c>
      <c r="E205" s="86" t="n"/>
      <c r="F205" s="86" t="n"/>
      <c r="G205" s="86" t="n"/>
      <c r="H205" s="5" t="n"/>
    </row>
    <row r="206" ht="16" customHeight="1" s="55">
      <c r="A206" s="86" t="inlineStr">
        <is>
          <t>Improved ResNet_101 assisted attentional global transformer network for automated detection and classification of diabetic retinopathy disease</t>
        </is>
      </c>
      <c r="B206" s="86" t="inlineStr">
        <is>
          <t>Karthika, S.</t>
        </is>
      </c>
      <c r="C206" s="86" t="n">
        <v>2024</v>
      </c>
      <c r="D206" s="5" t="inlineStr">
        <is>
          <t>Outcome not related to interest</t>
        </is>
      </c>
      <c r="E206" s="86" t="n"/>
      <c r="F206" s="86" t="n"/>
      <c r="G206" s="86" t="n"/>
      <c r="H206" s="5" t="n"/>
    </row>
    <row r="207" ht="16" customHeight="1" s="55">
      <c r="A207" s="86" t="inlineStr">
        <is>
          <t>DiaNet v2 deep learning based method for diabetes diagnosis using retinal images</t>
        </is>
      </c>
      <c r="B207" s="86" t="inlineStr">
        <is>
          <t>Al-Absi, H.R.H.</t>
        </is>
      </c>
      <c r="C207" s="86" t="n">
        <v>2024</v>
      </c>
      <c r="D207" s="5" t="inlineStr">
        <is>
          <t>Outcome not related to interest</t>
        </is>
      </c>
      <c r="E207" s="86" t="n"/>
      <c r="F207" s="86" t="n"/>
      <c r="G207" s="86" t="n"/>
      <c r="H207" s="5" t="n"/>
    </row>
    <row r="208" ht="16" customHeight="1" s="55">
      <c r="A208" s="86" t="inlineStr">
        <is>
          <t>Exponential gannet firefly optimization algorithm enabled deep learning for diabetic retinopathy detection</t>
        </is>
      </c>
      <c r="B208" s="86" t="inlineStr">
        <is>
          <t>Prabhakar, T.</t>
        </is>
      </c>
      <c r="C208" s="86" t="n">
        <v>2024</v>
      </c>
      <c r="D208" s="5" t="inlineStr">
        <is>
          <t>Outcome not related to interest</t>
        </is>
      </c>
      <c r="E208" s="86" t="n"/>
      <c r="F208" s="86" t="n"/>
      <c r="G208" s="86" t="n"/>
      <c r="H208" s="5" t="n"/>
    </row>
    <row r="209" ht="16" customHeight="1" s="55">
      <c r="A209" s="86" t="inlineStr">
        <is>
          <t>Diabetic eye disease in computerised tomography of feature extraction and classification in hybrid neural network</t>
        </is>
      </c>
      <c r="B209" s="86" t="inlineStr">
        <is>
          <t>Vespa, M.</t>
        </is>
      </c>
      <c r="C209" s="86" t="n">
        <v>2024</v>
      </c>
      <c r="D209" s="86" t="inlineStr">
        <is>
          <t>Not fundus image</t>
        </is>
      </c>
      <c r="E209" s="86" t="n"/>
      <c r="F209" s="86" t="n"/>
      <c r="G209" s="86" t="n"/>
      <c r="H209" s="86" t="n"/>
    </row>
    <row r="210" ht="16" customHeight="1" s="55">
      <c r="A210" s="86" t="inlineStr">
        <is>
          <t>Diabetic retinopathy detection using convolutional neural network with residual blocks</t>
        </is>
      </c>
      <c r="B210" s="86" t="inlineStr">
        <is>
          <t>Kommaraju, R.</t>
        </is>
      </c>
      <c r="C210" s="86" t="n">
        <v>2024</v>
      </c>
      <c r="D210" s="5" t="inlineStr">
        <is>
          <t>Outcome not related to interest</t>
        </is>
      </c>
      <c r="E210" s="86" t="n"/>
      <c r="F210" s="86" t="n"/>
      <c r="G210" s="86" t="n"/>
      <c r="H210" s="5" t="n"/>
    </row>
    <row r="211" ht="16" customHeight="1" s="55">
      <c r="A211" s="86" t="inlineStr">
        <is>
          <t>Predicting diabetic retinopathy stage using Siamese Convolutional Neural Network</t>
        </is>
      </c>
      <c r="B211" s="86" t="inlineStr">
        <is>
          <t>Santos, M.S.</t>
        </is>
      </c>
      <c r="C211" s="86" t="n">
        <v>2024</v>
      </c>
      <c r="D211" s="5" t="inlineStr">
        <is>
          <t>Outcome not related to interest</t>
        </is>
      </c>
      <c r="E211" s="86" t="n"/>
      <c r="F211" s="86" t="n"/>
      <c r="G211" s="86" t="n"/>
      <c r="H211" s="5" t="n"/>
    </row>
    <row r="212" ht="16" customHeight="1" s="55">
      <c r="A212" s="86" t="inlineStr">
        <is>
          <t>Deep learning-based CNN for multiclassification of ocular diseases using transfer learning</t>
        </is>
      </c>
      <c r="B212" s="86" t="inlineStr">
        <is>
          <t>Deepak, G.D.</t>
        </is>
      </c>
      <c r="C212" s="86" t="n">
        <v>2024</v>
      </c>
      <c r="D212" s="5" t="inlineStr">
        <is>
          <t>Outcome not related to interest</t>
        </is>
      </c>
      <c r="E212" s="86" t="n"/>
      <c r="F212" s="86" t="n"/>
      <c r="G212" s="86" t="n"/>
      <c r="H212" s="5" t="n"/>
    </row>
    <row r="213" ht="16" customHeight="1" s="55">
      <c r="A213" s="86" t="inlineStr">
        <is>
          <t>An Enhancing Diabetic Retinopathy Classification and Segmentation based on TaNet</t>
        </is>
      </c>
      <c r="B213" s="86" t="inlineStr">
        <is>
          <t>Vani, K.S.</t>
        </is>
      </c>
      <c r="C213" s="86" t="n">
        <v>2024</v>
      </c>
      <c r="D213" s="5" t="inlineStr">
        <is>
          <t>Outcome not related to interest</t>
        </is>
      </c>
      <c r="E213" s="86" t="n"/>
      <c r="F213" s="86" t="n"/>
      <c r="G213" s="86" t="n"/>
      <c r="H213" s="5" t="n"/>
    </row>
    <row r="214" ht="16" customHeight="1" s="55">
      <c r="A214" s="86" t="inlineStr">
        <is>
          <t>Cross-modality transfer learning with knowledge infusion for diabetic retinopathy grading</t>
        </is>
      </c>
      <c r="B214" s="86" t="inlineStr">
        <is>
          <t>Chen, T.</t>
        </is>
      </c>
      <c r="C214" s="86" t="n">
        <v>2024</v>
      </c>
      <c r="D214" s="5" t="inlineStr">
        <is>
          <t>Outcome not related to interest</t>
        </is>
      </c>
      <c r="E214" s="86" t="n"/>
      <c r="F214" s="86" t="n"/>
      <c r="G214" s="86" t="n"/>
      <c r="H214" s="5" t="n"/>
    </row>
    <row r="215" ht="16" customHeight="1" s="55">
      <c r="A215" s="86" t="inlineStr">
        <is>
          <t>Detection and Classification of Diabetic Retinopathy Using Inception V3 and Xception Architectures</t>
        </is>
      </c>
      <c r="B215" s="86" t="inlineStr">
        <is>
          <t>Sathiya, V.</t>
        </is>
      </c>
      <c r="C215" s="86" t="n">
        <v>2024</v>
      </c>
      <c r="D215" s="5" t="inlineStr">
        <is>
          <t>Outcome not related to interest</t>
        </is>
      </c>
      <c r="E215" s="86" t="n"/>
      <c r="F215" s="86" t="n"/>
      <c r="G215" s="86" t="n"/>
      <c r="H215" s="5" t="n"/>
    </row>
    <row r="216" ht="16" customHeight="1" s="55">
      <c r="A216" s="86" t="inlineStr">
        <is>
          <t>An eccentric Iter Netbased Improved Intelligent Water Drop (I2WD) feature selection and Discriminated Multi-Instance Classification (DMIC) models for diabetic retinopathy detection</t>
        </is>
      </c>
      <c r="B216" s="86" t="inlineStr">
        <is>
          <t>Rathinam, V.</t>
        </is>
      </c>
      <c r="C216" s="86" t="n">
        <v>2024</v>
      </c>
      <c r="D216" s="5" t="inlineStr">
        <is>
          <t>Outcome not related to interest</t>
        </is>
      </c>
      <c r="E216" s="86" t="n"/>
      <c r="F216" s="86" t="n"/>
      <c r="G216" s="86" t="n"/>
      <c r="H216" s="5" t="n"/>
    </row>
    <row r="217" ht="16" customHeight="1" s="55">
      <c r="A217" s="86" t="inlineStr">
        <is>
          <t>Optimizing Diabetic Retinopathy Detection and Leveraging Advanced Image Quality Enhancement Using Customised light weight Convolutional Neural Network Algorithm</t>
        </is>
      </c>
      <c r="B217" s="86" t="inlineStr">
        <is>
          <t>Srinivasulu, D.</t>
        </is>
      </c>
      <c r="C217" s="86" t="n">
        <v>2024</v>
      </c>
      <c r="D217" s="5" t="inlineStr">
        <is>
          <t>Outcome not related to interest</t>
        </is>
      </c>
      <c r="E217" s="86" t="n"/>
      <c r="F217" s="86" t="n"/>
      <c r="G217" s="86" t="n"/>
      <c r="H217" s="5" t="n"/>
    </row>
    <row r="218" ht="16" customHeight="1" s="55">
      <c r="A218" s="86" t="inlineStr">
        <is>
          <t>Enhancing the ophthalmic AI assessment with a fundus image quality classifier using local and global attention mechanisms</t>
        </is>
      </c>
      <c r="B218" s="86" t="inlineStr">
        <is>
          <t>Wang, S.</t>
        </is>
      </c>
      <c r="C218" s="86" t="n">
        <v>2024</v>
      </c>
      <c r="D218" s="86" t="inlineStr">
        <is>
          <t>Insufficient to constrct confusion matrix</t>
        </is>
      </c>
      <c r="E218" s="86" t="n"/>
      <c r="F218" s="86" t="n"/>
      <c r="G218" s="86" t="n"/>
      <c r="H218" s="86" t="n"/>
    </row>
    <row r="219" ht="16" customHeight="1" s="55">
      <c r="A219" s="86" t="inlineStr">
        <is>
          <t>Diagnosis of diabetic retinopathy by artificial intelligence using smartphone</t>
        </is>
      </c>
      <c r="B219" s="86" t="inlineStr">
        <is>
          <t>Oliveira, L.E.S.D.</t>
        </is>
      </c>
      <c r="C219" s="86" t="n">
        <v>2024</v>
      </c>
      <c r="D219" s="5" t="inlineStr">
        <is>
          <t>Outcome not related to interest</t>
        </is>
      </c>
      <c r="E219" s="86" t="n"/>
      <c r="F219" s="86" t="n"/>
      <c r="G219" s="86" t="n"/>
      <c r="H219" s="5" t="n"/>
    </row>
    <row r="220" ht="16" customHeight="1" s="55">
      <c r="A220" s="86" t="inlineStr">
        <is>
          <t>Deciphering the impact of diversity in CNN-based ensembles on overcoming data imbalance and scarcity in medical datasets: A case study on diabetic retinopathy</t>
        </is>
      </c>
      <c r="B220" s="86" t="inlineStr">
        <is>
          <t xml:space="preserve">Inamullah, </t>
        </is>
      </c>
      <c r="C220" s="86" t="n">
        <v>2024</v>
      </c>
      <c r="D220" s="5" t="inlineStr">
        <is>
          <t>Outcome not related to interest</t>
        </is>
      </c>
      <c r="E220" s="86" t="n"/>
      <c r="F220" s="86" t="n"/>
      <c r="G220" s="86" t="n"/>
      <c r="H220" s="5" t="n"/>
    </row>
    <row r="221" ht="16" customHeight="1" s="55">
      <c r="A221" s="86" t="inlineStr">
        <is>
          <t>Advancements in Diabetic Retinopathy Detection: Analyzing the Efficacy of Supervised Learning Algorithms</t>
        </is>
      </c>
      <c r="B221" s="86" t="inlineStr">
        <is>
          <t>Agrawal, B.</t>
        </is>
      </c>
      <c r="C221" s="86" t="n">
        <v>2024</v>
      </c>
      <c r="D221" s="5" t="inlineStr">
        <is>
          <t>Outcome not related to interest</t>
        </is>
      </c>
      <c r="E221" s="86" t="n"/>
      <c r="F221" s="86" t="n"/>
      <c r="G221" s="86" t="n"/>
      <c r="H221" s="5" t="n"/>
    </row>
    <row r="222" ht="16" customHeight="1" s="55">
      <c r="A222" s="86" t="inlineStr">
        <is>
          <t>Role of artificial intelligence-enabled hand-held fundus camera for community-based diabetic retinopathy screening</t>
        </is>
      </c>
      <c r="B222" s="86" t="inlineStr">
        <is>
          <t>Sharma, V.K.</t>
        </is>
      </c>
      <c r="C222" s="86" t="n">
        <v>2024</v>
      </c>
      <c r="D222" s="5" t="inlineStr">
        <is>
          <t>Outcome not related to interest</t>
        </is>
      </c>
      <c r="E222" s="86" t="n"/>
      <c r="F222" s="86" t="n"/>
      <c r="G222" s="86" t="n"/>
      <c r="H222" s="5" t="n"/>
    </row>
    <row r="223" ht="16" customHeight="1" s="55">
      <c r="A223" s="86" t="inlineStr">
        <is>
          <t>"Research and development, demonstration and promotion of key technologies for prevention and control of diabetes and complications based on artificial intelligence" multicenter clinical study</t>
        </is>
      </c>
      <c r="B223" s="86" t="inlineStr">
        <is>
          <t xml:space="preserve">ChiCTR2400088036, </t>
        </is>
      </c>
      <c r="C223" s="86" t="n">
        <v>2024</v>
      </c>
      <c r="D223" s="5" t="inlineStr">
        <is>
          <t>Outcome not related to interest</t>
        </is>
      </c>
      <c r="E223" s="86" t="n"/>
      <c r="F223" s="86" t="n"/>
      <c r="G223" s="86" t="n"/>
      <c r="H223" s="5" t="n"/>
    </row>
    <row r="224" ht="16" customHeight="1" s="55">
      <c r="A224" s="86" t="inlineStr">
        <is>
          <t>Screening and evaluation of diabetic retinopathy via a deep learning network model</t>
        </is>
      </c>
      <c r="B224" s="86" t="inlineStr">
        <is>
          <t xml:space="preserve">ISRCTN12941197, </t>
        </is>
      </c>
      <c r="C224" s="86" t="n">
        <v>2024</v>
      </c>
      <c r="D224" s="5" t="inlineStr">
        <is>
          <t>Outcome not related to interest</t>
        </is>
      </c>
      <c r="E224" s="86" t="n"/>
      <c r="F224" s="86" t="n"/>
      <c r="G224" s="86" t="n"/>
      <c r="H224" s="86" t="n"/>
    </row>
    <row r="225" ht="16" customHeight="1" s="55">
      <c r="A225" s="86" t="inlineStr">
        <is>
          <t>A multi-centre prospective evaluation of THEIA to detect diabetic retinopathy (DR) and diabetic macular oedema (DMO) in the New Zealand screening program.</t>
        </is>
      </c>
      <c r="B225" s="86" t="inlineStr">
        <is>
          <t>Vaghefi, Ehsan</t>
        </is>
      </c>
      <c r="C225" s="86" t="n">
        <v>2023</v>
      </c>
      <c r="D225" s="5" t="inlineStr">
        <is>
          <t>Outcome not related to interest</t>
        </is>
      </c>
      <c r="E225" s="86" t="n"/>
      <c r="F225" s="86" t="n"/>
      <c r="G225" s="86" t="n"/>
      <c r="H225" s="5" t="n"/>
    </row>
    <row r="226" ht="16" customHeight="1" s="55">
      <c r="A226" s="86" t="inlineStr">
        <is>
          <t>Deep Learning for the Detection of Multiple Fundus Diseases Using Ultra-widefield Images.</t>
        </is>
      </c>
      <c r="B226" s="86" t="inlineStr">
        <is>
          <t>Sun, Gongpeng</t>
        </is>
      </c>
      <c r="C226" s="86" t="n">
        <v>2023</v>
      </c>
      <c r="D226" s="86" t="inlineStr">
        <is>
          <t>Insufficient to constrct confusion matrix</t>
        </is>
      </c>
      <c r="E226" s="86" t="n"/>
      <c r="F226" s="86" t="n"/>
      <c r="G226" s="86" t="n"/>
      <c r="H226" s="86" t="n"/>
    </row>
    <row r="227" ht="16" customHeight="1" s="55">
      <c r="A227" s="86" t="inlineStr">
        <is>
          <t>Triple-DRNet: A triple-cascade convolution neural network for diabetic retinopathy grading using fundus images.</t>
        </is>
      </c>
      <c r="B227" s="86" t="inlineStr">
        <is>
          <t>Jian, Muwei</t>
        </is>
      </c>
      <c r="C227" s="86" t="n">
        <v>2023</v>
      </c>
      <c r="D227" s="5" t="inlineStr">
        <is>
          <t>Outcome not related to interest</t>
        </is>
      </c>
      <c r="E227" s="86" t="n"/>
      <c r="F227" s="86" t="n"/>
      <c r="G227" s="86" t="n"/>
      <c r="H227" s="5" t="n"/>
    </row>
    <row r="228" ht="16" customHeight="1" s="55">
      <c r="A228" s="86" t="inlineStr">
        <is>
          <t>A Prospective Study on Diabetic Retinopathy Detection Based on Modify Convolutional Neural Network Using Fundus Images at Sindh Institute of Ophthalmology &amp; Visual Sciences.</t>
        </is>
      </c>
      <c r="B228" s="86" t="inlineStr">
        <is>
          <t>Bajwa, Awais</t>
        </is>
      </c>
      <c r="C228" s="86" t="n">
        <v>2023</v>
      </c>
      <c r="D228" s="5" t="inlineStr">
        <is>
          <t>Outcome not related to interest</t>
        </is>
      </c>
      <c r="E228" s="86" t="n"/>
      <c r="F228" s="86" t="n"/>
      <c r="G228" s="86" t="n"/>
      <c r="H228" s="5" t="n"/>
    </row>
    <row r="229" ht="16" customHeight="1" s="55">
      <c r="A229" s="86" t="inlineStr">
        <is>
          <t>Convolutional Neural Networks Accurately Identify Ungradable Images in a Diabetic Retinopathy Telemedicine Screening Program.</t>
        </is>
      </c>
      <c r="B229" s="86" t="inlineStr">
        <is>
          <t>Bryan, John M</t>
        </is>
      </c>
      <c r="C229" s="86" t="n">
        <v>2023</v>
      </c>
      <c r="D229" s="86" t="inlineStr">
        <is>
          <t>Insufficient to constrct confusion matrix</t>
        </is>
      </c>
      <c r="E229" s="18" t="n"/>
      <c r="F229" s="86" t="n"/>
      <c r="G229" s="86" t="n"/>
      <c r="H229" s="86" t="n"/>
    </row>
    <row r="230" ht="16" customHeight="1" s="55">
      <c r="A230" s="86" t="inlineStr">
        <is>
          <t>Performance of an artificial intelligence automated system for diabetic eye screening in a large English population.</t>
        </is>
      </c>
      <c r="B230" s="86" t="inlineStr">
        <is>
          <t>Meredith, Sarah</t>
        </is>
      </c>
      <c r="C230" s="86" t="n">
        <v>2023</v>
      </c>
      <c r="D230" s="5" t="inlineStr">
        <is>
          <t>Outcome not related to interest</t>
        </is>
      </c>
      <c r="E230" s="86" t="n"/>
      <c r="F230" s="86" t="n"/>
      <c r="G230" s="86" t="n"/>
      <c r="H230" s="5" t="n"/>
    </row>
    <row r="231" ht="16" customHeight="1" s="55">
      <c r="A231" s="86" t="inlineStr">
        <is>
          <t>Using deep learning to detect diabetic retinopathy on handheld non-mydriatic retinal images acquired by field workers in community settings.</t>
        </is>
      </c>
      <c r="B231" s="86" t="inlineStr">
        <is>
          <t>Nunez do Rio, Joan M</t>
        </is>
      </c>
      <c r="C231" s="86" t="n">
        <v>2023</v>
      </c>
      <c r="D231" s="86" t="n">
        <v>10</v>
      </c>
      <c r="E231" s="86" t="n"/>
      <c r="F231" s="86" t="n"/>
      <c r="G231" s="86" t="n"/>
      <c r="H231" s="86" t="n"/>
    </row>
    <row r="232" ht="16" customHeight="1" s="55">
      <c r="A232" s="86" t="inlineStr">
        <is>
          <t>Classification of Diabetic Retinopathy Severity in Fundus Images Using the Vision Transformer and Residual Attention.</t>
        </is>
      </c>
      <c r="B232" s="86" t="inlineStr">
        <is>
          <t>Gu, Zongyun</t>
        </is>
      </c>
      <c r="C232" s="86" t="n">
        <v>2023</v>
      </c>
      <c r="D232" s="5" t="inlineStr">
        <is>
          <t>Outcome not related to interest</t>
        </is>
      </c>
      <c r="E232" s="86" t="n"/>
      <c r="F232" s="86" t="n"/>
      <c r="G232" s="86" t="n"/>
      <c r="H232" s="5" t="n"/>
    </row>
    <row r="233" ht="16" customHeight="1" s="55">
      <c r="A233" s="86" t="inlineStr">
        <is>
          <t>An interpretable and interactive deep learning algorithm for a clinically applicable retinal fundus diagnosis system by modelling finding-disease relationship.</t>
        </is>
      </c>
      <c r="B233" s="86" t="inlineStr">
        <is>
          <t>Son, Jaemin</t>
        </is>
      </c>
      <c r="C233" s="86" t="n">
        <v>2023</v>
      </c>
      <c r="D233" s="86" t="inlineStr">
        <is>
          <t>Insufficient to constrct confusion matrix</t>
        </is>
      </c>
      <c r="E233" s="86" t="n"/>
      <c r="F233" s="86" t="n"/>
      <c r="G233" s="86" t="n"/>
      <c r="H233" s="86" t="n"/>
    </row>
    <row r="234" ht="16" customHeight="1" s="55">
      <c r="A234" s="86" t="inlineStr">
        <is>
          <t>Performance analysis of pretrained convolutional neural network models for ophthalmological disease classification.</t>
        </is>
      </c>
      <c r="B234" s="86" t="inlineStr">
        <is>
          <t>Emir, Busra</t>
        </is>
      </c>
      <c r="C234" s="86" t="n">
        <v>2023</v>
      </c>
      <c r="D234" s="5" t="inlineStr">
        <is>
          <t>Outcome not related to interest</t>
        </is>
      </c>
      <c r="E234" s="86" t="n"/>
      <c r="F234" s="86" t="n"/>
      <c r="G234" s="86" t="n"/>
      <c r="H234" s="5" t="n"/>
    </row>
    <row r="235" ht="16" customHeight="1" s="55">
      <c r="A235" s="86" t="inlineStr">
        <is>
          <t>Diabetic Retinopathy Prediction Based on Wavelet Decomposition and Modified Capsule Network.</t>
        </is>
      </c>
      <c r="B235" s="86" t="inlineStr">
        <is>
          <t>Oulhadj, Mohammed</t>
        </is>
      </c>
      <c r="C235" s="86" t="n">
        <v>2023</v>
      </c>
      <c r="D235" s="5" t="inlineStr">
        <is>
          <t>Outcome not related to interest</t>
        </is>
      </c>
      <c r="E235" s="86" t="n"/>
      <c r="F235" s="86" t="n"/>
      <c r="G235" s="86" t="n"/>
      <c r="H235" s="5" t="n"/>
    </row>
    <row r="236" ht="16" customHeight="1" s="55">
      <c r="A236" s="86" t="inlineStr">
        <is>
          <t>A new ultra-wide-field fundus dataset to diabetic retinopathy grading using hybrid preprocessing methods.</t>
        </is>
      </c>
      <c r="B236" s="86" t="inlineStr">
        <is>
          <t>Liu, Haomiao</t>
        </is>
      </c>
      <c r="C236" s="86" t="n">
        <v>2023</v>
      </c>
      <c r="D236" s="5" t="inlineStr">
        <is>
          <t>Outcome not related to interest</t>
        </is>
      </c>
      <c r="E236" s="86" t="n"/>
      <c r="F236" s="86" t="n"/>
      <c r="G236" s="86" t="n"/>
      <c r="H236" s="5" t="n"/>
    </row>
    <row r="237" ht="16" customHeight="1" s="55">
      <c r="A237" s="86" t="inlineStr">
        <is>
          <t>Performance of Automated Machine Learning for Diabetic Retinopathy Image Classification from Multi-field Handheld Retinal Images.</t>
        </is>
      </c>
      <c r="B237" s="86" t="inlineStr">
        <is>
          <t>Jacoba, Cris Martin P</t>
        </is>
      </c>
      <c r="C237" s="86" t="n">
        <v>2023</v>
      </c>
      <c r="D237" s="5" t="inlineStr">
        <is>
          <t>Outcome not related to interest</t>
        </is>
      </c>
      <c r="E237" s="86" t="n"/>
      <c r="F237" s="86" t="n"/>
      <c r="G237" s="86" t="n"/>
      <c r="H237" s="5" t="n"/>
    </row>
    <row r="238" ht="16" customHeight="1" s="55">
      <c r="A238" s="86" t="inlineStr">
        <is>
          <t>Diabetic Retinopathy and Diabetic Macular Edema Detection Using Ensemble Based Convolutional Neural Networks.</t>
        </is>
      </c>
      <c r="B238" s="86" t="inlineStr">
        <is>
          <t>Sundaram, Swaminathan</t>
        </is>
      </c>
      <c r="C238" s="86" t="n">
        <v>2023</v>
      </c>
      <c r="D238" s="5" t="inlineStr">
        <is>
          <t>Outcome not related to interest</t>
        </is>
      </c>
      <c r="E238" s="86" t="n"/>
      <c r="F238" s="86" t="n"/>
      <c r="G238" s="86" t="n"/>
      <c r="H238" s="5" t="n"/>
    </row>
    <row r="239" ht="16" customHeight="1" s="55">
      <c r="A239" s="86" t="inlineStr">
        <is>
          <t>Fundus image classification using Inception V3 and ResNet-50 for the early diagnostics of fundus diseases.</t>
        </is>
      </c>
      <c r="B239" s="86" t="inlineStr">
        <is>
          <t>Pan, Yuhang</t>
        </is>
      </c>
      <c r="C239" s="86" t="n">
        <v>2023</v>
      </c>
      <c r="D239" s="5" t="inlineStr">
        <is>
          <t>Outcome not related to interest</t>
        </is>
      </c>
      <c r="E239" s="86" t="n"/>
      <c r="F239" s="86" t="n"/>
      <c r="G239" s="86" t="n"/>
      <c r="H239" s="5" t="n"/>
    </row>
    <row r="240" ht="16" customHeight="1" s="55">
      <c r="A240" s="86" t="inlineStr">
        <is>
          <t>High-fidelity diabetic retina fundus image synthesis from freestyle lesion maps.</t>
        </is>
      </c>
      <c r="B240" s="86" t="inlineStr">
        <is>
          <t>Hou, Benjamin</t>
        </is>
      </c>
      <c r="C240" s="86" t="n">
        <v>2023</v>
      </c>
      <c r="D240" s="5" t="inlineStr">
        <is>
          <t>Outcome not related to interest</t>
        </is>
      </c>
      <c r="E240" s="86" t="n"/>
      <c r="F240" s="86" t="n"/>
      <c r="G240" s="86" t="n"/>
      <c r="H240" s="5" t="n"/>
    </row>
    <row r="241" ht="16" customHeight="1" s="55">
      <c r="A241" s="86" t="inlineStr">
        <is>
          <t>Artificial Intelligence Software for Diabetic Eye Screening: Diagnostic Performance and Impact of Stratification.</t>
        </is>
      </c>
      <c r="B241" s="86" t="inlineStr">
        <is>
          <t>Peeters, Freya</t>
        </is>
      </c>
      <c r="C241" s="86" t="n">
        <v>2023</v>
      </c>
      <c r="D241" s="5" t="inlineStr">
        <is>
          <t>Outcome not related to interest</t>
        </is>
      </c>
      <c r="E241" s="86" t="n"/>
      <c r="F241" s="86" t="n"/>
      <c r="G241" s="86" t="n"/>
      <c r="H241" s="5" t="n"/>
    </row>
    <row r="242" ht="16" customHeight="1" s="55">
      <c r="A242" s="86" t="inlineStr">
        <is>
          <t>A Regression-Based Approach to Diabetic Retinopathy Diagnosis Using Efficientnet.</t>
        </is>
      </c>
      <c r="B242" s="86" t="inlineStr">
        <is>
          <t>Vijayan, Midhula</t>
        </is>
      </c>
      <c r="C242" s="86" t="n">
        <v>2023</v>
      </c>
      <c r="D242" s="5" t="inlineStr">
        <is>
          <t>Outcome not related to interest</t>
        </is>
      </c>
      <c r="E242" s="86" t="n"/>
      <c r="F242" s="86" t="n"/>
      <c r="G242" s="86" t="n"/>
      <c r="H242" s="5" t="n"/>
    </row>
    <row r="243" ht="16" customHeight="1" s="55">
      <c r="A243" s="86" t="inlineStr">
        <is>
          <t>EfficientNetV2 Based Ensemble Model for Quality Estimation of Diabetic Retinopathy Images from DeepDRiD.</t>
        </is>
      </c>
      <c r="B243" s="86" t="inlineStr">
        <is>
          <t>Tummala, Sudhakar</t>
        </is>
      </c>
      <c r="C243" s="86" t="n">
        <v>2023</v>
      </c>
      <c r="D243" s="5" t="inlineStr">
        <is>
          <t>Outcome not related to interest</t>
        </is>
      </c>
      <c r="E243" s="86" t="n"/>
      <c r="F243" s="86" t="n"/>
      <c r="G243" s="86" t="n"/>
      <c r="H243" s="5" t="n"/>
    </row>
    <row r="244" ht="16" customHeight="1" s="55">
      <c r="A244" s="86" t="inlineStr">
        <is>
          <t>Hybrid adaptive deep learning classifier for early detection of diabetic retinopathy using optimal feature extraction and classification.</t>
        </is>
      </c>
      <c r="B244" s="86" t="inlineStr">
        <is>
          <t>Hemanth, S V</t>
        </is>
      </c>
      <c r="C244" s="86" t="n">
        <v>2023</v>
      </c>
      <c r="D244" s="5" t="inlineStr">
        <is>
          <t>Outcome not related to interest</t>
        </is>
      </c>
      <c r="E244" s="86" t="n"/>
      <c r="F244" s="86" t="n"/>
      <c r="G244" s="86" t="n"/>
      <c r="H244" s="5" t="n"/>
    </row>
    <row r="245" ht="16" customHeight="1" s="55">
      <c r="A245" s="86" t="inlineStr">
        <is>
          <t>Cross-camera Performance of Deep Learning Algorithms to Diagnose Common Ophthalmic Diseases: A Comparative Study Highlighting Feasibility to Portable Fundus Camera Use.</t>
        </is>
      </c>
      <c r="B245" s="86" t="inlineStr">
        <is>
          <t>He, Shuang</t>
        </is>
      </c>
      <c r="C245" s="86" t="n">
        <v>2023</v>
      </c>
      <c r="D245" s="5" t="inlineStr">
        <is>
          <t>Outcome not related to interest</t>
        </is>
      </c>
      <c r="E245" s="86" t="n"/>
      <c r="F245" s="86" t="n"/>
      <c r="G245" s="86" t="n"/>
      <c r="H245" s="5" t="n"/>
    </row>
    <row r="246" ht="16" customHeight="1" s="55">
      <c r="A246" s="86" t="inlineStr">
        <is>
          <t>A Hybrid Technique for Diabetic Retinopathy Detection Based on Ensemble-Optimized CNN and Texture Features.</t>
        </is>
      </c>
      <c r="B246" s="86" t="inlineStr">
        <is>
          <t>Ishtiaq, Uzair</t>
        </is>
      </c>
      <c r="C246" s="86" t="n">
        <v>2023</v>
      </c>
      <c r="D246" s="5" t="inlineStr">
        <is>
          <t>Outcome not related to interest</t>
        </is>
      </c>
      <c r="E246" s="86" t="n"/>
      <c r="F246" s="86" t="n"/>
      <c r="G246" s="86" t="n"/>
      <c r="H246" s="5" t="n"/>
    </row>
    <row r="247" ht="16" customHeight="1" s="55">
      <c r="A247" s="86" t="inlineStr">
        <is>
          <t>Data Diversity in Convolutional Neural Network Based Ensemble Model for Diabetic Retinopathy.</t>
        </is>
      </c>
      <c r="B247" s="86" t="inlineStr">
        <is>
          <t xml:space="preserve">Inamullah, </t>
        </is>
      </c>
      <c r="C247" s="86" t="n">
        <v>2023</v>
      </c>
      <c r="D247" s="5" t="inlineStr">
        <is>
          <t>Outcome not related to interest</t>
        </is>
      </c>
      <c r="E247" s="86" t="n"/>
      <c r="F247" s="86" t="n"/>
      <c r="G247" s="86" t="n"/>
      <c r="H247" s="5" t="n"/>
    </row>
    <row r="248" ht="16" customHeight="1" s="55">
      <c r="A248" s="86" t="inlineStr">
        <is>
          <t>Artificial intelligence in diabetic retinopathy screening: clinical assessment using handheld fundus camera in a real-life setting.</t>
        </is>
      </c>
      <c r="B248" s="86" t="inlineStr">
        <is>
          <t>Lupidi, Marco</t>
        </is>
      </c>
      <c r="C248" s="86" t="n">
        <v>2023</v>
      </c>
      <c r="D248" s="5" t="inlineStr">
        <is>
          <t>Outcome not related to interest</t>
        </is>
      </c>
      <c r="E248" s="86" t="n"/>
      <c r="F248" s="86" t="n"/>
      <c r="G248" s="86" t="n"/>
      <c r="H248" s="5" t="n"/>
    </row>
    <row r="249" ht="16" customHeight="1" s="55">
      <c r="A249" s="86" t="inlineStr">
        <is>
          <t>Clinical validation of a smartphone-based retinal camera for diabetic retinopathy screening.</t>
        </is>
      </c>
      <c r="B249" s="86" t="inlineStr">
        <is>
          <t>de Oliveira, Juliana Ang矇lica Estev瓊o</t>
        </is>
      </c>
      <c r="C249" s="86" t="n">
        <v>2023</v>
      </c>
      <c r="D249" s="86" t="inlineStr">
        <is>
          <t>Not deep learning</t>
        </is>
      </c>
      <c r="E249" s="86" t="n"/>
      <c r="F249" s="86" t="n"/>
      <c r="G249" s="86" t="n"/>
      <c r="H249" s="86" t="n"/>
    </row>
    <row r="250" ht="16" customHeight="1" s="55">
      <c r="A250" s="86" t="inlineStr">
        <is>
          <t>Automated Diagnosis of Diabetic Retinopathy Using Deep Learning: On the Search of Segmented Retinal Blood Vessel Images for Better Performance.</t>
        </is>
      </c>
      <c r="B250" s="86" t="inlineStr">
        <is>
          <t>Khan, Mohammad B</t>
        </is>
      </c>
      <c r="C250" s="86" t="n">
        <v>2023</v>
      </c>
      <c r="D250" s="5" t="inlineStr">
        <is>
          <t>Outcome not related to interest</t>
        </is>
      </c>
      <c r="E250" s="86" t="n"/>
      <c r="F250" s="86" t="n"/>
      <c r="G250" s="86" t="n"/>
      <c r="H250" s="5" t="n"/>
    </row>
    <row r="251" ht="16" customHeight="1" s="55">
      <c r="A251" s="86" t="inlineStr">
        <is>
          <t>Application effect of an artificial intelligence-based fundus screening system: evaluation in a clinical setting and population screening.</t>
        </is>
      </c>
      <c r="B251" s="86" t="inlineStr">
        <is>
          <t>Cao, Shujuan</t>
        </is>
      </c>
      <c r="C251" s="86" t="n">
        <v>2023</v>
      </c>
      <c r="D251" s="5" t="inlineStr">
        <is>
          <t>Outcome not related to interest</t>
        </is>
      </c>
      <c r="E251" s="86" t="n"/>
      <c r="F251" s="86" t="n"/>
      <c r="G251" s="86" t="n"/>
      <c r="H251" s="5" t="n"/>
    </row>
    <row r="252" ht="16" customHeight="1" s="55">
      <c r="A252" s="86" t="inlineStr">
        <is>
          <t>Deep learning-based analysis of infrared fundus photography for automated diagnosis of diabetic retinopathy with cataracts.</t>
        </is>
      </c>
      <c r="B252" s="86" t="inlineStr">
        <is>
          <t>Xue, Wenwen</t>
        </is>
      </c>
      <c r="C252" s="86" t="n">
        <v>2023</v>
      </c>
      <c r="D252" s="86" t="inlineStr">
        <is>
          <t>Not standard color fundus image</t>
        </is>
      </c>
      <c r="E252" s="86" t="n"/>
      <c r="F252" s="86" t="n"/>
      <c r="G252" s="86" t="n"/>
      <c r="H252" s="86" t="n"/>
    </row>
    <row r="253" ht="16" customHeight="1" s="55">
      <c r="A253" s="86" t="inlineStr">
        <is>
          <t>URNet: System for recommending referrals for community screening of diabetic retinopathy based on deep learning.</t>
        </is>
      </c>
      <c r="B253" s="86" t="inlineStr">
        <is>
          <t>Yang, Kun</t>
        </is>
      </c>
      <c r="C253" s="86" t="n">
        <v>2023</v>
      </c>
      <c r="D253" s="5" t="inlineStr">
        <is>
          <t>Outcome not related to interest</t>
        </is>
      </c>
      <c r="E253" s="86" t="n"/>
      <c r="F253" s="86" t="n"/>
      <c r="G253" s="86" t="n"/>
      <c r="H253" s="5" t="n"/>
    </row>
    <row r="254" ht="16" customHeight="1" s="55">
      <c r="A254" s="86" t="inlineStr">
        <is>
          <t>Fine-grained attention &amp; knowledge-based collaborative network for diabetic retinopathy grading.</t>
        </is>
      </c>
      <c r="B254" s="86" t="inlineStr">
        <is>
          <t>Tian, Miao</t>
        </is>
      </c>
      <c r="C254" s="86" t="n">
        <v>2023</v>
      </c>
      <c r="D254" s="5" t="inlineStr">
        <is>
          <t>Outcome not related to interest</t>
        </is>
      </c>
      <c r="E254" s="86" t="n"/>
      <c r="F254" s="86" t="n"/>
      <c r="G254" s="86" t="n"/>
      <c r="H254" s="5" t="n"/>
    </row>
    <row r="255" ht="16" customHeight="1" s="55">
      <c r="A255" s="86" t="inlineStr">
        <is>
          <t>AI-Human Hybrid Workflow Enhances Teleophthalmology for the Detection of Diabetic Retinopathy.</t>
        </is>
      </c>
      <c r="B255" s="86" t="inlineStr">
        <is>
          <t>Dow, Eliot R</t>
        </is>
      </c>
      <c r="C255" s="86" t="n">
        <v>2023</v>
      </c>
      <c r="D255" s="86" t="n">
        <v>11</v>
      </c>
      <c r="E255" s="86" t="n"/>
      <c r="F255" s="86" t="n"/>
      <c r="G255" s="86" t="n"/>
      <c r="H255" s="86" t="n"/>
    </row>
    <row r="256" ht="16" customHeight="1" s="55">
      <c r="A256" s="86" t="inlineStr">
        <is>
          <t>Proliferative Diabetic Retinopathy Diagnosis Using Varying-Scales Filter Banks and Double-Layered Thresholding.</t>
        </is>
      </c>
      <c r="B256" s="86" t="inlineStr">
        <is>
          <t>Huda, Noor Ul</t>
        </is>
      </c>
      <c r="C256" s="86" t="n">
        <v>2023</v>
      </c>
      <c r="D256" s="5" t="inlineStr">
        <is>
          <t>Outcome not related to interest</t>
        </is>
      </c>
      <c r="E256" s="86" t="n"/>
      <c r="F256" s="86" t="n"/>
      <c r="G256" s="86" t="n"/>
      <c r="H256" s="5" t="n"/>
    </row>
    <row r="257" ht="16" customHeight="1" s="55">
      <c r="A257" s="86" t="inlineStr">
        <is>
          <t>Single retinal image for diabetic retinopathy screening: performance of a handheld device with embedded artificial intelligence.</t>
        </is>
      </c>
      <c r="B257" s="86" t="inlineStr">
        <is>
          <t>Penha, Fernando Marcondes</t>
        </is>
      </c>
      <c r="C257" s="86" t="n">
        <v>2023</v>
      </c>
      <c r="D257" s="5" t="inlineStr">
        <is>
          <t>Outcome not related to interest</t>
        </is>
      </c>
      <c r="E257" s="86" t="n"/>
      <c r="F257" s="86" t="n"/>
      <c r="G257" s="86" t="n"/>
      <c r="H257" s="5" t="n"/>
    </row>
    <row r="258" ht="16" customHeight="1" s="55">
      <c r="A258" s="86" t="inlineStr">
        <is>
          <t>Variability in Grading Diabetic Retinopathy Using Retinal Photography and Its Comparison with an Automated Deep Learning Diabetic Retinopathy Screening Software.</t>
        </is>
      </c>
      <c r="B258" s="86" t="inlineStr">
        <is>
          <t>Teoh, Chin Sheng</t>
        </is>
      </c>
      <c r="C258" s="86" t="n">
        <v>2023</v>
      </c>
      <c r="D258" s="5" t="inlineStr">
        <is>
          <t>Outcome not related to interest</t>
        </is>
      </c>
      <c r="E258" s="86" t="n"/>
      <c r="F258" s="86" t="n"/>
      <c r="G258" s="86" t="n"/>
      <c r="H258" s="5" t="n"/>
    </row>
    <row r="259" ht="16" customHeight="1" s="55">
      <c r="A259" s="86" t="inlineStr">
        <is>
          <t>A Computer-Aided Diagnostic System to Identify Diabetic Retinopathy, Utilizing a Modified Compact Convolutional Transformer and Low-Resolution Images to Reduce Computation Time.</t>
        </is>
      </c>
      <c r="B259" s="86" t="inlineStr">
        <is>
          <t>Khan, Inam Ullah</t>
        </is>
      </c>
      <c r="C259" s="86" t="n">
        <v>2023</v>
      </c>
      <c r="D259" s="5" t="inlineStr">
        <is>
          <t>Outcome not related to interest</t>
        </is>
      </c>
      <c r="E259" s="86" t="n"/>
      <c r="F259" s="86" t="n"/>
      <c r="G259" s="86" t="n"/>
      <c r="H259" s="5" t="n"/>
    </row>
    <row r="260" ht="16" customHeight="1" s="55">
      <c r="A260" s="86" t="inlineStr">
        <is>
          <t>Convolutional neural network-based sea lion optimization algorithm for the detection and classification of diabetic retinopathy.</t>
        </is>
      </c>
      <c r="B260" s="86" t="inlineStr">
        <is>
          <t>Hemanth, S V</t>
        </is>
      </c>
      <c r="C260" s="86" t="n">
        <v>2023</v>
      </c>
      <c r="D260" s="5" t="inlineStr">
        <is>
          <t>Outcome not related to interest</t>
        </is>
      </c>
      <c r="E260" s="86" t="n"/>
      <c r="F260" s="86" t="n"/>
      <c r="G260" s="86" t="n"/>
      <c r="H260" s="5" t="n"/>
    </row>
    <row r="261" ht="16" customHeight="1" s="55">
      <c r="A261" s="86" t="inlineStr">
        <is>
          <t>Automatic severity grade classification of diabetic retinopathy using deformable ladder Bi attention U-net and deep adaptive CNN.</t>
        </is>
      </c>
      <c r="B261" s="86" t="inlineStr">
        <is>
          <t>Durai, D Binny Jeba</t>
        </is>
      </c>
      <c r="C261" s="86" t="n">
        <v>2023</v>
      </c>
      <c r="D261" s="5" t="inlineStr">
        <is>
          <t>Outcome not related to interest</t>
        </is>
      </c>
      <c r="E261" s="86" t="n"/>
      <c r="F261" s="86" t="n"/>
      <c r="G261" s="86" t="n"/>
      <c r="H261" s="5" t="n"/>
    </row>
    <row r="262" ht="16" customHeight="1" s="55">
      <c r="A262" s="86" t="inlineStr">
        <is>
          <t>Counteracting Data Bias and Class Imbalance-Towards a Useful and Reliable Retinal Disease Recognition System.</t>
        </is>
      </c>
      <c r="B262" s="86" t="inlineStr">
        <is>
          <t>Chopowiec, Adam R</t>
        </is>
      </c>
      <c r="C262" s="86" t="n">
        <v>2023</v>
      </c>
      <c r="D262" s="5" t="inlineStr">
        <is>
          <t>Outcome not related to interest</t>
        </is>
      </c>
      <c r="E262" s="86" t="n"/>
      <c r="F262" s="86" t="n"/>
      <c r="G262" s="86" t="n"/>
      <c r="H262" s="5" t="n"/>
    </row>
    <row r="263" ht="16" customHeight="1" s="55">
      <c r="A263" s="86" t="inlineStr">
        <is>
          <t>Transfer learning-driven ensemble model for detection of diabetic retinopathy disease.</t>
        </is>
      </c>
      <c r="B263" s="86" t="inlineStr">
        <is>
          <t>Chaurasia, Brijesh Kumar</t>
        </is>
      </c>
      <c r="C263" s="86" t="n">
        <v>2023</v>
      </c>
      <c r="D263" s="5" t="inlineStr">
        <is>
          <t>Outcome not related to interest</t>
        </is>
      </c>
      <c r="E263" s="86" t="n"/>
      <c r="F263" s="86" t="n"/>
      <c r="G263" s="86" t="n"/>
      <c r="H263" s="5" t="n"/>
    </row>
    <row r="264" ht="16" customHeight="1" s="55">
      <c r="A264" s="86" t="inlineStr">
        <is>
          <t>EyeCNN: exploring the potential of convolutional neural networks for identification of multiple eye diseases through retinal imagery.</t>
        </is>
      </c>
      <c r="B264" s="86" t="inlineStr">
        <is>
          <t>Rafay, Abdul</t>
        </is>
      </c>
      <c r="C264" s="86" t="n">
        <v>2023</v>
      </c>
      <c r="D264" s="5" t="inlineStr">
        <is>
          <t>Outcome not related to interest</t>
        </is>
      </c>
      <c r="E264" s="86" t="n"/>
      <c r="F264" s="86" t="n"/>
      <c r="G264" s="86" t="n"/>
      <c r="H264" s="5" t="n"/>
    </row>
    <row r="265" ht="16" customHeight="1" s="55">
      <c r="A265" s="86" t="inlineStr">
        <is>
          <t>Hybrid Methods for Fundus Image Analysis for Diagnosis of Diabetic Retinopathy Development Stages Based on Fusion Features.</t>
        </is>
      </c>
      <c r="B265" s="86" t="inlineStr">
        <is>
          <t>Alshahrani, Mohammed</t>
        </is>
      </c>
      <c r="C265" s="86" t="n">
        <v>2023</v>
      </c>
      <c r="D265" s="5" t="inlineStr">
        <is>
          <t>Outcome not related to interest</t>
        </is>
      </c>
      <c r="E265" s="86" t="n"/>
      <c r="F265" s="86" t="n"/>
      <c r="G265" s="86" t="n"/>
      <c r="H265" s="5" t="n"/>
    </row>
    <row r="266" ht="16" customHeight="1" s="55">
      <c r="A266" s="86" t="inlineStr">
        <is>
          <t>Deploying efficient net batch normalizations (BNs) for grading diabetic retinopathy severity levels from fundus images.</t>
        </is>
      </c>
      <c r="B266" s="86" t="inlineStr">
        <is>
          <t>Batool, Summiya</t>
        </is>
      </c>
      <c r="C266" s="86" t="n">
        <v>2023</v>
      </c>
      <c r="D266" s="5" t="inlineStr">
        <is>
          <t>Outcome not related to interest</t>
        </is>
      </c>
      <c r="E266" s="86" t="n"/>
      <c r="F266" s="86" t="n"/>
      <c r="G266" s="86" t="n"/>
      <c r="H266" s="5" t="n"/>
    </row>
    <row r="267" ht="16" customHeight="1" s="55">
      <c r="A267" s="86" t="inlineStr">
        <is>
          <t>DR-NASNet: Automated System to Detect and Classify Diabetic Retinopathy Severity Using Improved Pretrained NASNet Model.</t>
        </is>
      </c>
      <c r="B267" s="86" t="inlineStr">
        <is>
          <t>Sajid, Muhammad Zaheer</t>
        </is>
      </c>
      <c r="C267" s="86" t="n">
        <v>2023</v>
      </c>
      <c r="D267" s="5" t="inlineStr">
        <is>
          <t>Outcome not related to interest</t>
        </is>
      </c>
      <c r="E267" s="86" t="n"/>
      <c r="F267" s="86" t="n"/>
      <c r="G267" s="86" t="n"/>
      <c r="H267" s="5" t="n"/>
    </row>
    <row r="268" ht="16" customHeight="1" s="55">
      <c r="A268" s="86" t="inlineStr">
        <is>
          <t>CLRD: Collaborative Learning for Retinopathy Detection Using Fundus Images.</t>
        </is>
      </c>
      <c r="B268" s="86" t="inlineStr">
        <is>
          <t>Gao, Yuan</t>
        </is>
      </c>
      <c r="C268" s="86" t="n">
        <v>2023</v>
      </c>
      <c r="D268" s="5" t="inlineStr">
        <is>
          <t>Outcome not related to interest</t>
        </is>
      </c>
      <c r="E268" s="86" t="n"/>
      <c r="F268" s="86" t="n"/>
      <c r="G268" s="86" t="n"/>
      <c r="H268" s="5" t="n"/>
    </row>
    <row r="269" ht="16" customHeight="1" s="55">
      <c r="A269" s="86" t="inlineStr">
        <is>
          <t>Deep learning-enhanced diabetic retinopathy image classification.</t>
        </is>
      </c>
      <c r="B269" s="86" t="inlineStr">
        <is>
          <t>Alwakid, Ghadah</t>
        </is>
      </c>
      <c r="C269" s="86" t="n">
        <v>2023</v>
      </c>
      <c r="D269" s="5" t="inlineStr">
        <is>
          <t>Outcome not related to interest</t>
        </is>
      </c>
      <c r="E269" s="86" t="n"/>
      <c r="F269" s="86" t="n"/>
      <c r="G269" s="86" t="n"/>
      <c r="H269" s="5" t="n"/>
    </row>
    <row r="270" ht="16" customHeight="1" s="55">
      <c r="A270" s="86" t="inlineStr">
        <is>
          <t>Automatic Detection and Classification of Diabetic Retinopathy Using the Improved Pooling Function in the Convolution Neural Network.</t>
        </is>
      </c>
      <c r="B270" s="86" t="inlineStr">
        <is>
          <t>Bhimavarapu, Usharani</t>
        </is>
      </c>
      <c r="C270" s="86" t="n">
        <v>2023</v>
      </c>
      <c r="D270" s="5" t="inlineStr">
        <is>
          <t>Outcome not related to interest</t>
        </is>
      </c>
      <c r="E270" s="86" t="n"/>
      <c r="F270" s="86" t="n"/>
      <c r="G270" s="86" t="n"/>
      <c r="H270" s="5" t="n"/>
    </row>
    <row r="271" ht="16" customHeight="1" s="55">
      <c r="A271" s="86" t="inlineStr">
        <is>
          <t>Diabetic Retinopathy Screening at the Point of Care (DR SPOC): detecting undiagnosed and vision-threatening retinopathy by integrating portable technologies within existing services.</t>
        </is>
      </c>
      <c r="B271" s="86" t="inlineStr">
        <is>
          <t>Weerasinghe, Lakni Shahanika</t>
        </is>
      </c>
      <c r="C271" s="86" t="n">
        <v>2023</v>
      </c>
      <c r="D271" s="86" t="inlineStr">
        <is>
          <t>Not deep learning</t>
        </is>
      </c>
      <c r="E271" s="86" t="n"/>
      <c r="F271" s="86" t="n"/>
      <c r="G271" s="86" t="n"/>
      <c r="H271" s="86" t="n"/>
    </row>
    <row r="272" ht="16" customHeight="1" s="55">
      <c r="A272" s="86" t="inlineStr">
        <is>
          <t>Efficacy of deep learning-based artificial intelligence models in screening and referring patients with diabetic retinopathy and glaucoma.</t>
        </is>
      </c>
      <c r="B272" s="86" t="inlineStr">
        <is>
          <t>Surya, Janani</t>
        </is>
      </c>
      <c r="C272" s="86" t="n">
        <v>2023</v>
      </c>
      <c r="D272" s="5" t="n">
        <v>12</v>
      </c>
      <c r="E272" s="86" t="n"/>
      <c r="F272" s="86" t="n"/>
      <c r="G272" s="86" t="n"/>
      <c r="H272" s="5" t="n"/>
    </row>
    <row r="273" ht="16" customHeight="1" s="55">
      <c r="A273" s="86" t="inlineStr">
        <is>
          <t>Supervised Contrastive Learning with Angular Margin for the Detection and Grading of Diabetic Retinopathy.</t>
        </is>
      </c>
      <c r="B273" s="86" t="inlineStr">
        <is>
          <t>Zhu, Dongsheng</t>
        </is>
      </c>
      <c r="C273" s="86" t="n">
        <v>2023</v>
      </c>
      <c r="D273" s="5" t="inlineStr">
        <is>
          <t>Outcome not related to interest</t>
        </is>
      </c>
      <c r="E273" s="86" t="n"/>
      <c r="F273" s="86" t="n"/>
      <c r="G273" s="86" t="n"/>
      <c r="H273" s="5" t="n"/>
    </row>
    <row r="274" ht="16" customHeight="1" s="55">
      <c r="A274" s="86" t="inlineStr">
        <is>
          <t>HDR-EfficientNet: A Classification of Hypertensive and Diabetic Retinopathy Using Optimize EfficientNet Architecture.</t>
        </is>
      </c>
      <c r="B274" s="86" t="inlineStr">
        <is>
          <t>Abbas, Qaisar</t>
        </is>
      </c>
      <c r="C274" s="86" t="n">
        <v>2023</v>
      </c>
      <c r="D274" s="5" t="inlineStr">
        <is>
          <t>Outcome not related to interest</t>
        </is>
      </c>
      <c r="E274" s="86" t="n"/>
      <c r="F274" s="86" t="n"/>
      <c r="G274" s="86" t="n"/>
      <c r="H274" s="5" t="n"/>
    </row>
    <row r="275" ht="16" customHeight="1" s="55">
      <c r="A275" s="86" t="inlineStr">
        <is>
          <t>Predicting of diabetic retinopathy development stages of fundus images using deep learning based on combined features.</t>
        </is>
      </c>
      <c r="B275" s="86" t="inlineStr">
        <is>
          <t>Shamsan, Ahlam</t>
        </is>
      </c>
      <c r="C275" s="86" t="n">
        <v>2023</v>
      </c>
      <c r="D275" s="5" t="inlineStr">
        <is>
          <t>Outcome not related to interest</t>
        </is>
      </c>
      <c r="E275" s="86" t="n"/>
      <c r="F275" s="86" t="n"/>
      <c r="G275" s="86" t="n"/>
      <c r="H275" s="5" t="n"/>
    </row>
    <row r="276" ht="16" customHeight="1" s="55">
      <c r="A276" s="86" t="inlineStr">
        <is>
          <t>Clinician-Driven AI: Code-Free Self-Training on Public Data for Diabetic Retinopathy Referral.</t>
        </is>
      </c>
      <c r="B276" s="86" t="inlineStr">
        <is>
          <t>Korot, Edward</t>
        </is>
      </c>
      <c r="C276" s="86" t="n">
        <v>2023</v>
      </c>
      <c r="D276" s="5" t="inlineStr">
        <is>
          <t>Outcome not related to interest</t>
        </is>
      </c>
      <c r="E276" s="86" t="n"/>
      <c r="F276" s="86" t="n"/>
      <c r="G276" s="86" t="n"/>
      <c r="H276" s="5" t="n"/>
    </row>
    <row r="277" ht="16" customHeight="1" s="55">
      <c r="A277" s="86" t="inlineStr">
        <is>
          <t>EyeArt artificial intelligence analysis of diabetic retinopathy in retinal screening events.</t>
        </is>
      </c>
      <c r="B277" s="86" t="inlineStr">
        <is>
          <t>Vought, Rita</t>
        </is>
      </c>
      <c r="C277" s="86" t="n">
        <v>2023</v>
      </c>
      <c r="D277" s="5" t="inlineStr">
        <is>
          <t>Outcome not related to interest</t>
        </is>
      </c>
      <c r="E277" s="86" t="n"/>
      <c r="F277" s="86" t="n"/>
      <c r="G277" s="86" t="n"/>
      <c r="H277" s="5" t="n"/>
    </row>
    <row r="278" ht="16" customHeight="1" s="55">
      <c r="A278" s="86" t="inlineStr">
        <is>
          <t>A Lightweight Diabetic Retinopathy Detection Model Using a Deep-Learning Technique.</t>
        </is>
      </c>
      <c r="B278" s="86" t="inlineStr">
        <is>
          <t>Wahab Sait, Abdul Rahaman</t>
        </is>
      </c>
      <c r="C278" s="86" t="n">
        <v>2023</v>
      </c>
      <c r="D278" s="5" t="inlineStr">
        <is>
          <t>Outcome not related to interest</t>
        </is>
      </c>
      <c r="E278" s="86" t="n"/>
      <c r="F278" s="86" t="n"/>
      <c r="G278" s="86" t="n"/>
      <c r="H278" s="5" t="n"/>
    </row>
    <row r="279" ht="16" customHeight="1" s="55">
      <c r="A279" s="86" t="inlineStr">
        <is>
          <t>RDS-DR: An Improved Deep Learning Model for Classifying Severity Levels of Diabetic Retinopathy.</t>
        </is>
      </c>
      <c r="B279" s="86" t="inlineStr">
        <is>
          <t>Bashir, Ijaz</t>
        </is>
      </c>
      <c r="C279" s="86" t="n">
        <v>2023</v>
      </c>
      <c r="D279" s="5" t="inlineStr">
        <is>
          <t>Outcome not related to interest</t>
        </is>
      </c>
      <c r="E279" s="86" t="n"/>
      <c r="F279" s="86" t="n"/>
      <c r="G279" s="86" t="n"/>
      <c r="H279" s="5" t="n"/>
    </row>
    <row r="280" ht="16" customHeight="1" s="55">
      <c r="A280" s="86" t="inlineStr">
        <is>
          <t>A hybrid approach for diagnosing diabetic retinopathy from fundus image exploiting deep features.</t>
        </is>
      </c>
      <c r="B280" s="86" t="inlineStr">
        <is>
          <t>Mahmood, Mohammed Arif Iftakher</t>
        </is>
      </c>
      <c r="C280" s="86" t="n">
        <v>2023</v>
      </c>
      <c r="D280" s="5" t="inlineStr">
        <is>
          <t>Outcome not related to interest</t>
        </is>
      </c>
      <c r="E280" s="86" t="n"/>
      <c r="F280" s="86" t="n"/>
      <c r="G280" s="86" t="n"/>
      <c r="H280" s="5" t="n"/>
    </row>
    <row r="281" ht="16" customHeight="1" s="55">
      <c r="A281" s="86" t="inlineStr">
        <is>
          <t>Enhancing diabetic retinopathy classification using deep learning.</t>
        </is>
      </c>
      <c r="B281" s="86" t="inlineStr">
        <is>
          <t>Alwakid, Ghadah</t>
        </is>
      </c>
      <c r="C281" s="86" t="n">
        <v>2023</v>
      </c>
      <c r="D281" s="5" t="inlineStr">
        <is>
          <t>Outcome not related to interest</t>
        </is>
      </c>
      <c r="E281" s="86" t="n"/>
      <c r="F281" s="86" t="n"/>
      <c r="G281" s="86" t="n"/>
      <c r="H281" s="5" t="n"/>
    </row>
    <row r="282" ht="16" customHeight="1" s="55">
      <c r="A282" s="86" t="inlineStr">
        <is>
          <t>Diagnostic Accuracy of Automated Diabetic Retinopathy Image Assessment Softwares: IDx-DR and Medios Artificial Intelligence.</t>
        </is>
      </c>
      <c r="B282" s="86" t="inlineStr">
        <is>
          <t>Grzybowski, Andrzej</t>
        </is>
      </c>
      <c r="C282" s="86" t="n">
        <v>2023</v>
      </c>
      <c r="D282" s="5" t="inlineStr">
        <is>
          <t>Outcome not related to interest</t>
        </is>
      </c>
      <c r="E282" s="86" t="n"/>
      <c r="F282" s="86" t="n"/>
      <c r="G282" s="86" t="n"/>
      <c r="H282" s="5" t="n"/>
    </row>
    <row r="283" ht="16" customHeight="1" s="55">
      <c r="A283" s="86" t="inlineStr">
        <is>
          <t>Real-world evaluation of smartphone-based artificial intelligence to screen for diabetic retinopathy in Dominica: a clinical validation study.</t>
        </is>
      </c>
      <c r="B283" s="86" t="inlineStr">
        <is>
          <t>Kemp, Oliver</t>
        </is>
      </c>
      <c r="C283" s="86" t="n">
        <v>2023</v>
      </c>
      <c r="D283" s="5" t="inlineStr">
        <is>
          <t>Outcome not related to interest</t>
        </is>
      </c>
      <c r="E283" s="86" t="n"/>
      <c r="F283" s="86" t="n"/>
      <c r="G283" s="86" t="n"/>
      <c r="H283" s="5" t="n"/>
    </row>
    <row r="284" ht="16" customHeight="1" s="55">
      <c r="A284" s="86" t="inlineStr">
        <is>
          <t>Multi-scale multi-attention network for diabetic retinopathy grading.</t>
        </is>
      </c>
      <c r="B284" s="86" t="inlineStr">
        <is>
          <t>Xia, Haiying</t>
        </is>
      </c>
      <c r="C284" s="86" t="n">
        <v>2023</v>
      </c>
      <c r="D284" s="5" t="inlineStr">
        <is>
          <t>Outcome not related to interest</t>
        </is>
      </c>
      <c r="E284" s="86" t="n"/>
      <c r="F284" s="86" t="n"/>
      <c r="G284" s="86" t="n"/>
      <c r="H284" s="5" t="n"/>
    </row>
    <row r="285" ht="16" customHeight="1" s="55">
      <c r="A285" s="86" t="inlineStr">
        <is>
          <t>Development of LuxIA, a Cloud-Based AI Diabetic Retinopathy Screening Tool Using a Single Color Fundus Image.</t>
        </is>
      </c>
      <c r="B285" s="86" t="inlineStr">
        <is>
          <t>Blair, Joseph P M</t>
        </is>
      </c>
      <c r="C285" s="86" t="n">
        <v>2023</v>
      </c>
      <c r="D285" s="5" t="inlineStr">
        <is>
          <t>Outcome not related to interest</t>
        </is>
      </c>
      <c r="E285" s="86" t="n"/>
      <c r="F285" s="86" t="n"/>
      <c r="G285" s="86" t="n"/>
      <c r="H285" s="5" t="n"/>
    </row>
    <row r="286" ht="16" customHeight="1" s="55">
      <c r="A286" s="86" t="inlineStr">
        <is>
          <t>Translation of Color Fundus Photography into Fluorescein Angiography Using Deep Learning for Enhanced Diabetic Retinopathy Screening.</t>
        </is>
      </c>
      <c r="B286" s="86" t="inlineStr">
        <is>
          <t>Shi, Danli</t>
        </is>
      </c>
      <c r="C286" s="86" t="n">
        <v>2023</v>
      </c>
      <c r="D286" s="5" t="inlineStr">
        <is>
          <t>Outcome not related to interest</t>
        </is>
      </c>
      <c r="E286" s="86" t="n"/>
      <c r="F286" s="86" t="n"/>
      <c r="G286" s="86" t="n"/>
      <c r="H286" s="5" t="n"/>
    </row>
    <row r="287" ht="16" customHeight="1" s="55">
      <c r="A287" s="86" t="inlineStr">
        <is>
          <t>Diagnostic Accuracy of Hand-Held Fundus Camera and Artificial Intelligence in Diabetic Retinopathy Screening.</t>
        </is>
      </c>
      <c r="B287" s="86" t="inlineStr">
        <is>
          <t>Tomi, Martina</t>
        </is>
      </c>
      <c r="C287" s="86" t="n">
        <v>2023</v>
      </c>
      <c r="D287" s="5" t="inlineStr">
        <is>
          <t>Outcome not related to interest</t>
        </is>
      </c>
      <c r="E287" s="86" t="n"/>
      <c r="F287" s="86" t="n"/>
      <c r="G287" s="86" t="n"/>
      <c r="H287" s="5" t="n"/>
    </row>
    <row r="288" ht="16" customHeight="1" s="55">
      <c r="A288" s="86" t="inlineStr">
        <is>
          <t>Accuracy of Integrated Artificial Intelligence Grading Using Handheld Retinal Imaging in a Community Diabetic Eye Screening Program.</t>
        </is>
      </c>
      <c r="B288" s="86" t="inlineStr">
        <is>
          <t>Salongcay, Recivall P</t>
        </is>
      </c>
      <c r="C288" s="86" t="n">
        <v>2023</v>
      </c>
      <c r="D288" s="5" t="inlineStr">
        <is>
          <t>Outcome not related to interest</t>
        </is>
      </c>
      <c r="E288" s="86" t="n"/>
      <c r="F288" s="86" t="n"/>
      <c r="G288" s="86" t="n"/>
      <c r="H288" s="5" t="n"/>
    </row>
    <row r="289" ht="16" customHeight="1" s="55">
      <c r="A289" s="86" t="inlineStr">
        <is>
          <t>A diagnosis model for detection and classification of diabetic retinopathy using deep learning</t>
        </is>
      </c>
      <c r="B289" s="86" t="inlineStr">
        <is>
          <t>Syed, S.R.</t>
        </is>
      </c>
      <c r="C289" s="86" t="n">
        <v>2023</v>
      </c>
      <c r="D289" s="5" t="inlineStr">
        <is>
          <t>Outcome not related to interest</t>
        </is>
      </c>
      <c r="E289" s="86" t="n"/>
      <c r="F289" s="86" t="n"/>
      <c r="G289" s="86" t="n"/>
      <c r="H289" s="5" t="n"/>
    </row>
    <row r="290" ht="16" customHeight="1" s="55">
      <c r="A290" s="86" t="inlineStr">
        <is>
          <t>A bi-directional Long Short-Term Memory-based Diabetic Retinopathy detection model using retinal fundus images</t>
        </is>
      </c>
      <c r="B290" s="86" t="inlineStr">
        <is>
          <t>Phridviraj, M.S.B.</t>
        </is>
      </c>
      <c r="C290" s="86" t="n">
        <v>2023</v>
      </c>
      <c r="D290" s="5" t="inlineStr">
        <is>
          <t>Outcome not related to interest</t>
        </is>
      </c>
      <c r="E290" s="86" t="n"/>
      <c r="F290" s="86" t="n"/>
      <c r="G290" s="86" t="n"/>
      <c r="H290" s="5" t="n"/>
    </row>
    <row r="291" ht="16" customHeight="1" s="55">
      <c r="A291" s="86" t="inlineStr">
        <is>
          <t>Grading diabetic retinopathy using multiresolution based CNN</t>
        </is>
      </c>
      <c r="B291" s="86" t="inlineStr">
        <is>
          <t>Ashwini, K.</t>
        </is>
      </c>
      <c r="C291" s="86" t="n">
        <v>2023</v>
      </c>
      <c r="D291" s="5" t="inlineStr">
        <is>
          <t>Outcome not related to interest</t>
        </is>
      </c>
      <c r="E291" s="86" t="n"/>
      <c r="F291" s="86" t="n"/>
      <c r="G291" s="86" t="n"/>
      <c r="H291" s="5" t="n"/>
    </row>
    <row r="292" ht="16" customHeight="1" s="55">
      <c r="A292" s="86" t="inlineStr">
        <is>
          <t>Impact of an Artificial Intelligence Algorithm on Diabetic Retinopathy Grading by Ophthalmology Residents</t>
        </is>
      </c>
      <c r="B292" s="86" t="inlineStr">
        <is>
          <t>Paul, S.K.</t>
        </is>
      </c>
      <c r="C292" s="86" t="n">
        <v>2023</v>
      </c>
      <c r="D292" s="5" t="inlineStr">
        <is>
          <t>Outcome not related to interest</t>
        </is>
      </c>
      <c r="E292" s="86" t="n"/>
      <c r="F292" s="86" t="n"/>
      <c r="G292" s="86" t="n"/>
      <c r="H292" s="5" t="n"/>
    </row>
    <row r="293" ht="16" customHeight="1" s="55">
      <c r="A293" s="86" t="inlineStr">
        <is>
          <t>SEGAN-BASED LESION SEGMENTATION and OPTIMIZED RideNN for DIABETIC RETINOPATHY CLASSIFICATION</t>
        </is>
      </c>
      <c r="B293" s="86" t="inlineStr">
        <is>
          <t>Sagvekar, V.</t>
        </is>
      </c>
      <c r="C293" s="86" t="n">
        <v>2023</v>
      </c>
      <c r="D293" s="5" t="inlineStr">
        <is>
          <t>Outcome not related to interest</t>
        </is>
      </c>
      <c r="E293" s="18" t="n"/>
      <c r="F293" s="86" t="n"/>
      <c r="G293" s="86" t="n"/>
      <c r="H293" s="5" t="n"/>
    </row>
    <row r="294" ht="16" customHeight="1" s="55">
      <c r="A294" s="86" t="inlineStr">
        <is>
          <t>Multi-Level severity classification for diabetic retinopathy based on hybrid optimization enabled deep learning</t>
        </is>
      </c>
      <c r="B294" s="86" t="inlineStr">
        <is>
          <t>Zulaikha Beevi, S.</t>
        </is>
      </c>
      <c r="C294" s="86" t="n">
        <v>2023</v>
      </c>
      <c r="D294" s="5" t="inlineStr">
        <is>
          <t>Outcome not related to interest</t>
        </is>
      </c>
      <c r="E294" s="86" t="n"/>
      <c r="F294" s="86" t="n"/>
      <c r="G294" s="86" t="n"/>
      <c r="H294" s="5" t="n"/>
    </row>
    <row r="295" ht="16" customHeight="1" s="55">
      <c r="A295" s="86" t="inlineStr">
        <is>
          <t>Eye tracking based deep learning analysis for the early detection of diabetic retinopathy: A pilot study</t>
        </is>
      </c>
      <c r="B295" s="86" t="inlineStr">
        <is>
          <t>Jiang, H.</t>
        </is>
      </c>
      <c r="C295" s="86" t="n">
        <v>2023</v>
      </c>
      <c r="D295" s="5" t="inlineStr">
        <is>
          <t>Outcome not related to interest</t>
        </is>
      </c>
      <c r="E295" s="86" t="n"/>
      <c r="F295" s="86" t="n"/>
      <c r="G295" s="86" t="n"/>
      <c r="H295" s="5" t="n"/>
    </row>
    <row r="296" ht="16" customHeight="1" s="55">
      <c r="A296" s="86" t="inlineStr">
        <is>
          <t>Validation of diagnostic accuracy of retinal image grading by trained non-ophthalmologist grader for detecting diabetic retinopathy and diabetic macular edema</t>
        </is>
      </c>
      <c r="B296" s="86" t="inlineStr">
        <is>
          <t>Joseph, S.</t>
        </is>
      </c>
      <c r="C296" s="86" t="n">
        <v>2023</v>
      </c>
      <c r="D296" s="86" t="inlineStr">
        <is>
          <t>Not deep learning</t>
        </is>
      </c>
      <c r="E296" s="86" t="n"/>
      <c r="F296" s="86" t="n"/>
      <c r="G296" s="86" t="n"/>
      <c r="H296" s="86" t="n"/>
    </row>
    <row r="297" ht="16" customHeight="1" s="55">
      <c r="A297" s="86" t="inlineStr">
        <is>
          <t>Multi-Label Retinal Disease Classification Using Transformers</t>
        </is>
      </c>
      <c r="B297" s="86" t="inlineStr">
        <is>
          <t>Rodriguez, M.A.</t>
        </is>
      </c>
      <c r="C297" s="86" t="n">
        <v>2023</v>
      </c>
      <c r="D297" s="5" t="inlineStr">
        <is>
          <t>Outcome not related to interest</t>
        </is>
      </c>
      <c r="E297" s="86" t="n"/>
      <c r="F297" s="86" t="n"/>
      <c r="G297" s="86" t="n"/>
      <c r="H297" s="5" t="n"/>
    </row>
    <row r="298" ht="16" customHeight="1" s="55">
      <c r="A298" s="86" t="inlineStr">
        <is>
          <t>Diagnostic accuracy of an algorithm for automated detection of presence or absence of diabetic retinopathy</t>
        </is>
      </c>
      <c r="B298" s="86" t="inlineStr">
        <is>
          <t>De Jong-Hesse, Y.</t>
        </is>
      </c>
      <c r="C298" s="86" t="n">
        <v>2023</v>
      </c>
      <c r="D298" s="5" t="inlineStr">
        <is>
          <t>Outcome not related to interest</t>
        </is>
      </c>
      <c r="E298" s="86" t="n"/>
      <c r="F298" s="86" t="n"/>
      <c r="G298" s="86" t="n"/>
      <c r="H298" s="5" t="n"/>
    </row>
    <row r="299" ht="16" customHeight="1" s="55">
      <c r="A299" s="86" t="inlineStr">
        <is>
          <t>Ethnic Diversity of Retinal Images Used to Train Artificial Intelligence Models Improves Diagnostic Accuracy to Detect Diabetic Retinopathy</t>
        </is>
      </c>
      <c r="B299" s="86" t="inlineStr">
        <is>
          <t>Jacoba, C.M.P.</t>
        </is>
      </c>
      <c r="C299" s="86" t="n">
        <v>2023</v>
      </c>
      <c r="D299" s="5" t="inlineStr">
        <is>
          <t>Outcome not related to interest</t>
        </is>
      </c>
      <c r="E299" s="86" t="n"/>
      <c r="F299" s="86" t="n"/>
      <c r="G299" s="86" t="n"/>
      <c r="H299" s="5" t="n"/>
    </row>
    <row r="300" ht="16" customHeight="1" s="55">
      <c r="A300" s="86" t="inlineStr">
        <is>
          <t>Multicenter study to validate an artificial intelligence algorithm for the screening of diabetic retinopathy: the CARDS study</t>
        </is>
      </c>
      <c r="B300" s="86" t="inlineStr">
        <is>
          <t>Donate-Lopez, J.</t>
        </is>
      </c>
      <c r="C300" s="86" t="n">
        <v>2023</v>
      </c>
      <c r="D300" s="5" t="inlineStr">
        <is>
          <t>Outcome not related to interest</t>
        </is>
      </c>
      <c r="E300" s="86" t="n"/>
      <c r="F300" s="86" t="n"/>
      <c r="G300" s="86" t="n"/>
      <c r="H300" s="5" t="n"/>
    </row>
    <row r="301" ht="16" customHeight="1" s="55">
      <c r="A301" s="86" t="inlineStr">
        <is>
          <t>Impact of training data diversity on the generality of automated diabetic retinopathy screening in fundus photographs</t>
        </is>
      </c>
      <c r="B301" s="86" t="inlineStr">
        <is>
          <t>Matta, S.</t>
        </is>
      </c>
      <c r="C301" s="86" t="n">
        <v>2023</v>
      </c>
      <c r="D301" s="5" t="inlineStr">
        <is>
          <t>Outcome not related to interest</t>
        </is>
      </c>
      <c r="E301" s="86" t="n"/>
      <c r="F301" s="86" t="n"/>
      <c r="G301" s="86" t="n"/>
      <c r="H301" s="5" t="n"/>
    </row>
    <row r="302" ht="16" customHeight="1" s="55">
      <c r="A302" s="86" t="inlineStr">
        <is>
          <t>Performance of Automated Machine Learning for Predicting Diabetic Retinopathy Progression from Ultrawide Field Retinal Images</t>
        </is>
      </c>
      <c r="B302" s="86" t="inlineStr">
        <is>
          <t>Silva, P.S.</t>
        </is>
      </c>
      <c r="C302" s="86" t="n">
        <v>2023</v>
      </c>
      <c r="D302" s="5" t="inlineStr">
        <is>
          <t>Outcome not related to interest</t>
        </is>
      </c>
      <c r="E302" s="86" t="n"/>
      <c r="F302" s="86" t="n"/>
      <c r="G302" s="86" t="n"/>
      <c r="H302" s="5" t="n"/>
    </row>
    <row r="303" ht="16" customHeight="1" s="55">
      <c r="A303" s="86" t="inlineStr">
        <is>
          <t>Enhanced Recognition system for Diabetic Retinopathy using Machine Learning with Deep Learning Approach</t>
        </is>
      </c>
      <c r="B303" s="86" t="inlineStr">
        <is>
          <t>Pradeep, J.</t>
        </is>
      </c>
      <c r="C303" s="86" t="n">
        <v>2023</v>
      </c>
      <c r="D303" s="5" t="inlineStr">
        <is>
          <t>Outcome not related to interest</t>
        </is>
      </c>
      <c r="E303" s="86" t="n"/>
      <c r="F303" s="86" t="n"/>
      <c r="G303" s="86" t="n"/>
      <c r="H303" s="5" t="n"/>
    </row>
    <row r="304" ht="16" customHeight="1" s="55">
      <c r="A304" s="86" t="inlineStr">
        <is>
          <t>Automatic Classification of Colour Fundus Images for Prediction Eye Disease Types Based on Hybrid Features</t>
        </is>
      </c>
      <c r="B304" s="86" t="inlineStr">
        <is>
          <t>Shamsan, A.</t>
        </is>
      </c>
      <c r="C304" s="86" t="n">
        <v>2023</v>
      </c>
      <c r="D304" s="5" t="inlineStr">
        <is>
          <t>Outcome not related to interest</t>
        </is>
      </c>
      <c r="E304" s="86" t="n"/>
      <c r="F304" s="86" t="n"/>
      <c r="G304" s="86" t="n"/>
      <c r="H304" s="5" t="n"/>
    </row>
    <row r="305" ht="16" customHeight="1" s="55">
      <c r="A305" s="86" t="inlineStr">
        <is>
          <t>Accuracy of Point of Care Artificial Intelligence Grading Using Handheld Retinal Imaging in a Community-based Diabetic Eye Screening Programme</t>
        </is>
      </c>
      <c r="B305" s="86" t="inlineStr">
        <is>
          <t>Salongcay, R.P.</t>
        </is>
      </c>
      <c r="C305" s="86" t="n">
        <v>2023</v>
      </c>
      <c r="D305" s="5" t="inlineStr">
        <is>
          <t>Outcome not related to interest</t>
        </is>
      </c>
      <c r="E305" s="86" t="n"/>
      <c r="F305" s="86" t="n"/>
      <c r="G305" s="86" t="n"/>
      <c r="H305" s="5" t="n"/>
    </row>
    <row r="306" ht="16" customHeight="1" s="55">
      <c r="A306" s="86" t="inlineStr">
        <is>
          <t>Adaptive Comparative Judgement as A Basis for A Machine Learning Algorithm for Diabetic Retinopathy Screening</t>
        </is>
      </c>
      <c r="B306" s="86" t="inlineStr">
        <is>
          <t>Wong, D.</t>
        </is>
      </c>
      <c r="C306" s="86" t="n">
        <v>2023</v>
      </c>
      <c r="D306" s="5" t="inlineStr">
        <is>
          <t>Outcome not related to interest</t>
        </is>
      </c>
      <c r="E306" s="86" t="n"/>
      <c r="F306" s="86" t="n"/>
      <c r="G306" s="86" t="n"/>
      <c r="H306" s="5" t="n"/>
    </row>
    <row r="307" ht="16" customHeight="1" s="55">
      <c r="A307" s="86" t="inlineStr">
        <is>
          <t>Retinal Disease Early Detection using Deep Learning on Ultra-wide-field Fundus Images</t>
        </is>
      </c>
      <c r="B307" s="86" t="inlineStr">
        <is>
          <t>Nguyen, T.D.</t>
        </is>
      </c>
      <c r="C307" s="86" t="n">
        <v>2023</v>
      </c>
      <c r="D307" s="86" t="inlineStr">
        <is>
          <t>Insufficient to constrct confusion matrix</t>
        </is>
      </c>
      <c r="E307" s="86" t="n"/>
      <c r="F307" s="86" t="n"/>
      <c r="G307" s="86" t="n"/>
      <c r="H307" s="86" t="n"/>
    </row>
    <row r="308" ht="16" customHeight="1" s="55">
      <c r="A308" s="86" t="inlineStr">
        <is>
          <t>Automatic classification of retinal diseases with transfer learning-based lightweight convolutional neural network</t>
        </is>
      </c>
      <c r="B308" s="86" t="inlineStr">
        <is>
          <t>Lu, Z.</t>
        </is>
      </c>
      <c r="C308" s="86" t="n">
        <v>2023</v>
      </c>
      <c r="D308" s="5" t="inlineStr">
        <is>
          <t>Outcome not related to interest</t>
        </is>
      </c>
      <c r="E308" s="86" t="n"/>
      <c r="F308" s="86" t="n"/>
      <c r="G308" s="86" t="n"/>
      <c r="H308" s="5" t="n"/>
    </row>
    <row r="309" ht="16" customHeight="1" s="55">
      <c r="A309" s="86" t="inlineStr">
        <is>
          <t>Attention-Driven Cascaded Network for Diabetic Retinopathy Grading from Fundus Images</t>
        </is>
      </c>
      <c r="B309" s="86" t="inlineStr">
        <is>
          <t>Yue, G.</t>
        </is>
      </c>
      <c r="C309" s="86" t="n">
        <v>2023</v>
      </c>
      <c r="D309" s="5" t="inlineStr">
        <is>
          <t>Outcome not related to interest</t>
        </is>
      </c>
      <c r="E309" s="86" t="n"/>
      <c r="F309" s="86" t="n"/>
      <c r="G309" s="86" t="n"/>
      <c r="H309" s="5" t="n"/>
    </row>
    <row r="310" ht="16" customHeight="1" s="55">
      <c r="A310" s="86" t="inlineStr">
        <is>
          <t>Multi-point attention-based semi-supervised learning for diabetic retinopathy classification</t>
        </is>
      </c>
      <c r="B310" s="86" t="inlineStr">
        <is>
          <t>Zhang, C.</t>
        </is>
      </c>
      <c r="C310" s="86" t="n">
        <v>2023</v>
      </c>
      <c r="D310" s="5" t="inlineStr">
        <is>
          <t>Outcome not related to interest</t>
        </is>
      </c>
      <c r="E310" s="86" t="n"/>
      <c r="F310" s="86" t="n"/>
      <c r="G310" s="86" t="n"/>
      <c r="H310" s="5" t="n"/>
    </row>
    <row r="311" ht="16" customHeight="1" s="55">
      <c r="A311" s="86" t="inlineStr">
        <is>
          <t>Discriminative kernel convolution network for multi-label ophthalmic disease detection on imbalanced fundus image dataset</t>
        </is>
      </c>
      <c r="B311" s="86" t="inlineStr">
        <is>
          <t>Bhati, A.</t>
        </is>
      </c>
      <c r="C311" s="86" t="n">
        <v>2023</v>
      </c>
      <c r="D311" s="5" t="inlineStr">
        <is>
          <t>Outcome not related to interest</t>
        </is>
      </c>
      <c r="E311" s="86" t="n"/>
      <c r="F311" s="86" t="n"/>
      <c r="G311" s="86" t="n"/>
      <c r="H311" s="5" t="n"/>
    </row>
    <row r="312" ht="16" customHeight="1" s="55">
      <c r="A312" s="86" t="inlineStr">
        <is>
          <t>SCREENING OF DIABETIC RETINOPATHY WITH AIREEN ARTIFICIAL INTELLIGENCE ALGORITHM PROVIDES SAFE IDENTIFICATION OF PATIENTS SUITABLE FOR EXAMINATION BY OPHTHALMOLOGISTS</t>
        </is>
      </c>
      <c r="B312" s="86" t="inlineStr">
        <is>
          <t>Pr獺zn羸, M.</t>
        </is>
      </c>
      <c r="C312" s="86" t="n">
        <v>2023</v>
      </c>
      <c r="D312" s="86" t="inlineStr">
        <is>
          <t>Repeated article</t>
        </is>
      </c>
      <c r="E312" s="86" t="n"/>
      <c r="F312" s="86" t="n"/>
      <c r="G312" s="86" t="n"/>
      <c r="H312" s="86" t="n"/>
    </row>
    <row r="313" ht="16" customHeight="1" s="55">
      <c r="A313" s="86" t="inlineStr">
        <is>
          <t>USE OF TECHNOLOGY FOR LOW SOCIOECONOMIC STATUS COMMUNITY SCREENING OF DIABETIC RETINOPATHY</t>
        </is>
      </c>
      <c r="B313" s="86" t="inlineStr">
        <is>
          <t>Chawla, M.</t>
        </is>
      </c>
      <c r="C313" s="86" t="n">
        <v>2023</v>
      </c>
      <c r="D313" s="5" t="inlineStr">
        <is>
          <t>Outcome not related to interest</t>
        </is>
      </c>
      <c r="E313" s="86" t="n"/>
      <c r="F313" s="86" t="n"/>
      <c r="G313" s="86" t="n"/>
      <c r="H313" s="5" t="n"/>
    </row>
    <row r="314" ht="16" customHeight="1" s="55">
      <c r="A314" s="86" t="inlineStr">
        <is>
          <t>Hierarchical Fuzzy Expert System for the accurate Detection of Diabetic Retinopathy with more efficient means</t>
        </is>
      </c>
      <c r="B314" s="86" t="inlineStr">
        <is>
          <t>Kumar, K.</t>
        </is>
      </c>
      <c r="C314" s="86" t="n">
        <v>2023</v>
      </c>
      <c r="D314" s="5" t="inlineStr">
        <is>
          <t>Outcome not related to interest</t>
        </is>
      </c>
      <c r="E314" s="86" t="n"/>
      <c r="F314" s="86" t="n"/>
      <c r="G314" s="86" t="n"/>
      <c r="H314" s="5" t="n"/>
    </row>
    <row r="315" ht="16" customHeight="1" s="55">
      <c r="A315" s="86" t="inlineStr">
        <is>
          <t>Classification of diabetic retinopathy based on improved deep forest model</t>
        </is>
      </c>
      <c r="B315" s="86" t="inlineStr">
        <is>
          <t>Qin, X.</t>
        </is>
      </c>
      <c r="C315" s="86" t="n">
        <v>2023</v>
      </c>
      <c r="D315" s="5" t="inlineStr">
        <is>
          <t>Outcome not related to interest</t>
        </is>
      </c>
      <c r="E315" s="86" t="n"/>
      <c r="F315" s="86" t="n"/>
      <c r="G315" s="86" t="n"/>
      <c r="H315" s="5" t="n"/>
    </row>
    <row r="316" ht="16" customHeight="1" s="55">
      <c r="A316" s="86" t="inlineStr">
        <is>
          <t>An intelligent approach for detection and grading of diabetic retinopathy and diabetic macular edema using retinal images</t>
        </is>
      </c>
      <c r="B316" s="86" t="inlineStr">
        <is>
          <t>Nage, P.</t>
        </is>
      </c>
      <c r="C316" s="86" t="n">
        <v>2023</v>
      </c>
      <c r="D316" s="5" t="inlineStr">
        <is>
          <t>Outcome not related to interest</t>
        </is>
      </c>
      <c r="E316" s="86" t="n"/>
      <c r="F316" s="86" t="n"/>
      <c r="G316" s="86" t="n"/>
      <c r="H316" s="5" t="n"/>
    </row>
    <row r="317" ht="16" customHeight="1" s="55">
      <c r="A317" s="86" t="inlineStr">
        <is>
          <t>AHO-MLCNN: archerfish hunting optimisation based modified lightweight CNN for diabetic retinopathy detection</t>
        </is>
      </c>
      <c r="B317" s="86" t="inlineStr">
        <is>
          <t>Desika Vinayaki, V.</t>
        </is>
      </c>
      <c r="C317" s="86" t="n">
        <v>2023</v>
      </c>
      <c r="D317" s="5" t="inlineStr">
        <is>
          <t>Outcome not related to interest</t>
        </is>
      </c>
      <c r="E317" s="86" t="n"/>
      <c r="F317" s="86" t="n"/>
      <c r="G317" s="86" t="n"/>
      <c r="H317" s="5" t="n"/>
    </row>
    <row r="318" ht="16" customHeight="1" s="55">
      <c r="A318" s="86" t="inlineStr">
        <is>
          <t>Intelligent identification and classification of diabetic retinopathy using fuzzy inference system</t>
        </is>
      </c>
      <c r="B318" s="86" t="inlineStr">
        <is>
          <t>Medhi, J.P.</t>
        </is>
      </c>
      <c r="C318" s="86" t="n">
        <v>2023</v>
      </c>
      <c r="D318" s="5" t="inlineStr">
        <is>
          <t>Outcome not related to interest</t>
        </is>
      </c>
      <c r="E318" s="86" t="n"/>
      <c r="F318" s="86" t="n"/>
      <c r="G318" s="86" t="n"/>
      <c r="H318" s="5" t="n"/>
    </row>
    <row r="319" ht="16" customHeight="1" s="55">
      <c r="A319" s="86" t="inlineStr">
        <is>
          <t>U-Net-based gannet sine cosine algorithm enabled lesion segmentation and deep CNN for diabetic retinopathy classification</t>
        </is>
      </c>
      <c r="B319" s="86" t="inlineStr">
        <is>
          <t>Mundada, R.G.</t>
        </is>
      </c>
      <c r="C319" s="86" t="n">
        <v>2023</v>
      </c>
      <c r="D319" s="5" t="inlineStr">
        <is>
          <t>Outcome not related to interest</t>
        </is>
      </c>
      <c r="E319" s="86" t="n"/>
      <c r="F319" s="86" t="n"/>
      <c r="G319" s="86" t="n"/>
      <c r="H319" s="5" t="n"/>
    </row>
    <row r="320" ht="16" customHeight="1" s="55">
      <c r="A320" s="86" t="inlineStr">
        <is>
          <t>A Hybrid Convolutional Neural Network Model for Automatic Diabetic Retinopathy Classification From Fundus Images</t>
        </is>
      </c>
      <c r="B320" s="86" t="inlineStr">
        <is>
          <t>Ali, G.</t>
        </is>
      </c>
      <c r="C320" s="86" t="n">
        <v>2023</v>
      </c>
      <c r="D320" s="5" t="inlineStr">
        <is>
          <t>Outcome not related to interest</t>
        </is>
      </c>
      <c r="E320" s="86" t="n"/>
      <c r="F320" s="86" t="n"/>
      <c r="G320" s="86" t="n"/>
      <c r="H320" s="5" t="n"/>
    </row>
    <row r="321" ht="16" customHeight="1" s="55">
      <c r="A321" s="86" t="inlineStr">
        <is>
          <t>Clinical Validation of a Program for Diagnosing Vision-Threatening Diabetic Retinopathy Based on Automatic Segmentation Algorithms</t>
        </is>
      </c>
      <c r="B321" s="86" t="inlineStr">
        <is>
          <t>Gabaraev, G.M.</t>
        </is>
      </c>
      <c r="C321" s="86" t="n">
        <v>2023</v>
      </c>
      <c r="D321" s="5" t="inlineStr">
        <is>
          <t>Outcome not related to interest</t>
        </is>
      </c>
      <c r="E321" s="86" t="n"/>
      <c r="F321" s="86" t="n"/>
      <c r="G321" s="86" t="n"/>
      <c r="H321" s="5" t="n"/>
    </row>
    <row r="322" ht="16" customHeight="1" s="55">
      <c r="A322" s="86" t="inlineStr">
        <is>
          <t>DEEP LEARNING BASED DIABETIC RETINOPATHY DIAGNOSIS USING RETINAL IMAGE ENHANCEMENT</t>
        </is>
      </c>
      <c r="B322" s="86" t="inlineStr">
        <is>
          <t>Mary Rajee, S.A.</t>
        </is>
      </c>
      <c r="C322" s="86" t="n">
        <v>2023</v>
      </c>
      <c r="D322" s="5" t="inlineStr">
        <is>
          <t>Outcome not related to interest</t>
        </is>
      </c>
      <c r="E322" s="86" t="n"/>
      <c r="F322" s="86" t="n"/>
      <c r="G322" s="86" t="n"/>
      <c r="H322" s="5" t="n"/>
    </row>
    <row r="323" ht="16" customHeight="1" s="55">
      <c r="A323" s="86" t="inlineStr">
        <is>
          <t>The efficacy and cost-effectiveness of a deep-learning system for supporting diabetic macular edema triage screening: a randomised controlled trial</t>
        </is>
      </c>
      <c r="B323" s="86" t="inlineStr">
        <is>
          <t xml:space="preserve">ChiCTR2300075087, </t>
        </is>
      </c>
      <c r="C323" s="86" t="n">
        <v>2023</v>
      </c>
      <c r="D323" s="86" t="n"/>
    </row>
    <row r="324" ht="16" customHeight="1" s="55">
      <c r="A324" s="86" t="inlineStr">
        <is>
          <t>Diabetic Retinopathy Screening Using Artificial Intelligence and Handheld Smartphone-Based Retinal Camera.</t>
        </is>
      </c>
      <c r="B324" s="86" t="inlineStr">
        <is>
          <t>Malerbi, Fernando Korn</t>
        </is>
      </c>
      <c r="C324" s="86" t="n">
        <v>2022</v>
      </c>
      <c r="D324" s="5" t="inlineStr">
        <is>
          <t>Outcome not related to interest</t>
        </is>
      </c>
      <c r="E324" s="86" t="n"/>
      <c r="F324" s="86" t="n"/>
      <c r="G324" s="86" t="n"/>
      <c r="H324" s="5" t="n"/>
    </row>
    <row r="325" ht="16" customHeight="1" s="55">
      <c r="A325" s="86" t="inlineStr">
        <is>
          <t>Clinical validation of an artificial intelligence-based diabetic retinopathy screening tool for a national health system.</t>
        </is>
      </c>
      <c r="B325" s="86" t="inlineStr">
        <is>
          <t>Arenas-Cavalli, Jos矇 Tom獺s</t>
        </is>
      </c>
      <c r="C325" s="86" t="n">
        <v>2022</v>
      </c>
      <c r="D325" s="5" t="inlineStr">
        <is>
          <t>Outcome not related to interest</t>
        </is>
      </c>
      <c r="E325" s="86" t="n"/>
      <c r="F325" s="86" t="n"/>
      <c r="G325" s="86" t="n"/>
      <c r="H325" s="5" t="n"/>
    </row>
    <row r="326" ht="16" customHeight="1" s="55">
      <c r="A326" s="86" t="inlineStr">
        <is>
          <t>Automated feature-based grading and progression analysis of diabetic retinopathy.</t>
        </is>
      </c>
      <c r="B326" s="86" t="inlineStr">
        <is>
          <t>Al-Turk, Lutfiah</t>
        </is>
      </c>
      <c r="C326" s="86" t="n">
        <v>2022</v>
      </c>
      <c r="D326" s="5" t="inlineStr">
        <is>
          <t>Outcome not related to interest</t>
        </is>
      </c>
      <c r="E326" s="86" t="n"/>
      <c r="F326" s="86" t="n"/>
      <c r="G326" s="86" t="n"/>
      <c r="H326" s="5" t="n"/>
    </row>
    <row r="327" ht="16" customHeight="1" s="55">
      <c r="A327" s="86" t="inlineStr">
        <is>
          <t>A Comparison of Artificial Intelligence and Human Diabetic Retinal Image Interpretation in an Urban Health System.</t>
        </is>
      </c>
      <c r="B327" s="86" t="inlineStr">
        <is>
          <t>Mokhashi, Nikita</t>
        </is>
      </c>
      <c r="C327" s="86" t="n">
        <v>2022</v>
      </c>
      <c r="D327" s="5" t="inlineStr">
        <is>
          <t>Outcome not related to interest</t>
        </is>
      </c>
      <c r="E327" s="86" t="n"/>
      <c r="F327" s="86" t="n"/>
      <c r="G327" s="86" t="n"/>
      <c r="H327" s="5" t="n"/>
    </row>
    <row r="328" ht="16" customHeight="1" s="55">
      <c r="A328" s="86" t="inlineStr">
        <is>
          <t>Deep learning-based automated detection for diabetic retinopathy and diabetic macular oedema in retinal fundus photographs.</t>
        </is>
      </c>
      <c r="B328" s="86" t="inlineStr">
        <is>
          <t>Li, Feng</t>
        </is>
      </c>
      <c r="C328" s="86" t="n">
        <v>2022</v>
      </c>
      <c r="D328" s="5" t="inlineStr">
        <is>
          <t>Outcome not related to interest</t>
        </is>
      </c>
      <c r="E328" s="86" t="n"/>
      <c r="F328" s="86" t="n"/>
      <c r="G328" s="86" t="n"/>
      <c r="H328" s="5" t="n"/>
    </row>
    <row r="329" ht="16" customHeight="1" s="55">
      <c r="A329" s="86" t="inlineStr">
        <is>
          <t>Telemedical Diabetic Retinopathy Screening in a Primary Care Setting: Quality of Retinal Photographs and Accuracy of Automated Image Analysis.</t>
        </is>
      </c>
      <c r="B329" s="86" t="inlineStr">
        <is>
          <t>Wintergerst, Maximilian W M</t>
        </is>
      </c>
      <c r="C329" s="86" t="n">
        <v>2022</v>
      </c>
      <c r="D329" s="86" t="n">
        <v>14</v>
      </c>
      <c r="E329" s="86" t="n"/>
      <c r="F329" s="86" t="n"/>
      <c r="G329" s="86" t="n"/>
      <c r="H329" s="86" t="n"/>
    </row>
    <row r="330" ht="16" customHeight="1" s="55">
      <c r="A330" s="86" t="inlineStr">
        <is>
          <t>Joint Learning of Multi-Level Tasks for Diabetic Retinopathy Grading on Low-Resolution Fundus Images.</t>
        </is>
      </c>
      <c r="B330" s="86" t="inlineStr">
        <is>
          <t>Wang, Xiaofei</t>
        </is>
      </c>
      <c r="C330" s="86" t="n">
        <v>2022</v>
      </c>
      <c r="D330" s="5" t="inlineStr">
        <is>
          <t>Outcome not related to interest</t>
        </is>
      </c>
      <c r="E330" s="86" t="n"/>
      <c r="F330" s="86" t="n"/>
      <c r="G330" s="86" t="n"/>
      <c r="H330" s="5" t="n"/>
    </row>
    <row r="331" ht="16" customHeight="1" s="55">
      <c r="A331" s="86" t="inlineStr">
        <is>
          <t>Automated detection of severe diabetic retinopathy using deep learning method.</t>
        </is>
      </c>
      <c r="B331" s="86" t="inlineStr">
        <is>
          <t>Zhang, Xiao</t>
        </is>
      </c>
      <c r="C331" s="86" t="n">
        <v>2022</v>
      </c>
      <c r="D331" s="5" t="inlineStr">
        <is>
          <t>Outcome not related to interest</t>
        </is>
      </c>
      <c r="E331" s="86" t="n"/>
      <c r="F331" s="86" t="n"/>
      <c r="G331" s="86" t="n"/>
      <c r="H331" s="5" t="n"/>
    </row>
    <row r="332" ht="16" customHeight="1" s="55">
      <c r="A332" s="86" t="inlineStr">
        <is>
          <t>Evaluation of a New Neural Network Classifier for Diabetic Retinopathy.</t>
        </is>
      </c>
      <c r="B332" s="86" t="inlineStr">
        <is>
          <t>Katz, Or</t>
        </is>
      </c>
      <c r="C332" s="86" t="n">
        <v>2022</v>
      </c>
      <c r="D332" s="5" t="inlineStr">
        <is>
          <t>Outcome not related to interest</t>
        </is>
      </c>
      <c r="E332" s="86" t="n"/>
      <c r="F332" s="86" t="n"/>
      <c r="G332" s="86" t="n"/>
      <c r="H332" s="5" t="n"/>
    </row>
    <row r="333" ht="16" customHeight="1" s="55">
      <c r="A333" s="86" t="inlineStr">
        <is>
          <t>Efficacy of artificial intelligence-based screening for diabetic retinopathy in type 2 diabetes mellitus patients.</t>
        </is>
      </c>
      <c r="B333" s="86" t="inlineStr">
        <is>
          <t>Pei, Xiaoting</t>
        </is>
      </c>
      <c r="C333" s="86" t="n">
        <v>2022</v>
      </c>
      <c r="D333" s="5" t="inlineStr">
        <is>
          <t>Outcome not related to interest</t>
        </is>
      </c>
      <c r="E333" s="86" t="n"/>
      <c r="F333" s="86" t="n"/>
      <c r="G333" s="86" t="n"/>
      <c r="H333" s="5" t="n"/>
    </row>
    <row r="334" ht="16" customHeight="1" s="55">
      <c r="A334" s="86" t="inlineStr">
        <is>
          <t>Automated detection of diabetic retinopathy using custom convolutional neural network.</t>
        </is>
      </c>
      <c r="B334" s="86" t="inlineStr">
        <is>
          <t>Albahli, Saleh</t>
        </is>
      </c>
      <c r="C334" s="86" t="n">
        <v>2022</v>
      </c>
      <c r="D334" s="86" t="inlineStr">
        <is>
          <t>Insufficient to constrct confusion matrix</t>
        </is>
      </c>
      <c r="E334" s="86" t="n"/>
      <c r="F334" s="86" t="n"/>
      <c r="G334" s="86" t="n"/>
      <c r="H334" s="86" t="n"/>
    </row>
    <row r="335" ht="16" customHeight="1" s="55">
      <c r="A335" s="86" t="inlineStr">
        <is>
          <t>Detecting Anomalies in Retinal Diseases Using Generative, Discriminative, and Self-supervised Deep Learning.</t>
        </is>
      </c>
      <c r="B335" s="86" t="inlineStr">
        <is>
          <t>Burlina, Philippe</t>
        </is>
      </c>
      <c r="C335" s="86" t="n">
        <v>2022</v>
      </c>
      <c r="D335" s="86" t="inlineStr">
        <is>
          <t>Bried report</t>
        </is>
      </c>
      <c r="E335" s="86" t="n"/>
      <c r="F335" s="86" t="n"/>
      <c r="G335" s="86" t="n"/>
      <c r="H335" s="86" t="n"/>
    </row>
    <row r="336" ht="16" customHeight="1" s="55">
      <c r="A336" s="86" t="inlineStr">
        <is>
          <t>A stratified analysis of a deep learning algorithm in the diagnosis of diabetic retinopathy in a real-world study.</t>
        </is>
      </c>
      <c r="B336" s="86" t="inlineStr">
        <is>
          <t>Li, Na</t>
        </is>
      </c>
      <c r="C336" s="86" t="n">
        <v>2022</v>
      </c>
      <c r="D336" s="5" t="inlineStr">
        <is>
          <t>Outcome not related to interest</t>
        </is>
      </c>
      <c r="E336" s="86" t="n"/>
      <c r="F336" s="86" t="n"/>
      <c r="G336" s="86" t="n"/>
      <c r="H336" s="5" t="n"/>
    </row>
    <row r="337" ht="16" customHeight="1" s="55">
      <c r="A337" s="86" t="inlineStr">
        <is>
          <t>Deep long and short term memory based Red Fox optimization algorithm for diabetic retinopathy detection and classification.</t>
        </is>
      </c>
      <c r="B337" s="86" t="inlineStr">
        <is>
          <t>Pugal Priya, Raju</t>
        </is>
      </c>
      <c r="C337" s="86" t="n">
        <v>2022</v>
      </c>
      <c r="D337" s="5" t="inlineStr">
        <is>
          <t>Outcome not related to interest</t>
        </is>
      </c>
      <c r="E337" s="86" t="n"/>
      <c r="F337" s="86" t="n"/>
      <c r="G337" s="86" t="n"/>
      <c r="H337" s="5" t="n"/>
    </row>
    <row r="338" ht="16" customHeight="1" s="55">
      <c r="A338" s="86" t="inlineStr">
        <is>
          <t>Cross-Camera External Validation for Artificial Intelligence Software in Diagnosis of Diabetic Retinopathy.</t>
        </is>
      </c>
      <c r="B338" s="86" t="inlineStr">
        <is>
          <t>Tsai, Meng-Ju</t>
        </is>
      </c>
      <c r="C338" s="86" t="n">
        <v>2022</v>
      </c>
      <c r="D338" s="5" t="inlineStr">
        <is>
          <t>Outcome not related to interest</t>
        </is>
      </c>
      <c r="E338" s="86" t="n"/>
      <c r="F338" s="86" t="n"/>
      <c r="G338" s="86" t="n"/>
      <c r="H338" s="5" t="n"/>
    </row>
    <row r="339" ht="16" customHeight="1" s="55">
      <c r="A339" s="86" t="inlineStr">
        <is>
          <t>Screening of Common Retinal Diseases Using Six-Category Models Based on EfficientNet.</t>
        </is>
      </c>
      <c r="B339" s="86" t="inlineStr">
        <is>
          <t>Zhu, Shaojun</t>
        </is>
      </c>
      <c r="C339" s="86" t="n">
        <v>2022</v>
      </c>
      <c r="D339" s="5" t="inlineStr">
        <is>
          <t>Outcome not related to interest</t>
        </is>
      </c>
      <c r="E339" s="86" t="n"/>
      <c r="F339" s="86" t="n"/>
      <c r="G339" s="86" t="n"/>
      <c r="H339" s="5" t="n"/>
    </row>
    <row r="340" ht="16" customHeight="1" s="55">
      <c r="A340" s="86" t="inlineStr">
        <is>
          <t>Collaborative learning of weakly-supervised domain adaptation for diabetic retinopathy grading on retinal images.</t>
        </is>
      </c>
      <c r="B340" s="86" t="inlineStr">
        <is>
          <t>Cao, Peng</t>
        </is>
      </c>
      <c r="C340" s="86" t="n">
        <v>2022</v>
      </c>
      <c r="D340" s="5" t="inlineStr">
        <is>
          <t>Outcome not related to interest</t>
        </is>
      </c>
      <c r="E340" s="86" t="n"/>
      <c r="F340" s="86" t="n"/>
      <c r="G340" s="86" t="n"/>
      <c r="H340" s="5" t="n"/>
    </row>
    <row r="341" ht="16" customHeight="1" s="55">
      <c r="A341" s="86" t="inlineStr">
        <is>
          <t>Real-time diabetic retinopathy screening by deep learning in a multisite national screening programme: a prospective interventional cohort study.</t>
        </is>
      </c>
      <c r="B341" s="86" t="inlineStr">
        <is>
          <t>Ruamviboonsuk, Paisan</t>
        </is>
      </c>
      <c r="C341" s="86" t="n">
        <v>2022</v>
      </c>
      <c r="D341" s="86" t="n">
        <v>15</v>
      </c>
      <c r="E341" s="86" t="n"/>
      <c r="F341" s="86" t="n"/>
      <c r="G341" s="86" t="n"/>
      <c r="H341" s="86" t="n"/>
    </row>
    <row r="342" ht="16" customHeight="1" s="55">
      <c r="A342" s="86" t="inlineStr">
        <is>
          <t>Untangling Computer-Aided Diagnostic System for Screening Diabetic Retinopathy Based on Deep Learning Techniques.</t>
        </is>
      </c>
      <c r="B342" s="86" t="inlineStr">
        <is>
          <t>Farooq, Muhammad Shoaib</t>
        </is>
      </c>
      <c r="C342" s="86" t="n">
        <v>2022</v>
      </c>
      <c r="D342" s="86" t="inlineStr">
        <is>
          <t>Review</t>
        </is>
      </c>
      <c r="E342" s="86" t="n"/>
      <c r="F342" s="86" t="n"/>
      <c r="G342" s="86" t="n"/>
      <c r="H342" s="86" t="n"/>
    </row>
    <row r="343" ht="16" customHeight="1" s="55">
      <c r="A343" s="86" t="inlineStr">
        <is>
          <t>Multimodal image encoding pre-training for diabetic retinopathy grading.</t>
        </is>
      </c>
      <c r="B343" s="86" t="inlineStr">
        <is>
          <t>Hervella, lvaro S</t>
        </is>
      </c>
      <c r="C343" s="86" t="n">
        <v>2022</v>
      </c>
      <c r="D343" s="5" t="inlineStr">
        <is>
          <t>Outcome not related to interest</t>
        </is>
      </c>
      <c r="E343" s="86" t="n"/>
      <c r="F343" s="86" t="n"/>
      <c r="G343" s="86" t="n"/>
      <c r="H343" s="5" t="n"/>
    </row>
    <row r="344" ht="16" customHeight="1" s="55">
      <c r="A344" s="86" t="inlineStr">
        <is>
          <t>Identification of Diabetic Retinopathy Using Weighted Fusion Deep Learning Based on Dual-Channel Fundus Scans.</t>
        </is>
      </c>
      <c r="B344" s="86" t="inlineStr">
        <is>
          <t>Nneji, Grace Ugochi</t>
        </is>
      </c>
      <c r="C344" s="86" t="n">
        <v>2022</v>
      </c>
      <c r="D344" s="5" t="inlineStr">
        <is>
          <t>Outcome not related to interest</t>
        </is>
      </c>
      <c r="E344" s="86" t="n"/>
      <c r="F344" s="86" t="n"/>
      <c r="G344" s="86" t="n"/>
      <c r="H344" s="5" t="n"/>
    </row>
    <row r="345" ht="16" customHeight="1" s="55">
      <c r="A345" s="86" t="inlineStr">
        <is>
          <t>Necessity of Local Modification for Deep Learning Algorithms to Predict Diabetic Retinopathy.</t>
        </is>
      </c>
      <c r="B345" s="86" t="inlineStr">
        <is>
          <t>Tsai, Ching-Yao</t>
        </is>
      </c>
      <c r="C345" s="86" t="n">
        <v>2022</v>
      </c>
      <c r="D345" s="5" t="inlineStr">
        <is>
          <t>Outcome not related to interest</t>
        </is>
      </c>
      <c r="E345" s="86" t="n"/>
      <c r="F345" s="86" t="n"/>
      <c r="G345" s="86" t="n"/>
      <c r="H345" s="5" t="n"/>
    </row>
    <row r="346" ht="16" customHeight="1" s="55">
      <c r="A346" s="86" t="inlineStr">
        <is>
          <t>Evaluating a Deep Learning Diabetic Retinopathy Grading System Developed on Mydriatic Retinal Images When Applied to Non-Mydriatic Community Screening.</t>
        </is>
      </c>
      <c r="B346" s="86" t="inlineStr">
        <is>
          <t>Nunez do Rio, Joan M</t>
        </is>
      </c>
      <c r="C346" s="86" t="n">
        <v>2022</v>
      </c>
      <c r="D346" s="5" t="inlineStr">
        <is>
          <t>Outcome not related to interest</t>
        </is>
      </c>
      <c r="E346" s="86" t="n"/>
      <c r="F346" s="86" t="n"/>
      <c r="G346" s="86" t="n"/>
      <c r="H346" s="5" t="n"/>
    </row>
    <row r="347" ht="16" customHeight="1" s="55">
      <c r="A347" s="86" t="inlineStr">
        <is>
          <t>Comparison of early diabetic retinopathy staging in asymptomatic patients between autonomous AI-based screening and human-graded ultra-widefield colour fundus images.</t>
        </is>
      </c>
      <c r="B347" s="86" t="inlineStr">
        <is>
          <t>Sedova, Aleksandra</t>
        </is>
      </c>
      <c r="C347" s="86" t="n">
        <v>2022</v>
      </c>
      <c r="D347" s="5" t="inlineStr">
        <is>
          <t>Outcome not related to interest</t>
        </is>
      </c>
      <c r="E347" s="86" t="n"/>
      <c r="F347" s="86" t="n"/>
      <c r="G347" s="86" t="n"/>
      <c r="H347" s="5" t="n"/>
    </row>
    <row r="348" ht="16" customHeight="1" s="55">
      <c r="A348" s="86" t="inlineStr">
        <is>
          <t>Multithreshold Image Segmentation Technique Using Remora Optimization Algorithm for Diabetic Retinopathy Detection from Fundus Images.</t>
        </is>
      </c>
      <c r="B348" s="86" t="inlineStr">
        <is>
          <t>Vinayaki, V Desika</t>
        </is>
      </c>
      <c r="C348" s="86" t="n">
        <v>2022</v>
      </c>
      <c r="D348" s="5" t="inlineStr">
        <is>
          <t>Outcome not related to interest</t>
        </is>
      </c>
      <c r="E348" s="86" t="n"/>
      <c r="F348" s="86" t="n"/>
      <c r="G348" s="86" t="n"/>
      <c r="H348" s="5" t="n"/>
    </row>
    <row r="349" ht="16" customHeight="1" s="55">
      <c r="A349" s="86" t="inlineStr">
        <is>
          <t>[Use of artificial intelligence in screening for diabetic retinopathy at atertiary diabetes center].</t>
        </is>
      </c>
      <c r="B349" s="86" t="inlineStr">
        <is>
          <t>Paul, Sebastian</t>
        </is>
      </c>
      <c r="C349" s="86" t="n">
        <v>2022</v>
      </c>
      <c r="D349" s="5" t="inlineStr">
        <is>
          <t>Outcome not related to interest</t>
        </is>
      </c>
      <c r="E349" s="86" t="n"/>
      <c r="F349" s="86" t="n"/>
      <c r="G349" s="86" t="n"/>
      <c r="H349" s="5" t="n"/>
    </row>
    <row r="350" ht="16" customHeight="1" s="55">
      <c r="A350" s="86" t="inlineStr">
        <is>
          <t>End-to-end diabetic retinopathy grading based on fundus fluorescein angiography images using deep learning.</t>
        </is>
      </c>
      <c r="B350" s="86" t="inlineStr">
        <is>
          <t>Gao, Zhiyuan</t>
        </is>
      </c>
      <c r="C350" s="86" t="n">
        <v>2022</v>
      </c>
      <c r="D350" s="86" t="inlineStr">
        <is>
          <t>Fundus Fluorescein Angiography</t>
        </is>
      </c>
      <c r="E350" s="86" t="n"/>
      <c r="F350" s="86" t="n"/>
      <c r="G350" s="86" t="n"/>
      <c r="H350" s="86" t="n"/>
    </row>
    <row r="351" ht="16" customHeight="1" s="55">
      <c r="A351" s="86" t="inlineStr">
        <is>
          <t>Applying supervised contrastive learning for the detection of diabetic retinopathy and its severity levels from fundus images.</t>
        </is>
      </c>
      <c r="B351" s="86" t="inlineStr">
        <is>
          <t>Islam, Md Robiul</t>
        </is>
      </c>
      <c r="C351" s="86" t="n">
        <v>2022</v>
      </c>
      <c r="D351" s="5" t="inlineStr">
        <is>
          <t>Outcome not related to interest</t>
        </is>
      </c>
      <c r="E351" s="86" t="n"/>
      <c r="F351" s="86" t="n"/>
      <c r="G351" s="86" t="n"/>
      <c r="H351" s="5" t="n"/>
    </row>
    <row r="352" ht="16" customHeight="1" s="55">
      <c r="A352" s="86" t="inlineStr">
        <is>
          <t>Handheld Fundus Camera for Diabetic Retinopathy Screening: A Comparison Study with Table-Top Fundus Camera in Real-Life Setting.</t>
        </is>
      </c>
      <c r="B352" s="86" t="inlineStr">
        <is>
          <t>Midena, Edoardo</t>
        </is>
      </c>
      <c r="C352" s="86" t="n">
        <v>2022</v>
      </c>
      <c r="D352" s="86" t="inlineStr">
        <is>
          <t>Not deep learning</t>
        </is>
      </c>
      <c r="E352" s="86" t="n"/>
      <c r="F352" s="86" t="n"/>
      <c r="G352" s="86" t="n"/>
      <c r="H352" s="86" t="n"/>
    </row>
    <row r="353" ht="16" customHeight="1" s="55">
      <c r="A353" s="86" t="inlineStr">
        <is>
          <t>A computer-aided diagnosis system for detecting various diabetic retinopathy grades based on a hybrid deep learning technique.</t>
        </is>
      </c>
      <c r="B353" s="86" t="inlineStr">
        <is>
          <t>AbdelMaksoud, Eman</t>
        </is>
      </c>
      <c r="C353" s="86" t="n">
        <v>2022</v>
      </c>
      <c r="D353" s="5" t="inlineStr">
        <is>
          <t>Outcome not related to interest</t>
        </is>
      </c>
      <c r="E353" s="86" t="n"/>
      <c r="F353" s="86" t="n"/>
      <c r="G353" s="86" t="n"/>
      <c r="H353" s="5" t="n"/>
    </row>
    <row r="354" ht="16" customHeight="1" s="55">
      <c r="A354" s="86" t="inlineStr">
        <is>
          <t>Retinopathy grading with deep learning and wavelet hyper-analytic activations.</t>
        </is>
      </c>
      <c r="B354" s="86" t="inlineStr">
        <is>
          <t>Chandrasekaran, Raja</t>
        </is>
      </c>
      <c r="C354" s="86" t="n">
        <v>2022</v>
      </c>
      <c r="D354" s="86" t="inlineStr">
        <is>
          <t>Insufficient to constrct confusion matrix</t>
        </is>
      </c>
      <c r="E354" s="86" t="n"/>
      <c r="F354" s="86" t="n"/>
      <c r="G354" s="86" t="n"/>
      <c r="H354" s="86" t="n"/>
    </row>
    <row r="355" ht="16" customHeight="1" s="55">
      <c r="A355" s="86" t="inlineStr">
        <is>
          <t>Diabetic Retinopathy Grading by Deep Graph Correlation Network on Retinal Images Without Manual Annotations.</t>
        </is>
      </c>
      <c r="B355" s="86" t="inlineStr">
        <is>
          <t>Zhang, Guanghua</t>
        </is>
      </c>
      <c r="C355" s="86" t="n">
        <v>2022</v>
      </c>
      <c r="D355" s="86" t="n">
        <v>16</v>
      </c>
      <c r="E355" s="86" t="n"/>
      <c r="F355" s="86" t="n"/>
      <c r="G355" s="86" t="n"/>
      <c r="H355" s="86" t="n"/>
    </row>
    <row r="356" ht="16" customHeight="1" s="55">
      <c r="A356" s="86" t="inlineStr">
        <is>
          <t>Evaluation of an Artificial Intelligence System for the Detection of Diabetic Retinopathy in Chinese Community Healthcare Centers.</t>
        </is>
      </c>
      <c r="B356" s="86" t="inlineStr">
        <is>
          <t>Dong, Xiuqing</t>
        </is>
      </c>
      <c r="C356" s="86" t="n">
        <v>2022</v>
      </c>
      <c r="D356" s="5" t="inlineStr">
        <is>
          <t>Outcome not related to interest</t>
        </is>
      </c>
      <c r="E356" s="86" t="n"/>
      <c r="F356" s="86" t="n"/>
      <c r="G356" s="86" t="n"/>
      <c r="H356" s="5" t="n"/>
    </row>
    <row r="357" ht="16" customHeight="1" s="55">
      <c r="A357" s="86" t="inlineStr">
        <is>
          <t>A new handheld fundus camera combined with visual artificial intelligence facilitates diabetic retinopathy screening.</t>
        </is>
      </c>
      <c r="B357" s="86" t="inlineStr">
        <is>
          <t>Ruan, Shang</t>
        </is>
      </c>
      <c r="C357" s="86" t="n">
        <v>2022</v>
      </c>
      <c r="D357" s="5" t="inlineStr">
        <is>
          <t>Outcome not related to interest</t>
        </is>
      </c>
      <c r="E357" s="86" t="n"/>
      <c r="F357" s="86" t="n"/>
      <c r="G357" s="86" t="n"/>
      <c r="H357" s="5" t="n"/>
    </row>
    <row r="358" ht="16" customHeight="1" s="55">
      <c r="A358" s="86" t="inlineStr">
        <is>
          <t>Augmentation-Consistent Clustering Network for Diabetic Retinopathy Grading with Fewer Annotations.</t>
        </is>
      </c>
      <c r="B358" s="86" t="inlineStr">
        <is>
          <t>Zhang, Guanghua</t>
        </is>
      </c>
      <c r="C358" s="86" t="n">
        <v>2022</v>
      </c>
      <c r="D358" s="5" t="inlineStr">
        <is>
          <t>Outcome not related to interest</t>
        </is>
      </c>
      <c r="E358" s="86" t="n"/>
      <c r="F358" s="86" t="n"/>
      <c r="G358" s="86" t="n"/>
      <c r="H358" s="5" t="n"/>
    </row>
    <row r="359" ht="16" customHeight="1" s="55">
      <c r="A359" s="86" t="inlineStr">
        <is>
          <t>A unified technique for entropy enhancement based diabetic retinopathy detection using hybrid neural network.</t>
        </is>
      </c>
      <c r="B359" s="86" t="inlineStr">
        <is>
          <t xml:space="preserve">Fatima, </t>
        </is>
      </c>
      <c r="C359" s="86" t="n">
        <v>2022</v>
      </c>
      <c r="D359" s="5" t="inlineStr">
        <is>
          <t>Outcome not related to interest</t>
        </is>
      </c>
      <c r="E359" s="86" t="n"/>
      <c r="F359" s="86" t="n"/>
      <c r="G359" s="86" t="n"/>
      <c r="H359" s="5" t="n"/>
    </row>
    <row r="360" ht="16" customHeight="1" s="55">
      <c r="A360" s="86" t="inlineStr">
        <is>
          <t>Lesion-attention pyramid network for diabetic retinopathy grading.</t>
        </is>
      </c>
      <c r="B360" s="86" t="inlineStr">
        <is>
          <t>Li, Xiang</t>
        </is>
      </c>
      <c r="C360" s="86" t="n">
        <v>2022</v>
      </c>
      <c r="D360" s="5" t="inlineStr">
        <is>
          <t>Outcome not related to interest</t>
        </is>
      </c>
      <c r="E360" s="86" t="n"/>
      <c r="F360" s="86" t="n"/>
      <c r="G360" s="86" t="n"/>
      <c r="H360" s="5" t="n"/>
    </row>
    <row r="361" ht="16" customHeight="1" s="55">
      <c r="A361" s="86" t="inlineStr">
        <is>
          <t>Automated image curation in diabetic retinopathy screening using deep learning.</t>
        </is>
      </c>
      <c r="B361" s="86" t="inlineStr">
        <is>
          <t>Nderitu, Paul</t>
        </is>
      </c>
      <c r="C361" s="86" t="n">
        <v>2022</v>
      </c>
      <c r="D361" s="5" t="inlineStr">
        <is>
          <t>Outcome not related to interest</t>
        </is>
      </c>
      <c r="E361" s="86" t="n"/>
      <c r="F361" s="86" t="n"/>
      <c r="G361" s="86" t="n"/>
      <c r="H361" s="5" t="n"/>
    </row>
    <row r="362" ht="16" customHeight="1" s="55">
      <c r="A362" s="86" t="inlineStr">
        <is>
          <t>Optimized convolution neural network based multiple eye disease detection.</t>
        </is>
      </c>
      <c r="B362" s="86" t="inlineStr">
        <is>
          <t>Glaret Subin, P</t>
        </is>
      </c>
      <c r="C362" s="86" t="n">
        <v>2022</v>
      </c>
      <c r="D362" s="5" t="inlineStr">
        <is>
          <t>Outcome not related to interest</t>
        </is>
      </c>
      <c r="E362" s="86" t="n"/>
      <c r="F362" s="86" t="n"/>
      <c r="G362" s="86" t="n"/>
      <c r="H362" s="5" t="n"/>
    </row>
    <row r="363" ht="16" customHeight="1" s="55">
      <c r="A363" s="86" t="inlineStr">
        <is>
          <t>Automatic Detection of Abnormalities and Grading of Diabetic Retinopathy in 6-Field Retinal Images: Integration of Segmentation Into Classification.</t>
        </is>
      </c>
      <c r="B363" s="86" t="inlineStr">
        <is>
          <t>Andersen, Jakob K H</t>
        </is>
      </c>
      <c r="C363" s="86" t="n">
        <v>2022</v>
      </c>
      <c r="D363" s="5" t="inlineStr">
        <is>
          <t>Outcome not related to interest</t>
        </is>
      </c>
      <c r="E363" s="86" t="n"/>
      <c r="F363" s="86" t="n"/>
      <c r="G363" s="86" t="n"/>
      <c r="H363" s="5" t="n"/>
    </row>
    <row r="364" ht="16" customHeight="1" s="55">
      <c r="A364" s="86" t="inlineStr">
        <is>
          <t>Prediction of Diabetes through Retinal Images Using Deep Neural Network.</t>
        </is>
      </c>
      <c r="B364" s="86" t="inlineStr">
        <is>
          <t>Ragab, Mahmoud</t>
        </is>
      </c>
      <c r="C364" s="86" t="n">
        <v>2022</v>
      </c>
      <c r="D364" s="5" t="inlineStr">
        <is>
          <t>Outcome not related to interest</t>
        </is>
      </c>
      <c r="E364" s="86" t="n"/>
      <c r="F364" s="86" t="n"/>
      <c r="G364" s="86" t="n"/>
      <c r="H364" s="5" t="n"/>
    </row>
    <row r="365" ht="16" customHeight="1" s="55">
      <c r="A365" s="86" t="inlineStr">
        <is>
          <t>Variability of Grading DR Screening Images among Non-Trained Retina Specialists.</t>
        </is>
      </c>
      <c r="B365" s="86" t="inlineStr">
        <is>
          <t>Grzybowski, Andrzej</t>
        </is>
      </c>
      <c r="C365" s="86" t="n">
        <v>2022</v>
      </c>
      <c r="D365" s="86" t="inlineStr">
        <is>
          <t>Insufficient to constrct confusion matrix</t>
        </is>
      </c>
      <c r="E365" s="86" t="n"/>
      <c r="F365" s="86" t="n"/>
      <c r="G365" s="86" t="n"/>
      <c r="H365" s="86" t="n"/>
    </row>
    <row r="366" ht="16" customHeight="1" s="55">
      <c r="A366" s="86" t="inlineStr">
        <is>
          <t>Automatic Diagnosis of Diabetic Retinopathy from Fundus Images Using Neuro-Evolutionary Algorithms.</t>
        </is>
      </c>
      <c r="B366" s="86" t="inlineStr">
        <is>
          <t>Aquino-Br穩tez, Diego</t>
        </is>
      </c>
      <c r="C366" s="86" t="n">
        <v>2022</v>
      </c>
      <c r="D366" s="5" t="inlineStr">
        <is>
          <t>Outcome not related to interest</t>
        </is>
      </c>
      <c r="E366" s="86" t="n"/>
      <c r="F366" s="86" t="n"/>
      <c r="G366" s="86" t="n"/>
      <c r="H366" s="5" t="n"/>
    </row>
    <row r="367" ht="16" customHeight="1" s="55">
      <c r="A367" s="86" t="inlineStr">
        <is>
          <t>Enhancement of Detection of Diabetic Retinopathy Using Harris Hawks Optimization with Deep Learning Model.</t>
        </is>
      </c>
      <c r="B367" s="86" t="inlineStr">
        <is>
          <t>Gundluru, Nagaraja</t>
        </is>
      </c>
      <c r="C367" s="86" t="n">
        <v>2022</v>
      </c>
      <c r="D367" s="5" t="inlineStr">
        <is>
          <t>Outcome not related to interest</t>
        </is>
      </c>
      <c r="E367" s="86" t="n"/>
      <c r="F367" s="86" t="n"/>
      <c r="G367" s="86" t="n"/>
      <c r="H367" s="5" t="n"/>
    </row>
    <row r="368" ht="16" customHeight="1" s="55">
      <c r="A368" s="86" t="inlineStr">
        <is>
          <t>The Validation of Deep Learning-Based Grading Model for Diabetic Retinopathy.</t>
        </is>
      </c>
      <c r="B368" s="86" t="inlineStr">
        <is>
          <t>Zhang, Wen-Fei</t>
        </is>
      </c>
      <c r="C368" s="86" t="n">
        <v>2022</v>
      </c>
      <c r="D368" s="5" t="inlineStr">
        <is>
          <t>Outcome not related to interest</t>
        </is>
      </c>
      <c r="E368" s="86" t="n"/>
      <c r="F368" s="86" t="n"/>
      <c r="G368" s="86" t="n"/>
      <c r="H368" s="5" t="n"/>
    </row>
    <row r="369" ht="16" customHeight="1" s="55">
      <c r="A369" s="86" t="inlineStr">
        <is>
          <t>Transfer Learning-Based Model for Diabetic Retinopathy Diagnosis Using Retinal Images.</t>
        </is>
      </c>
      <c r="B369" s="86" t="inlineStr">
        <is>
          <t>Jabbar, Muhammad Kashif</t>
        </is>
      </c>
      <c r="C369" s="86" t="n">
        <v>2022</v>
      </c>
      <c r="D369" s="5" t="inlineStr">
        <is>
          <t>Outcome not related to interest</t>
        </is>
      </c>
      <c r="E369" s="86" t="n"/>
      <c r="F369" s="86" t="n"/>
      <c r="G369" s="86" t="n"/>
      <c r="H369" s="5" t="n"/>
    </row>
    <row r="370" ht="16" customHeight="1" s="55">
      <c r="A370" s="86" t="inlineStr">
        <is>
          <t>Application and observation of artificial intelligence in clinical practice of fundus screening for diabetic retinopathy with non-mydriatic fundus photography: a retrospective observational study of T2DM patients in Tianjin, China.</t>
        </is>
      </c>
      <c r="B370" s="86" t="inlineStr">
        <is>
          <t>Hao, Zhaohu</t>
        </is>
      </c>
      <c r="C370" s="86" t="n">
        <v>2022</v>
      </c>
      <c r="D370" s="86" t="inlineStr">
        <is>
          <t>Fundus Fluorescein Angiography</t>
        </is>
      </c>
      <c r="E370" s="86" t="n"/>
      <c r="F370" s="86" t="n"/>
      <c r="G370" s="86" t="n"/>
      <c r="H370" s="86" t="n"/>
    </row>
    <row r="371" ht="16" customHeight="1" s="55">
      <c r="A371" s="86" t="inlineStr">
        <is>
          <t>Diabetic retinopathy screening using deep learning for multi-class imbalanced datasets.</t>
        </is>
      </c>
      <c r="B371" s="86" t="inlineStr">
        <is>
          <t>Saini, Manisha</t>
        </is>
      </c>
      <c r="C371" s="86" t="n">
        <v>2022</v>
      </c>
      <c r="D371" s="86" t="inlineStr">
        <is>
          <t>Insufficient to constrct confusion matrix</t>
        </is>
      </c>
      <c r="E371" s="86" t="n"/>
      <c r="F371" s="86" t="n"/>
      <c r="G371" s="86" t="n"/>
      <c r="H371" s="86" t="n"/>
    </row>
    <row r="372" ht="16" customHeight="1" s="55">
      <c r="A372" s="86" t="inlineStr">
        <is>
          <t>Automated Diabetic Retinopathy Detection Using Horizontal and Vertical Patch Division-Based Pre-Trained DenseNET with Digital Fundus Images.</t>
        </is>
      </c>
      <c r="B372" s="86" t="inlineStr">
        <is>
          <t>Kobat, Sabiha Gungor</t>
        </is>
      </c>
      <c r="C372" s="86" t="n">
        <v>2022</v>
      </c>
      <c r="D372" s="5" t="inlineStr">
        <is>
          <t>Outcome not related to interest</t>
        </is>
      </c>
      <c r="E372" s="86" t="n"/>
      <c r="F372" s="86" t="n"/>
      <c r="G372" s="86" t="n"/>
      <c r="H372" s="5" t="n"/>
    </row>
    <row r="373" ht="16" customHeight="1" s="55">
      <c r="A373" s="86" t="inlineStr">
        <is>
          <t>Towards a Device Agnostic AI for Diabetic Retinopathy Screening: An External Validation Study.</t>
        </is>
      </c>
      <c r="B373" s="86" t="inlineStr">
        <is>
          <t>Rao, Divya Parthasarathy</t>
        </is>
      </c>
      <c r="C373" s="86" t="n">
        <v>2022</v>
      </c>
      <c r="D373" s="5" t="inlineStr">
        <is>
          <t>Outcome not related to interest</t>
        </is>
      </c>
      <c r="E373" s="86" t="n"/>
      <c r="F373" s="86" t="n"/>
      <c r="G373" s="86" t="n"/>
      <c r="H373" s="5" t="n"/>
    </row>
    <row r="374" ht="16" customHeight="1" s="55">
      <c r="A374" s="86" t="inlineStr">
        <is>
          <t>Diabetic Retinopathy Telemedicine Outcomes With Artificial Intelligence-Based Image Analysis, Reflex Dilation, and Image Overread.</t>
        </is>
      </c>
      <c r="B374" s="86" t="inlineStr">
        <is>
          <t>Mehra, Ankur A</t>
        </is>
      </c>
      <c r="C374" s="86" t="n">
        <v>2022</v>
      </c>
      <c r="D374" s="5" t="inlineStr">
        <is>
          <t>Outcome not related to interest</t>
        </is>
      </c>
      <c r="E374" s="86" t="n"/>
      <c r="F374" s="86" t="n"/>
      <c r="G374" s="86" t="n"/>
      <c r="H374" s="5" t="n"/>
    </row>
    <row r="375" ht="16" customHeight="1" s="55">
      <c r="A375" s="86" t="inlineStr">
        <is>
          <t>FunSwin: A deep learning method to analysis diabetic retinopathy grade and macular edema risk based on fundus images.</t>
        </is>
      </c>
      <c r="B375" s="86" t="inlineStr">
        <is>
          <t>Yao, Zhaomin</t>
        </is>
      </c>
      <c r="C375" s="86" t="n">
        <v>2022</v>
      </c>
      <c r="D375" s="5" t="inlineStr">
        <is>
          <t>Outcome not related to interest</t>
        </is>
      </c>
      <c r="E375" s="86" t="n"/>
      <c r="F375" s="86" t="n"/>
      <c r="G375" s="86" t="n"/>
      <c r="H375" s="5" t="n"/>
    </row>
    <row r="376" ht="16" customHeight="1" s="55">
      <c r="A376" s="86" t="inlineStr">
        <is>
          <t>Semi-supervised classification of fundus images combined with CNN and GCN.</t>
        </is>
      </c>
      <c r="B376" s="86" t="inlineStr">
        <is>
          <t>Duan, Sixu</t>
        </is>
      </c>
      <c r="C376" s="86" t="n">
        <v>2022</v>
      </c>
      <c r="D376" s="5" t="inlineStr">
        <is>
          <t>Outcome not related to interest</t>
        </is>
      </c>
      <c r="E376" s="86" t="n"/>
      <c r="F376" s="86" t="n"/>
      <c r="G376" s="86" t="n"/>
      <c r="H376" s="5" t="n"/>
    </row>
    <row r="377" ht="16" customHeight="1" s="55">
      <c r="A377" s="86" t="inlineStr">
        <is>
          <t>Validating automated eye disease screening AI algorithm in community and in-hospital scenarios.</t>
        </is>
      </c>
      <c r="B377" s="86" t="inlineStr">
        <is>
          <t>Han, Ruoan</t>
        </is>
      </c>
      <c r="C377" s="86" t="n">
        <v>2022</v>
      </c>
      <c r="D377" s="5" t="inlineStr">
        <is>
          <t>Outcome not related to interest</t>
        </is>
      </c>
      <c r="E377" s="86" t="n"/>
      <c r="F377" s="86" t="n"/>
      <c r="G377" s="86" t="n"/>
      <c r="H377" s="5" t="n"/>
    </row>
    <row r="378" ht="16" customHeight="1" s="55">
      <c r="A378" s="86" t="inlineStr">
        <is>
          <t>PADAr: physician-oriented artificial intelligence-facilitating diagnosis aid for retinal diseases.</t>
        </is>
      </c>
      <c r="B378" s="86" t="inlineStr">
        <is>
          <t>Lin, Po-Kang</t>
        </is>
      </c>
      <c r="C378" s="86" t="n">
        <v>2022</v>
      </c>
      <c r="D378" s="5" t="inlineStr">
        <is>
          <t>Outcome not related to interest</t>
        </is>
      </c>
      <c r="E378" s="86" t="n"/>
      <c r="F378" s="86" t="n"/>
      <c r="G378" s="86" t="n"/>
      <c r="H378" s="5" t="n"/>
    </row>
    <row r="379" ht="16" customHeight="1" s="55">
      <c r="A379" s="86" t="inlineStr">
        <is>
          <t>Automated multidimensional deep learning platform for referable diabetic retinopathy detection: a multicentre, retrospective study.</t>
        </is>
      </c>
      <c r="B379" s="86" t="inlineStr">
        <is>
          <t>Zhang, Guihua</t>
        </is>
      </c>
      <c r="C379" s="86" t="n">
        <v>2022</v>
      </c>
      <c r="D379" s="5" t="inlineStr">
        <is>
          <t>Outcome not related to interest</t>
        </is>
      </c>
      <c r="E379" s="86" t="n"/>
      <c r="F379" s="86" t="n"/>
      <c r="G379" s="86" t="n"/>
      <c r="H379" s="5" t="n"/>
    </row>
    <row r="380" ht="16" customHeight="1" s="55">
      <c r="A380" s="86" t="inlineStr">
        <is>
          <t>Diabetic Retinopathy Detection from Fundus Images of the Eye Using Hybrid Deep Learning Features.</t>
        </is>
      </c>
      <c r="B380" s="86" t="inlineStr">
        <is>
          <t>Butt, Muhammad Mohsin</t>
        </is>
      </c>
      <c r="C380" s="86" t="n">
        <v>2022</v>
      </c>
      <c r="D380" s="5" t="inlineStr">
        <is>
          <t>Outcome not related to interest</t>
        </is>
      </c>
      <c r="E380" s="86" t="n"/>
      <c r="F380" s="86" t="n"/>
      <c r="G380" s="86" t="n"/>
      <c r="H380" s="5" t="n"/>
    </row>
    <row r="381" ht="16" customHeight="1" s="55">
      <c r="A381" s="86" t="inlineStr">
        <is>
          <t>A Multicenter Clinical Study of the Automated Fundus Screening Algorithm.</t>
        </is>
      </c>
      <c r="B381" s="86" t="inlineStr">
        <is>
          <t>Li, Fei</t>
        </is>
      </c>
      <c r="C381" s="86" t="n">
        <v>2022</v>
      </c>
      <c r="D381" s="86" t="n">
        <v>17</v>
      </c>
      <c r="E381" s="86" t="n"/>
      <c r="F381" s="86" t="n"/>
      <c r="G381" s="86" t="n"/>
      <c r="H381" s="86" t="n"/>
    </row>
    <row r="382" ht="16" customHeight="1" s="55">
      <c r="A382" s="86" t="inlineStr">
        <is>
          <t>An active learning method for diabetic retinopathy classification with uncertainty quantification.</t>
        </is>
      </c>
      <c r="B382" s="86" t="inlineStr">
        <is>
          <t>Ahsan, Muhammad Ahtazaz</t>
        </is>
      </c>
      <c r="C382" s="86" t="n">
        <v>2022</v>
      </c>
      <c r="D382" s="5" t="inlineStr">
        <is>
          <t>Outcome not related to interest</t>
        </is>
      </c>
      <c r="E382" s="86" t="n"/>
      <c r="F382" s="86" t="n"/>
      <c r="G382" s="86" t="n"/>
      <c r="H382" s="5" t="n"/>
    </row>
    <row r="383" ht="16" customHeight="1" s="55">
      <c r="A383" s="86" t="inlineStr">
        <is>
          <t>Application of artificial intelligence-based dual-modality analysis combining fundus photography and optical coherence tomography in diabetic retinopathy screening in a community hospital.</t>
        </is>
      </c>
      <c r="B383" s="86" t="inlineStr">
        <is>
          <t>Liu, Rui</t>
        </is>
      </c>
      <c r="C383" s="86" t="n">
        <v>2022</v>
      </c>
      <c r="D383" s="5" t="inlineStr">
        <is>
          <t>Outcome not related to interest</t>
        </is>
      </c>
      <c r="E383" s="86" t="n"/>
      <c r="F383" s="86" t="n"/>
      <c r="G383" s="86" t="n"/>
      <c r="H383" s="5" t="n"/>
    </row>
    <row r="384" ht="16" customHeight="1" s="55">
      <c r="A384" s="86" t="inlineStr">
        <is>
          <t>Influence of Different Types of Retinal Cameras on the Performance of Deep Learning Algorithms in Diabetic Retinopathy Screening.</t>
        </is>
      </c>
      <c r="B384" s="86" t="inlineStr">
        <is>
          <t>Srinivasan, Ramyaa</t>
        </is>
      </c>
      <c r="C384" s="86" t="n">
        <v>2022</v>
      </c>
      <c r="D384" s="86" t="inlineStr">
        <is>
          <t>Insufficient to constrct confusion matrix</t>
        </is>
      </c>
      <c r="E384" s="86" t="n"/>
      <c r="F384" s="86" t="n"/>
      <c r="G384" s="86" t="n"/>
      <c r="H384" s="86" t="n"/>
    </row>
    <row r="385" ht="16" customHeight="1" s="55">
      <c r="A385" s="86" t="inlineStr">
        <is>
          <t>An automated unsupervised deep learning-based approach for diabetic retinopathy detection.</t>
        </is>
      </c>
      <c r="B385" s="86" t="inlineStr">
        <is>
          <t>Naz, Huma</t>
        </is>
      </c>
      <c r="C385" s="86" t="n">
        <v>2022</v>
      </c>
      <c r="D385" s="5" t="inlineStr">
        <is>
          <t>Outcome not related to interest</t>
        </is>
      </c>
      <c r="E385" s="86" t="n"/>
      <c r="F385" s="86" t="n"/>
      <c r="G385" s="86" t="n"/>
      <c r="H385" s="5" t="n"/>
    </row>
    <row r="386" ht="16" customHeight="1" s="55">
      <c r="A386" s="86" t="inlineStr">
        <is>
          <t>Clinical evaluation of AI-assisted screening for diabetic retinopathy in rural areas of midwest China.</t>
        </is>
      </c>
      <c r="B386" s="86" t="inlineStr">
        <is>
          <t>Hao, Shaofeng</t>
        </is>
      </c>
      <c r="C386" s="86" t="n">
        <v>2022</v>
      </c>
      <c r="D386" s="5" t="inlineStr">
        <is>
          <t>Outcome not related to interest</t>
        </is>
      </c>
      <c r="E386" s="86" t="n"/>
      <c r="F386" s="86" t="n"/>
      <c r="G386" s="86" t="n"/>
      <c r="H386" s="5" t="n"/>
    </row>
    <row r="387" ht="16" customHeight="1" s="55">
      <c r="A387" s="86" t="inlineStr">
        <is>
          <t>Recognition of Diabetic Retinopathy with Ground Truth Segmentation Using Fundus Images and Neural Network Algorithm.</t>
        </is>
      </c>
      <c r="B387" s="86" t="inlineStr">
        <is>
          <t>Kshirsagar, Pravin R</t>
        </is>
      </c>
      <c r="C387" s="86" t="n">
        <v>2022</v>
      </c>
      <c r="D387" s="86" t="inlineStr">
        <is>
          <t>Retracted</t>
        </is>
      </c>
      <c r="E387" s="86" t="n"/>
      <c r="F387" s="86" t="n"/>
      <c r="G387" s="86" t="n"/>
      <c r="H387" s="86" t="n"/>
    </row>
    <row r="388" ht="16" customHeight="1" s="55">
      <c r="A388" s="86" t="inlineStr">
        <is>
          <t>Three-Dimensional Semantic Segmentation of Diabetic Retinopathy Lesions and Grading Using Transfer Learning.</t>
        </is>
      </c>
      <c r="B388" s="86" t="inlineStr">
        <is>
          <t>Shaukat, Natasha</t>
        </is>
      </c>
      <c r="C388" s="86" t="n">
        <v>2022</v>
      </c>
      <c r="D388" s="5" t="inlineStr">
        <is>
          <t>Outcome not related to interest</t>
        </is>
      </c>
      <c r="E388" s="86" t="n"/>
      <c r="F388" s="86" t="n"/>
      <c r="G388" s="86" t="n"/>
      <c r="H388" s="5" t="n"/>
    </row>
    <row r="389" ht="16" customHeight="1" s="55">
      <c r="A389" s="86" t="inlineStr">
        <is>
          <t>Automatic Screening of Diabetic Retinopathy Using Fundus Images and Machine Learning Algorithms.</t>
        </is>
      </c>
      <c r="B389" s="86" t="inlineStr">
        <is>
          <t>Mujeeb Rahman, K K</t>
        </is>
      </c>
      <c r="C389" s="86" t="n">
        <v>2022</v>
      </c>
      <c r="D389" s="5" t="inlineStr">
        <is>
          <t>Outcome not related to interest</t>
        </is>
      </c>
      <c r="E389" s="86" t="n"/>
      <c r="F389" s="86" t="n"/>
      <c r="G389" s="86" t="n"/>
      <c r="H389" s="5" t="n"/>
    </row>
    <row r="390" ht="16" customHeight="1" s="55">
      <c r="A390" s="86" t="inlineStr">
        <is>
          <t>A New Deep Learning Algorithm with Activation Mapping for Diabetic Retinopathy: Backtesting after 10 Years of Tele-Ophthalmology.</t>
        </is>
      </c>
      <c r="B390" s="86" t="inlineStr">
        <is>
          <t>Pareja-R穩os, Alicia</t>
        </is>
      </c>
      <c r="C390" s="86" t="n">
        <v>2022</v>
      </c>
      <c r="D390" s="86" t="inlineStr">
        <is>
          <t>Insufficient to constrct confusion matrix</t>
        </is>
      </c>
      <c r="E390" s="86" t="n"/>
      <c r="F390" s="86" t="n"/>
      <c r="G390" s="86" t="n"/>
      <c r="H390" s="86" t="n"/>
    </row>
    <row r="391" ht="16" customHeight="1" s="55">
      <c r="A391" s="86" t="inlineStr">
        <is>
          <t>A Deep Learning Based Approach for Grading of Diabetic Retinopathy Using Large Fundus Image Dataset.</t>
        </is>
      </c>
      <c r="B391" s="86" t="inlineStr">
        <is>
          <t>Mehboob, Ayesha</t>
        </is>
      </c>
      <c r="C391" s="86" t="n">
        <v>2022</v>
      </c>
      <c r="D391" s="5" t="inlineStr">
        <is>
          <t>Outcome not related to interest</t>
        </is>
      </c>
      <c r="E391" s="86" t="n"/>
      <c r="F391" s="86" t="n"/>
      <c r="G391" s="86" t="n"/>
      <c r="H391" s="5" t="n"/>
    </row>
    <row r="392" ht="16" customHeight="1" s="55">
      <c r="A392" s="86" t="inlineStr">
        <is>
          <t>Simultaneous screening and classification of diabetic retinopathy and age-related macular degeneration based on fundus photos-a prospective analysis of the RetCAD system.</t>
        </is>
      </c>
      <c r="B392" s="86" t="inlineStr">
        <is>
          <t>Skevas, Christos</t>
        </is>
      </c>
      <c r="C392" s="86" t="n">
        <v>2022</v>
      </c>
      <c r="D392" s="5" t="inlineStr">
        <is>
          <t>Outcome not related to interest</t>
        </is>
      </c>
      <c r="E392" s="86" t="n"/>
      <c r="F392" s="86" t="n"/>
      <c r="G392" s="86" t="n"/>
      <c r="H392" s="5" t="n"/>
    </row>
    <row r="393" ht="16" customHeight="1" s="55">
      <c r="A393" s="86" t="inlineStr">
        <is>
          <t>Combining transfer learning with retinal lesion features for accurate detection of diabetic retinopathy.</t>
        </is>
      </c>
      <c r="B393" s="86" t="inlineStr">
        <is>
          <t>Hassan, Doaa</t>
        </is>
      </c>
      <c r="C393" s="86" t="n">
        <v>2022</v>
      </c>
      <c r="D393" s="5" t="inlineStr">
        <is>
          <t>Outcome not related to interest</t>
        </is>
      </c>
      <c r="E393" s="86" t="n"/>
      <c r="F393" s="86" t="n"/>
      <c r="G393" s="86" t="n"/>
      <c r="H393" s="5" t="n"/>
    </row>
    <row r="394" ht="16" customHeight="1" s="55">
      <c r="A394" s="86" t="inlineStr">
        <is>
          <t>Automatic Diagnosis of Diabetic Retinopathy Stage Focusing Exclusively on Retinal Hemorrhage.</t>
        </is>
      </c>
      <c r="B394" s="86" t="inlineStr">
        <is>
          <t>Tokuda, Yoshihiro</t>
        </is>
      </c>
      <c r="C394" s="86" t="n">
        <v>2022</v>
      </c>
      <c r="D394" s="5" t="inlineStr">
        <is>
          <t>Outcome not related to interest</t>
        </is>
      </c>
      <c r="E394" s="86" t="n"/>
      <c r="F394" s="86" t="n"/>
      <c r="G394" s="86" t="n"/>
      <c r="H394" s="5" t="n"/>
    </row>
    <row r="395" ht="16" customHeight="1" s="55">
      <c r="A395" s="86" t="inlineStr">
        <is>
          <t>The effectiveness of artificial intelligence-based automated grading and training system in education of manual detection of diabetic retinopathy.</t>
        </is>
      </c>
      <c r="B395" s="86" t="inlineStr">
        <is>
          <t>Qian, Xu</t>
        </is>
      </c>
      <c r="C395" s="86" t="n">
        <v>2022</v>
      </c>
      <c r="D395" s="86" t="inlineStr">
        <is>
          <t>Insufficient to constrct confusion matrix</t>
        </is>
      </c>
      <c r="E395" s="86" t="n"/>
      <c r="F395" s="86" t="n"/>
      <c r="G395" s="86" t="n"/>
      <c r="H395" s="86" t="n"/>
    </row>
    <row r="396" ht="16" customHeight="1" s="55">
      <c r="A396" s="86" t="inlineStr">
        <is>
          <t>Performance of the AIDRScreening system in detecting diabetic retinopathy in the fundus photographs of Chinese patients: a prospective, multicenter, clinical study.</t>
        </is>
      </c>
      <c r="B396" s="86" t="inlineStr">
        <is>
          <t>Yang, Yao</t>
        </is>
      </c>
      <c r="C396" s="86" t="n">
        <v>2022</v>
      </c>
      <c r="D396" s="5" t="inlineStr">
        <is>
          <t>Outcome not related to interest</t>
        </is>
      </c>
      <c r="E396" s="86" t="n"/>
      <c r="F396" s="86" t="n"/>
      <c r="G396" s="86" t="n"/>
      <c r="H396" s="5" t="n"/>
    </row>
    <row r="397" ht="16" customHeight="1" s="55">
      <c r="A397" s="86" t="inlineStr">
        <is>
          <t>Artificial Intelligence Detection of Diabetic Retinopathy: Subgroup Comparison of the EyeArt System with Ophthalmologists' Dilated Examinations.</t>
        </is>
      </c>
      <c r="B397" s="86" t="inlineStr">
        <is>
          <t>Lim, Jennifer Irene</t>
        </is>
      </c>
      <c r="C397" s="86" t="n">
        <v>2022</v>
      </c>
      <c r="D397" s="86" t="n">
        <v>21</v>
      </c>
      <c r="E397" s="86" t="n"/>
      <c r="F397" s="86" t="n"/>
      <c r="G397" s="86" t="n"/>
      <c r="H397" s="86" t="n"/>
    </row>
    <row r="398" ht="16" customHeight="1" s="55">
      <c r="A398" s="86" t="inlineStr">
        <is>
          <t>Deep Learning for the Detection and Classification of Diabetic Retinopathy with an Improved Activation Function.</t>
        </is>
      </c>
      <c r="B398" s="86" t="inlineStr">
        <is>
          <t>Bhimavarapu, Usharani</t>
        </is>
      </c>
      <c r="C398" s="86" t="n">
        <v>2022</v>
      </c>
      <c r="D398" s="5" t="inlineStr">
        <is>
          <t>Outcome not related to interest</t>
        </is>
      </c>
      <c r="E398" s="86" t="n"/>
      <c r="F398" s="86" t="n"/>
      <c r="G398" s="86" t="n"/>
      <c r="H398" s="5" t="n"/>
    </row>
    <row r="399" ht="16" customHeight="1" s="55">
      <c r="A399" s="86" t="inlineStr">
        <is>
          <t>EDLDR: An Ensemble Deep Learning Technique for Detection and Classification of Diabetic Retinopathy.</t>
        </is>
      </c>
      <c r="B399" s="86" t="inlineStr">
        <is>
          <t>Mondal, Sambit S</t>
        </is>
      </c>
      <c r="C399" s="86" t="n">
        <v>2022</v>
      </c>
      <c r="D399" s="5" t="inlineStr">
        <is>
          <t>Outcome not related to interest</t>
        </is>
      </c>
      <c r="E399" s="86" t="n"/>
      <c r="F399" s="86" t="n"/>
      <c r="G399" s="86" t="n"/>
      <c r="H399" s="5" t="n"/>
    </row>
    <row r="400" ht="16" customHeight="1" s="55">
      <c r="A400" s="86" t="inlineStr">
        <is>
          <t>Predicting the future development of diabetic retinopathy using a deep learning algorithm for the analysis of non-invasive retinal imaging</t>
        </is>
      </c>
      <c r="B400" s="86" t="inlineStr">
        <is>
          <t>Rom, Y.</t>
        </is>
      </c>
      <c r="C400" s="86" t="n">
        <v>2022</v>
      </c>
      <c r="D400" s="5" t="inlineStr">
        <is>
          <t>Outcome not related to interest</t>
        </is>
      </c>
      <c r="E400" s="86" t="n"/>
      <c r="F400" s="86" t="n"/>
      <c r="G400" s="86" t="n"/>
      <c r="H400" s="5" t="n"/>
    </row>
    <row r="401" ht="16" customHeight="1" s="55">
      <c r="A401" s="86" t="inlineStr">
        <is>
          <t>Application of artificial intelligence for community-based diabetic retinopathy detection and referral</t>
        </is>
      </c>
      <c r="B401" s="86" t="inlineStr">
        <is>
          <t>Dong, X.</t>
        </is>
      </c>
      <c r="C401" s="86" t="n">
        <v>2022</v>
      </c>
      <c r="D401" s="5" t="inlineStr">
        <is>
          <t>Outcome not related to interest</t>
        </is>
      </c>
      <c r="E401" s="86" t="n"/>
      <c r="F401" s="86" t="n"/>
      <c r="G401" s="86" t="n"/>
      <c r="H401" s="5" t="n"/>
    </row>
    <row r="402" ht="16" customHeight="1" s="55">
      <c r="A402" s="86" t="inlineStr">
        <is>
          <t>Features extraction using encoded local binary pattern for detection and grading diabetic retinopathy</t>
        </is>
      </c>
      <c r="B402" s="86" t="inlineStr">
        <is>
          <t>Berbar, M.A.</t>
        </is>
      </c>
      <c r="C402" s="86" t="n">
        <v>2022</v>
      </c>
      <c r="D402" s="5" t="inlineStr">
        <is>
          <t>Outcome not related to interest</t>
        </is>
      </c>
      <c r="E402" s="86" t="n"/>
      <c r="F402" s="86" t="n"/>
      <c r="G402" s="86" t="n"/>
      <c r="H402" s="5" t="n"/>
    </row>
    <row r="403" ht="16" customHeight="1" s="55">
      <c r="A403" s="86" t="inlineStr">
        <is>
          <t>Real world evaluation of Thirona RetCAD artificial intelligence tool for detection of referrable diabetic retinopathy and age-related macular degeneration</t>
        </is>
      </c>
      <c r="B403" s="86" t="inlineStr">
        <is>
          <t>Taylor, J.</t>
        </is>
      </c>
      <c r="C403" s="86" t="n">
        <v>2022</v>
      </c>
      <c r="D403" s="5" t="inlineStr">
        <is>
          <t>Outcome not related to interest</t>
        </is>
      </c>
      <c r="E403" s="86" t="n"/>
      <c r="F403" s="86" t="n"/>
      <c r="G403" s="86" t="n"/>
      <c r="H403" s="5" t="n"/>
    </row>
    <row r="404" ht="16" customHeight="1" s="55">
      <c r="A404" s="86" t="inlineStr">
        <is>
          <t>Resampling-based cost loss attention network for explainable imbalanced diabetic retinopathy grading</t>
        </is>
      </c>
      <c r="B404" s="86" t="inlineStr">
        <is>
          <t>Li, H.</t>
        </is>
      </c>
      <c r="C404" s="86" t="n">
        <v>2022</v>
      </c>
      <c r="D404" s="5" t="inlineStr">
        <is>
          <t>Outcome not related to interest</t>
        </is>
      </c>
      <c r="E404" s="86" t="n"/>
      <c r="F404" s="86" t="n"/>
      <c r="G404" s="86" t="n"/>
      <c r="H404" s="5" t="n"/>
    </row>
    <row r="405" ht="16" customHeight="1" s="55">
      <c r="A405" s="86" t="inlineStr">
        <is>
          <t>Combining Transfer Learning with Retinal Lesions Features for Accurate Detection of Diabetic Retinopathy</t>
        </is>
      </c>
      <c r="B405" s="86" t="inlineStr">
        <is>
          <t>Hassan, D.</t>
        </is>
      </c>
      <c r="C405" s="86" t="n">
        <v>2022</v>
      </c>
      <c r="D405" s="5" t="inlineStr">
        <is>
          <t>Outcome not related to interest</t>
        </is>
      </c>
      <c r="E405" s="86" t="n"/>
      <c r="F405" s="86" t="n"/>
      <c r="G405" s="86" t="n"/>
      <c r="H405" s="5" t="n"/>
    </row>
    <row r="406" ht="16" customHeight="1" s="55">
      <c r="A406" s="86" t="inlineStr">
        <is>
          <t>OHGCNet: Optimal feature selection-based hybrid graph convolutional network model for joint DR-DME classification</t>
        </is>
      </c>
      <c r="B406" s="86" t="inlineStr">
        <is>
          <t>Purna Chandra Reddy, V.</t>
        </is>
      </c>
      <c r="C406" s="86" t="n">
        <v>2022</v>
      </c>
      <c r="D406" s="5" t="inlineStr">
        <is>
          <t>Outcome not related to interest</t>
        </is>
      </c>
      <c r="E406" s="86" t="n"/>
      <c r="F406" s="86" t="n"/>
      <c r="G406" s="86" t="n"/>
      <c r="H406" s="5" t="n"/>
    </row>
    <row r="407" ht="16" customHeight="1" s="55">
      <c r="A407" s="86" t="inlineStr">
        <is>
          <t>Multi-classification of fundus diseases based on DSRA-CNN</t>
        </is>
      </c>
      <c r="B407" s="86" t="inlineStr">
        <is>
          <t>Yang, X.-L.</t>
        </is>
      </c>
      <c r="C407" s="86" t="n">
        <v>2022</v>
      </c>
      <c r="D407" s="5" t="inlineStr">
        <is>
          <t>Outcome not related to interest</t>
        </is>
      </c>
      <c r="E407" s="86" t="n"/>
      <c r="F407" s="86" t="n"/>
      <c r="G407" s="86" t="n"/>
      <c r="H407" s="5" t="n"/>
    </row>
    <row r="408" ht="16" customHeight="1" s="55">
      <c r="A408" s="86" t="inlineStr">
        <is>
          <t>Diabetic retinopathy classification using a novel DAG network based on multi-feature of fundus images</t>
        </is>
      </c>
      <c r="B408" s="86" t="inlineStr">
        <is>
          <t>Fang, L.</t>
        </is>
      </c>
      <c r="C408" s="86" t="n">
        <v>2022</v>
      </c>
      <c r="D408" s="5" t="inlineStr">
        <is>
          <t>Outcome not related to interest</t>
        </is>
      </c>
      <c r="E408" s="86" t="n"/>
      <c r="F408" s="86" t="n"/>
      <c r="G408" s="86" t="n"/>
      <c r="H408" s="5" t="n"/>
    </row>
    <row r="409" ht="16" customHeight="1" s="55">
      <c r="A409" s="86" t="inlineStr">
        <is>
          <t>Ar-HGSO: Autoregressive-Henry Gas Sailfish Optimization enabled deep learning model for diabetic retinopathy detection and severity level classification</t>
        </is>
      </c>
      <c r="B409" s="86" t="inlineStr">
        <is>
          <t>Elwin, J.G.R.</t>
        </is>
      </c>
      <c r="C409" s="86" t="n">
        <v>2022</v>
      </c>
      <c r="D409" s="5" t="inlineStr">
        <is>
          <t>Outcome not related to interest</t>
        </is>
      </c>
      <c r="E409" s="86" t="n"/>
      <c r="F409" s="86" t="n"/>
      <c r="G409" s="86" t="n"/>
      <c r="H409" s="5" t="n"/>
    </row>
    <row r="410" ht="16" customHeight="1" s="55">
      <c r="A410" s="86" t="inlineStr">
        <is>
          <t>Application of artificial intelligence remote screening system for diabetic retinopathy in Yinchuan community of Ningxia</t>
        </is>
      </c>
      <c r="B410" s="86" t="inlineStr">
        <is>
          <t>Li, Z.</t>
        </is>
      </c>
      <c r="C410" s="86" t="n">
        <v>2022</v>
      </c>
      <c r="D410" s="5" t="inlineStr">
        <is>
          <t>Outcome not related to interest</t>
        </is>
      </c>
      <c r="E410" s="86" t="n"/>
      <c r="F410" s="86" t="n"/>
      <c r="G410" s="86" t="n"/>
      <c r="H410" s="5" t="n"/>
    </row>
    <row r="411" ht="16" customHeight="1" s="55">
      <c r="A411" s="86" t="inlineStr">
        <is>
          <t>Enhancing CNNs through the use of hand-crafted features in automated fundus image classification</t>
        </is>
      </c>
      <c r="B411" s="86" t="inlineStr">
        <is>
          <t>Bogacsovics, G.</t>
        </is>
      </c>
      <c r="C411" s="86" t="n">
        <v>2022</v>
      </c>
      <c r="D411" s="5" t="inlineStr">
        <is>
          <t>Outcome not related to interest</t>
        </is>
      </c>
      <c r="E411" s="86" t="n"/>
      <c r="F411" s="86" t="n"/>
      <c r="G411" s="86" t="n"/>
      <c r="H411" s="5" t="n"/>
    </row>
    <row r="412" ht="16" customHeight="1" s="55">
      <c r="A412" s="86" t="inlineStr">
        <is>
          <t>Comparison of Handheld Retinal Imaging with ETDRS 7-Standard Field Photography for Diabetic Retinopathy and Diabetic Macular Edema</t>
        </is>
      </c>
      <c r="B412" s="86" t="inlineStr">
        <is>
          <t>Salongcay, R.P.</t>
        </is>
      </c>
      <c r="C412" s="86" t="n">
        <v>2022</v>
      </c>
      <c r="D412" s="86" t="inlineStr">
        <is>
          <t>Not deep learning</t>
        </is>
      </c>
      <c r="E412" s="86" t="n"/>
      <c r="F412" s="86" t="n"/>
      <c r="G412" s="86" t="n"/>
      <c r="H412" s="86" t="n"/>
    </row>
    <row r="413" ht="16" customHeight="1" s="55">
      <c r="A413" s="86" t="inlineStr">
        <is>
          <t>Contrastive learning improves representation and transferability of diabetic retinopathy classification models</t>
        </is>
      </c>
      <c r="B413" s="86" t="inlineStr">
        <is>
          <t>Alam, M.N.</t>
        </is>
      </c>
      <c r="C413" s="86" t="n">
        <v>2022</v>
      </c>
      <c r="D413" s="5" t="inlineStr">
        <is>
          <t>Outcome not related to interest</t>
        </is>
      </c>
      <c r="E413" s="86" t="n"/>
      <c r="F413" s="86" t="n"/>
      <c r="G413" s="86" t="n"/>
      <c r="H413" s="5" t="n"/>
    </row>
    <row r="414" ht="16" customHeight="1" s="55">
      <c r="A414" s="86" t="inlineStr">
        <is>
          <t>Deep Learning Artificial Intelligence in Vision-Threatening Disease in Clinical and Community Screenings</t>
        </is>
      </c>
      <c r="B414" s="86" t="inlineStr">
        <is>
          <t>Zhu, A.</t>
        </is>
      </c>
      <c r="C414" s="86" t="n">
        <v>2022</v>
      </c>
      <c r="D414" s="5" t="inlineStr">
        <is>
          <t>Outcome not related to interest</t>
        </is>
      </c>
      <c r="E414" s="86" t="n"/>
      <c r="F414" s="86" t="n"/>
      <c r="G414" s="86" t="n"/>
      <c r="H414" s="5" t="n"/>
    </row>
    <row r="415" ht="16" customHeight="1" s="55">
      <c r="A415" s="86" t="inlineStr">
        <is>
          <t>Accuracy of Integrated Artificial Intelligence (AI) Grading at the Point of Care (POC) Using Handheld Retinal Imaging in a CommunityBased Diabetic Retinopathy (DR) Screening Program (DRSP)</t>
        </is>
      </c>
      <c r="B415" s="86" t="inlineStr">
        <is>
          <t>Salongcay, R.</t>
        </is>
      </c>
      <c r="C415" s="86" t="n">
        <v>2022</v>
      </c>
      <c r="D415" s="5" t="inlineStr">
        <is>
          <t>Outcome not related to interest</t>
        </is>
      </c>
      <c r="E415" s="86" t="n"/>
      <c r="F415" s="86" t="n"/>
      <c r="G415" s="86" t="n"/>
      <c r="H415" s="5" t="n"/>
    </row>
    <row r="416" ht="16" customHeight="1" s="55">
      <c r="A416" s="86" t="inlineStr">
        <is>
          <t>Detecting patients with ocular comorbidities when screening for diabetic retinopathy (DR): an out-of-distribution (OOD) perspective</t>
        </is>
      </c>
      <c r="B416" s="86" t="inlineStr">
        <is>
          <t>Novosel, J.</t>
        </is>
      </c>
      <c r="C416" s="86" t="n">
        <v>2022</v>
      </c>
      <c r="D416" s="5" t="inlineStr">
        <is>
          <t>Outcome not related to interest</t>
        </is>
      </c>
      <c r="E416" s="86" t="n"/>
      <c r="F416" s="86" t="n"/>
      <c r="G416" s="86" t="n"/>
      <c r="H416" s="5" t="n"/>
    </row>
    <row r="417" ht="16" customHeight="1" s="55">
      <c r="A417" s="86" t="inlineStr">
        <is>
          <t>Coherence analysis between an artificial intelligence algorithm and human experts in diabetic retinopathy screening</t>
        </is>
      </c>
      <c r="B417" s="86" t="inlineStr">
        <is>
          <t>Abreu, R.</t>
        </is>
      </c>
      <c r="C417" s="86" t="n">
        <v>2022</v>
      </c>
      <c r="D417" s="5" t="inlineStr">
        <is>
          <t>Outcome not related to interest</t>
        </is>
      </c>
      <c r="E417" s="86" t="n"/>
      <c r="F417" s="86" t="n"/>
      <c r="G417" s="86" t="n"/>
      <c r="H417" s="5" t="n"/>
    </row>
    <row r="418" ht="16" customHeight="1" s="55">
      <c r="A418" s="86" t="inlineStr">
        <is>
          <t>Effect of Simulated Cataract on the Accuracy of an Artificial Intelligence Algorithm in Detecting Diabetic Retinopathy in Color Fundus Photos</t>
        </is>
      </c>
      <c r="B418" s="86" t="inlineStr">
        <is>
          <t>Crane, A.</t>
        </is>
      </c>
      <c r="C418" s="86" t="n">
        <v>2022</v>
      </c>
      <c r="D418" s="5" t="inlineStr">
        <is>
          <t>Outcome not related to interest</t>
        </is>
      </c>
      <c r="E418" s="86" t="n"/>
      <c r="F418" s="86" t="n"/>
      <c r="G418" s="86" t="n"/>
      <c r="H418" s="5" t="n"/>
    </row>
    <row r="419" ht="16" customHeight="1" s="55">
      <c r="A419" s="86" t="inlineStr">
        <is>
          <t>Deep learning (DL) model to identify moderately severe and severe nonproliferative diabetic retinopathy (NPDR) from 7-field color fundus photographs (7F-CFP)</t>
        </is>
      </c>
      <c r="B419" s="86" t="inlineStr">
        <is>
          <t>Benmansour, F.</t>
        </is>
      </c>
      <c r="C419" s="86" t="n">
        <v>2022</v>
      </c>
      <c r="D419" s="5" t="inlineStr">
        <is>
          <t>Outcome not related to interest</t>
        </is>
      </c>
      <c r="E419" s="86" t="n"/>
      <c r="F419" s="86" t="n"/>
      <c r="G419" s="86" t="n"/>
      <c r="H419" s="5" t="n"/>
    </row>
    <row r="420" ht="16" customHeight="1" s="55">
      <c r="A420" s="86" t="inlineStr">
        <is>
          <t>Artificial Intelligence (AI) Enabled Pre-Screening for Diabetic Retinopathy (DR) Clinical Trials</t>
        </is>
      </c>
      <c r="B420" s="86" t="inlineStr">
        <is>
          <t>Barrett, N.</t>
        </is>
      </c>
      <c r="C420" s="86" t="n">
        <v>2022</v>
      </c>
      <c r="D420" s="5" t="inlineStr">
        <is>
          <t>Outcome not related to interest</t>
        </is>
      </c>
      <c r="E420" s="86" t="n"/>
      <c r="F420" s="86" t="n"/>
      <c r="G420" s="86" t="n"/>
      <c r="H420" s="5" t="n"/>
    </row>
    <row r="421" ht="16" customHeight="1" s="55">
      <c r="A421" s="86" t="inlineStr">
        <is>
          <t>Performance of a Diabetic Retinopathy Deep Learning Model for Ultra-widefield Imaging</t>
        </is>
      </c>
      <c r="B421" s="86" t="inlineStr">
        <is>
          <t>Peto, T.</t>
        </is>
      </c>
      <c r="C421" s="86" t="n">
        <v>2022</v>
      </c>
      <c r="D421" s="5" t="inlineStr">
        <is>
          <t>Outcome not related to interest</t>
        </is>
      </c>
      <c r="E421" s="86" t="n"/>
      <c r="F421" s="86" t="n"/>
      <c r="G421" s="86" t="n"/>
      <c r="H421" s="5" t="n"/>
    </row>
    <row r="422" ht="16" customHeight="1" s="55">
      <c r="A422" s="86" t="inlineStr">
        <is>
          <t>Automated machine learning (AutoML) models for diabetic retinopathy (DR) image classification from handheld retinal images</t>
        </is>
      </c>
      <c r="B422" s="86" t="inlineStr">
        <is>
          <t>Doan, D.</t>
        </is>
      </c>
      <c r="C422" s="86" t="n">
        <v>2022</v>
      </c>
      <c r="D422" s="5" t="inlineStr">
        <is>
          <t>Outcome not related to interest</t>
        </is>
      </c>
      <c r="E422" s="86" t="n"/>
      <c r="F422" s="86" t="n"/>
      <c r="G422" s="86" t="n"/>
      <c r="H422" s="5" t="n"/>
    </row>
    <row r="423" ht="16" customHeight="1" s="55">
      <c r="A423" s="86" t="inlineStr">
        <is>
          <t>Implementation of a Large-Scale Retinal Image Curation Workflow Using Deep Learning Framework</t>
        </is>
      </c>
      <c r="B423" s="86" t="inlineStr">
        <is>
          <t>Balaji, R.</t>
        </is>
      </c>
      <c r="C423" s="86" t="n">
        <v>2022</v>
      </c>
      <c r="D423" s="5" t="inlineStr">
        <is>
          <t>Outcome not related to interest</t>
        </is>
      </c>
      <c r="E423" s="86" t="n"/>
      <c r="F423" s="86" t="n"/>
      <c r="G423" s="86" t="n"/>
      <c r="H423" s="5" t="n"/>
    </row>
    <row r="424" ht="16" customHeight="1" s="55">
      <c r="A424" s="86" t="inlineStr">
        <is>
          <t>Eye-Net: A Novel Transparent Machine Learning Ensemble for the Efficient Diagnosis and Localization of Lesions in Diabetic Retinopathy</t>
        </is>
      </c>
      <c r="B424" s="86" t="inlineStr">
        <is>
          <t>Liu, J.</t>
        </is>
      </c>
      <c r="C424" s="86" t="n">
        <v>2022</v>
      </c>
      <c r="D424" s="5" t="inlineStr">
        <is>
          <t>Outcome not related to interest</t>
        </is>
      </c>
      <c r="E424" s="86" t="n"/>
      <c r="F424" s="86" t="n"/>
      <c r="G424" s="86" t="n"/>
      <c r="H424" s="5" t="n"/>
    </row>
    <row r="425" ht="16" customHeight="1" s="55">
      <c r="A425" s="86" t="inlineStr">
        <is>
          <t>Automated machine learning (AutoML) model for diabetic retinopathy (DR) image classification from ultrawide field (UWF) retinal images</t>
        </is>
      </c>
      <c r="B425" s="86" t="inlineStr">
        <is>
          <t>Silva, P.S.</t>
        </is>
      </c>
      <c r="C425" s="86" t="n">
        <v>2022</v>
      </c>
      <c r="D425" s="5" t="inlineStr">
        <is>
          <t>Outcome not related to interest</t>
        </is>
      </c>
      <c r="E425" s="86" t="n"/>
      <c r="F425" s="86" t="n"/>
      <c r="G425" s="86" t="n"/>
      <c r="H425" s="5" t="n"/>
    </row>
    <row r="426" ht="16" customHeight="1" s="55">
      <c r="A426" s="86" t="inlineStr">
        <is>
          <t>Deep learning for eye fundus diagnosis based on multispectral imaging</t>
        </is>
      </c>
      <c r="B426" s="86" t="inlineStr">
        <is>
          <t>Burgos-Fernandez, F.J.</t>
        </is>
      </c>
      <c r="C426" s="86" t="n">
        <v>2022</v>
      </c>
      <c r="D426" s="5" t="inlineStr">
        <is>
          <t>Outcome not related to interest</t>
        </is>
      </c>
      <c r="E426" s="86" t="n"/>
      <c r="F426" s="86" t="n"/>
      <c r="G426" s="86" t="n"/>
      <c r="H426" s="5" t="n"/>
    </row>
    <row r="427" ht="16" customHeight="1" s="55">
      <c r="A427" s="86" t="inlineStr">
        <is>
          <t>Assessment of AI Algorithms for Diabetic Retinopathy Classification Using Model Cards</t>
        </is>
      </c>
      <c r="B427" s="86" t="inlineStr">
        <is>
          <t>Chen, D.</t>
        </is>
      </c>
      <c r="C427" s="86" t="n">
        <v>2022</v>
      </c>
      <c r="D427" s="5" t="inlineStr">
        <is>
          <t>Outcome not related to interest</t>
        </is>
      </c>
      <c r="E427" s="86" t="n"/>
      <c r="F427" s="86" t="n"/>
      <c r="G427" s="86" t="n"/>
      <c r="H427" s="5" t="n"/>
    </row>
    <row r="428" ht="16" customHeight="1" s="55">
      <c r="A428" s="86" t="inlineStr">
        <is>
          <t>A deep learning model for screening type 2 diabetes from retinal photographs</t>
        </is>
      </c>
      <c r="B428" s="86" t="inlineStr">
        <is>
          <t>Yun, J.-S.</t>
        </is>
      </c>
      <c r="C428" s="86" t="n">
        <v>2022</v>
      </c>
      <c r="D428" s="5" t="inlineStr">
        <is>
          <t>Outcome not related to interest</t>
        </is>
      </c>
      <c r="E428" s="86" t="n"/>
      <c r="F428" s="86" t="n"/>
      <c r="G428" s="86" t="n"/>
      <c r="H428" s="5" t="n"/>
    </row>
    <row r="429" ht="16" customHeight="1" s="55">
      <c r="A429" s="86" t="inlineStr">
        <is>
          <t>Predicting the future development of diabetic retinopathy using a deep learning algorithm for the analysis of non-invasive retinal imaging RR</t>
        </is>
      </c>
      <c r="B429" s="86" t="inlineStr">
        <is>
          <t>Rom, Y.</t>
        </is>
      </c>
      <c r="C429" s="86" t="n">
        <v>2022</v>
      </c>
      <c r="D429" s="86" t="inlineStr">
        <is>
          <t>Repeated article</t>
        </is>
      </c>
      <c r="E429" s="86" t="n"/>
      <c r="F429" s="86" t="n"/>
      <c r="G429" s="86" t="n"/>
      <c r="H429" s="86" t="n"/>
    </row>
    <row r="430" ht="16" customHeight="1" s="55">
      <c r="A430" s="86" t="inlineStr">
        <is>
          <t>IDF21-0299 An automatic deep learning-based system for screening and management of DME</t>
        </is>
      </c>
      <c r="B430" s="86" t="inlineStr">
        <is>
          <t>Galdran, A.</t>
        </is>
      </c>
      <c r="C430" s="86" t="n">
        <v>2022</v>
      </c>
      <c r="D430" s="5" t="inlineStr">
        <is>
          <t>Outcome not related to interest</t>
        </is>
      </c>
      <c r="E430" s="86" t="n"/>
      <c r="F430" s="86" t="n"/>
      <c r="G430" s="86" t="n"/>
      <c r="H430" s="5" t="n"/>
    </row>
    <row r="431" ht="16" customHeight="1" s="55">
      <c r="A431" s="86" t="inlineStr">
        <is>
          <t>PREVALENCE OF DIABETIC RETINOPATHY SCREENED BY ARTIFICIAL INTELLIGENCE BASED DEEP LEARNING ALGORITHM WITH HIGH SENSITIVITY: A MULTICENTRIC CROSS SECTIONAL STUDY FROM INDIA</t>
        </is>
      </c>
      <c r="B431" s="86" t="inlineStr">
        <is>
          <t>Dey, A.</t>
        </is>
      </c>
      <c r="C431" s="86" t="n">
        <v>2022</v>
      </c>
      <c r="D431" s="5" t="inlineStr">
        <is>
          <t>Outcome not related to interest</t>
        </is>
      </c>
      <c r="E431" s="86" t="n"/>
      <c r="F431" s="86" t="n"/>
      <c r="G431" s="86" t="n"/>
      <c r="H431" s="5" t="n"/>
    </row>
    <row r="432" ht="16" customHeight="1" s="55">
      <c r="A432" s="86" t="inlineStr">
        <is>
          <t>Joint DR-DME classification using deep learning-CNN based modified grey-wolf optimizer with variable weights</t>
        </is>
      </c>
      <c r="B432" s="86" t="inlineStr">
        <is>
          <t>Purna Chandra Reddy, V.</t>
        </is>
      </c>
      <c r="C432" s="86" t="n">
        <v>2022</v>
      </c>
      <c r="D432" s="5" t="inlineStr">
        <is>
          <t>Outcome not related to interest</t>
        </is>
      </c>
      <c r="E432" s="86" t="n"/>
      <c r="F432" s="86" t="n"/>
      <c r="G432" s="86" t="n"/>
      <c r="H432" s="5" t="n"/>
    </row>
    <row r="433" ht="16" customHeight="1" s="55">
      <c r="A433" s="86" t="inlineStr">
        <is>
          <t>Diabetic Retinopathy Grading by a Source-Free Transfer Learning Approach</t>
        </is>
      </c>
      <c r="B433" s="86" t="inlineStr">
        <is>
          <t>Zhang, C.</t>
        </is>
      </c>
      <c r="C433" s="86" t="n">
        <v>2022</v>
      </c>
      <c r="D433" s="5" t="inlineStr">
        <is>
          <t>Outcome not related to interest</t>
        </is>
      </c>
      <c r="E433" s="86" t="n"/>
      <c r="F433" s="86" t="n"/>
      <c r="G433" s="86" t="n"/>
      <c r="H433" s="5" t="n"/>
    </row>
    <row r="434" ht="16" customHeight="1" s="55">
      <c r="A434" s="86" t="inlineStr">
        <is>
          <t>Automatic Microaneurysms Detection for Early Diagnosis of Diabetic Retinopathy Using Improved Discrete Particle Swarm Optimization</t>
        </is>
      </c>
      <c r="B434" s="86" t="inlineStr">
        <is>
          <t>Bhimavarapu, U.</t>
        </is>
      </c>
      <c r="C434" s="86" t="n">
        <v>2022</v>
      </c>
      <c r="D434" s="86" t="inlineStr">
        <is>
          <t>Not deep learning</t>
        </is>
      </c>
      <c r="E434" s="86" t="n"/>
      <c r="F434" s="86" t="n"/>
      <c r="G434" s="86" t="n"/>
      <c r="H434" s="86" t="n"/>
    </row>
    <row r="435" ht="16" customHeight="1" s="55">
      <c r="A435" s="86" t="inlineStr">
        <is>
          <t>Development of a deep learning algorithm for provision of a South Western Sydney diabetes retinal screening service</t>
        </is>
      </c>
      <c r="B435" s="86" t="inlineStr">
        <is>
          <t>Daley, J.R.</t>
        </is>
      </c>
      <c r="C435" s="86" t="n">
        <v>2022</v>
      </c>
      <c r="D435" s="5" t="inlineStr">
        <is>
          <t>Outcome not related to interest</t>
        </is>
      </c>
      <c r="E435" s="86" t="n"/>
      <c r="F435" s="86" t="n"/>
      <c r="G435" s="86" t="n"/>
      <c r="H435" s="5" t="n"/>
    </row>
    <row r="436" ht="16" customHeight="1" s="55">
      <c r="A436" s="86" t="inlineStr">
        <is>
          <t>A multi-centre prospective trial of THEIA to detect diabetic retinopathy and diabetic macular oedema in the New Zealand screening program</t>
        </is>
      </c>
      <c r="B436" s="86" t="inlineStr">
        <is>
          <t>Vaghefi, E.</t>
        </is>
      </c>
      <c r="C436" s="86" t="n">
        <v>2022</v>
      </c>
      <c r="D436" s="5" t="inlineStr">
        <is>
          <t>Outcome not related to interest</t>
        </is>
      </c>
      <c r="E436" s="86" t="n"/>
      <c r="F436" s="86" t="n"/>
      <c r="G436" s="86" t="n"/>
      <c r="H436" s="5" t="n"/>
    </row>
    <row r="437" ht="16" customHeight="1" s="55">
      <c r="A437" s="86" t="inlineStr">
        <is>
          <t>Evaluating artificial intelligence decision support for diabetic retinopathy grading: A prospective study of eye health professionals</t>
        </is>
      </c>
      <c r="B437" s="86" t="inlineStr">
        <is>
          <t>Rothschild, P.S.</t>
        </is>
      </c>
      <c r="C437" s="86" t="n">
        <v>2022</v>
      </c>
      <c r="D437" s="5" t="inlineStr">
        <is>
          <t>Outcome not related to interest</t>
        </is>
      </c>
      <c r="E437" s="86" t="n"/>
      <c r="F437" s="86" t="n"/>
      <c r="G437" s="86" t="n"/>
      <c r="H437" s="5" t="n"/>
    </row>
    <row r="438" ht="16" customHeight="1" s="55">
      <c r="A438" s="86" t="inlineStr">
        <is>
          <t>On the value of deep learning for diagnosing diabetic retinopathy</t>
        </is>
      </c>
      <c r="B438" s="86" t="inlineStr">
        <is>
          <t>Lahmar, C.</t>
        </is>
      </c>
      <c r="C438" s="86" t="n">
        <v>2022</v>
      </c>
      <c r="D438" s="5" t="inlineStr">
        <is>
          <t>Outcome not related to interest</t>
        </is>
      </c>
      <c r="E438" s="86" t="n"/>
      <c r="F438" s="86" t="n"/>
      <c r="G438" s="86" t="n"/>
      <c r="H438" s="5" t="n"/>
    </row>
    <row r="439" ht="16" customHeight="1" s="55">
      <c r="A439" s="86" t="inlineStr">
        <is>
          <t>A Transfer Learning and U-Net-based automatic detection of diabetic retinopathy from fundus images</t>
        </is>
      </c>
      <c r="B439" s="86" t="inlineStr">
        <is>
          <t>Bilal, A.</t>
        </is>
      </c>
      <c r="C439" s="86" t="n">
        <v>2022</v>
      </c>
      <c r="D439" s="5" t="inlineStr">
        <is>
          <t>Outcome not related to interest</t>
        </is>
      </c>
      <c r="E439" s="86" t="n"/>
      <c r="F439" s="86" t="n"/>
      <c r="G439" s="86" t="n"/>
      <c r="H439" s="5" t="n"/>
    </row>
    <row r="440" ht="16" customHeight="1" s="55">
      <c r="A440" s="86" t="inlineStr">
        <is>
          <t>Application of convolutional neural networks for recognition of diabetic retinopathy in digital images</t>
        </is>
      </c>
      <c r="B440" s="86" t="inlineStr">
        <is>
          <t>Mamedov, T.H.</t>
        </is>
      </c>
      <c r="C440" s="86" t="n">
        <v>2022</v>
      </c>
      <c r="D440" s="5" t="inlineStr">
        <is>
          <t>Outcome not related to interest</t>
        </is>
      </c>
      <c r="E440" s="86" t="n"/>
      <c r="F440" s="86" t="n"/>
      <c r="G440" s="86" t="n"/>
      <c r="H440" s="5" t="n"/>
    </row>
    <row r="441" ht="16" customHeight="1" s="55">
      <c r="A441" s="86" t="inlineStr">
        <is>
          <t>Attentional Mechanisms and Improved Residual Networks for Diabetic Retinopathy Severity Classification</t>
        </is>
      </c>
      <c r="B441" s="86" t="inlineStr">
        <is>
          <t>Cao, J.</t>
        </is>
      </c>
      <c r="C441" s="86" t="n">
        <v>2022</v>
      </c>
      <c r="D441" s="5" t="inlineStr">
        <is>
          <t>Outcome not related to interest</t>
        </is>
      </c>
      <c r="E441" s="86" t="n"/>
      <c r="F441" s="86" t="n"/>
      <c r="G441" s="86" t="n"/>
      <c r="H441" s="5" t="n"/>
    </row>
    <row r="442" ht="16" customHeight="1" s="55">
      <c r="A442" s="86" t="inlineStr">
        <is>
          <t>Automated Diabetic Retinopathy Detection and Grading using Fusion based Pretrained Convolutional Neural Networks</t>
        </is>
      </c>
      <c r="B442" s="86" t="inlineStr">
        <is>
          <t>Rajkumar, R.</t>
        </is>
      </c>
      <c r="C442" s="86" t="n">
        <v>2022</v>
      </c>
      <c r="D442" s="5" t="inlineStr">
        <is>
          <t>Outcome not related to interest</t>
        </is>
      </c>
      <c r="E442" s="86" t="n"/>
      <c r="F442" s="86" t="n"/>
      <c r="G442" s="86" t="n"/>
      <c r="H442" s="5" t="n"/>
    </row>
    <row r="443" ht="16" customHeight="1" s="55">
      <c r="A443" s="86" t="inlineStr">
        <is>
          <t>Hierarchical Fuzzy Expert System for the accurate Detection of Diabetic Retinopathy with more efficient means R</t>
        </is>
      </c>
      <c r="B443" s="86" t="inlineStr">
        <is>
          <t>Kumar, K.</t>
        </is>
      </c>
      <c r="C443" s="86" t="n">
        <v>2022</v>
      </c>
      <c r="D443" s="44" t="inlineStr">
        <is>
          <t>Repeated article</t>
        </is>
      </c>
      <c r="E443" s="86" t="n"/>
      <c r="F443" s="86" t="n"/>
      <c r="G443" s="86" t="n"/>
      <c r="H443" s="5" t="n"/>
    </row>
    <row r="444" ht="16" customHeight="1" s="55">
      <c r="A444" s="86" t="inlineStr">
        <is>
          <t>Binary - CNN Based Classifications Of Effective Diabetic Eye</t>
        </is>
      </c>
      <c r="B444" s="86" t="inlineStr">
        <is>
          <t>Jadhav, D.A.</t>
        </is>
      </c>
      <c r="C444" s="86" t="n">
        <v>2022</v>
      </c>
      <c r="D444" s="5" t="inlineStr">
        <is>
          <t>Outcome not related to interest</t>
        </is>
      </c>
      <c r="E444" s="86" t="n"/>
      <c r="F444" s="86" t="n"/>
      <c r="G444" s="86" t="n"/>
      <c r="H444" s="5" t="n"/>
    </row>
    <row r="445" ht="16" customHeight="1" s="55">
      <c r="A445" s="86" t="inlineStr">
        <is>
          <t>A Classification System for Diabetic Retinopathy</t>
        </is>
      </c>
      <c r="B445" s="86" t="inlineStr">
        <is>
          <t>Gupta, P.</t>
        </is>
      </c>
      <c r="C445" s="86" t="n">
        <v>2022</v>
      </c>
      <c r="D445" s="86" t="inlineStr">
        <is>
          <t>Insufficient to constrct confusion matrix</t>
        </is>
      </c>
      <c r="E445" s="86" t="n"/>
      <c r="F445" s="86" t="n"/>
      <c r="G445" s="86" t="n"/>
      <c r="H445" s="86" t="n"/>
    </row>
    <row r="446" ht="16" customHeight="1" s="55">
      <c r="A446" s="86" t="inlineStr">
        <is>
          <t>DIAGNOSIS OF DIABETIC RETINOPATHY USING MACHINE LEARNING TECHNIQUES</t>
        </is>
      </c>
      <c r="B446" s="86" t="inlineStr">
        <is>
          <t>Kumar, K.A.</t>
        </is>
      </c>
      <c r="C446" s="86" t="n">
        <v>2022</v>
      </c>
      <c r="D446" s="86" t="inlineStr">
        <is>
          <t>Not deep learning</t>
        </is>
      </c>
      <c r="E446" s="86" t="n"/>
      <c r="F446" s="86" t="n"/>
      <c r="G446" s="86" t="n"/>
      <c r="H446" s="86" t="n"/>
    </row>
    <row r="447" ht="16" customHeight="1" s="55">
      <c r="A447" s="86" t="inlineStr">
        <is>
          <t>A study to assess whether a system of automated image software can be developed to read retinal images taken without dilating the pupils in patients attending diabetic eye screening</t>
        </is>
      </c>
      <c r="B447" s="86" t="inlineStr">
        <is>
          <t xml:space="preserve">ISRCTN14412723, </t>
        </is>
      </c>
      <c r="C447" s="86" t="n">
        <v>2022</v>
      </c>
      <c r="D447" s="86" t="n"/>
    </row>
    <row r="448" ht="16" customHeight="1" s="55">
      <c r="A448" s="86" t="inlineStr">
        <is>
          <t>Evaluation of an AI system for the detection of diabetic retinopathy from images captured with a handheld portable fundus camera: the MAILOR AI study.</t>
        </is>
      </c>
      <c r="B448" s="86" t="inlineStr">
        <is>
          <t>Rogers, T W</t>
        </is>
      </c>
      <c r="C448" s="86" t="n">
        <v>2021</v>
      </c>
      <c r="D448" s="5" t="inlineStr">
        <is>
          <t>Outcome not related to interest</t>
        </is>
      </c>
      <c r="E448" s="86" t="n"/>
      <c r="F448" s="86" t="n"/>
      <c r="G448" s="86" t="n"/>
      <c r="H448" s="5" t="n"/>
    </row>
    <row r="449" ht="16" customHeight="1" s="55">
      <c r="A449" s="86" t="inlineStr">
        <is>
          <t>Diagnostic accuracy of diabetic retinopathy grading by an artificial intelligence-enabled algorithm compared with a human standard for wide-field true-colour confocal scanning and standard digital retinal images.</t>
        </is>
      </c>
      <c r="B449" s="86" t="inlineStr">
        <is>
          <t>Olvera-Barrios, Abraham</t>
        </is>
      </c>
      <c r="C449" s="86" t="n">
        <v>2021</v>
      </c>
      <c r="D449" s="5" t="inlineStr">
        <is>
          <t>Outcome not related to interest</t>
        </is>
      </c>
      <c r="E449" s="86" t="n"/>
      <c r="F449" s="86" t="n"/>
      <c r="G449" s="86" t="n"/>
      <c r="H449" s="5" t="n"/>
    </row>
    <row r="450" ht="16" customHeight="1" s="55">
      <c r="A450" s="86" t="inlineStr">
        <is>
          <t>Comparison of automated and expert human grading of diabetic retinopathy using smartphone-based retinal photography.</t>
        </is>
      </c>
      <c r="B450" s="86" t="inlineStr">
        <is>
          <t>Kim, Tyson N</t>
        </is>
      </c>
      <c r="C450" s="86" t="n">
        <v>2021</v>
      </c>
      <c r="D450" s="86" t="n">
        <v>22</v>
      </c>
      <c r="E450" s="86" t="n"/>
      <c r="F450" s="86" t="n"/>
      <c r="G450" s="86" t="n"/>
      <c r="H450" s="86" t="n"/>
    </row>
    <row r="451" ht="16" customHeight="1" s="55">
      <c r="A451" s="86" t="inlineStr">
        <is>
          <t>Application of deep learning image assessment software VeriSee for diabetic retinopathy screening.</t>
        </is>
      </c>
      <c r="B451" s="86" t="inlineStr">
        <is>
          <t>Hsieh, Yi-Ting</t>
        </is>
      </c>
      <c r="C451" s="86" t="n">
        <v>2021</v>
      </c>
      <c r="D451" s="5" t="n">
        <v>23</v>
      </c>
      <c r="E451" s="86" t="n"/>
      <c r="F451" s="86" t="n"/>
      <c r="G451" s="86" t="n"/>
      <c r="H451" s="5" t="n"/>
    </row>
    <row r="452" ht="16" customHeight="1" s="55">
      <c r="A452" s="86" t="inlineStr">
        <is>
          <t>Validation of Automated Screening for Referable Diabetic Retinopathy With an Autonomous Diagnostic Artificial Intelligence System in a Spanish Population.</t>
        </is>
      </c>
      <c r="B452" s="86" t="inlineStr">
        <is>
          <t>Shah, Abhay</t>
        </is>
      </c>
      <c r="C452" s="86" t="n">
        <v>2021</v>
      </c>
      <c r="D452" s="5" t="inlineStr">
        <is>
          <t>Outcome not related to interest</t>
        </is>
      </c>
      <c r="E452" s="86" t="n"/>
      <c r="F452" s="86" t="n"/>
      <c r="G452" s="86" t="n"/>
      <c r="H452" s="5" t="n"/>
    </row>
    <row r="453" ht="16" customHeight="1" s="55">
      <c r="A453" s="86" t="inlineStr">
        <is>
          <t>Prospective evaluation of an artificial intelligence-enabled algorithm for automated diabetic retinopathy screening of 30000 patients.</t>
        </is>
      </c>
      <c r="B453" s="86" t="inlineStr">
        <is>
          <t>Heydon, Peter</t>
        </is>
      </c>
      <c r="C453" s="86" t="n">
        <v>2021</v>
      </c>
      <c r="D453" s="5" t="inlineStr">
        <is>
          <t>Outcome not related to interest</t>
        </is>
      </c>
      <c r="E453" s="86" t="n"/>
      <c r="F453" s="86" t="n"/>
      <c r="G453" s="86" t="n"/>
      <c r="H453" s="5" t="n"/>
    </row>
    <row r="454" ht="16" customHeight="1" s="55">
      <c r="A454" s="86" t="inlineStr">
        <is>
          <t>THEIA development, and testing of artificial intelligence-based primary triage of diabetic retinopathy screening images in New Zealand.</t>
        </is>
      </c>
      <c r="B454" s="86" t="inlineStr">
        <is>
          <t>Vaghefi, E</t>
        </is>
      </c>
      <c r="C454" s="86" t="n">
        <v>2021</v>
      </c>
      <c r="D454" s="5" t="inlineStr">
        <is>
          <t>Outcome not related to interest</t>
        </is>
      </c>
      <c r="E454" s="86" t="n"/>
      <c r="F454" s="86" t="n"/>
      <c r="G454" s="86" t="n"/>
      <c r="H454" s="5" t="n"/>
    </row>
    <row r="455" ht="16" customHeight="1" s="55">
      <c r="A455" s="86" t="inlineStr">
        <is>
          <t>Use in clinical practice of an automated screening method of diabetic retinopathy that can be derived using a diagnostic artificial intelligence system.</t>
        </is>
      </c>
      <c r="B455" s="86" t="inlineStr">
        <is>
          <t>Peris-Mart穩nez, Cristina</t>
        </is>
      </c>
      <c r="C455" s="86" t="n">
        <v>2021</v>
      </c>
      <c r="D455" s="5" t="inlineStr">
        <is>
          <t>Outcome not related to interest</t>
        </is>
      </c>
      <c r="E455" s="86" t="n"/>
      <c r="F455" s="86" t="n"/>
      <c r="G455" s="86" t="n"/>
      <c r="H455" s="5" t="n"/>
    </row>
    <row r="456" ht="16" customHeight="1" s="55">
      <c r="A456" s="86" t="inlineStr">
        <is>
          <t>Screening for Diabetic Retinopathy Using an Automated Diagnostic System Based on Deep Learning: Diagnostic Accuracy Assessment.</t>
        </is>
      </c>
      <c r="B456" s="86" t="inlineStr">
        <is>
          <t>R礙go, S穩lvia</t>
        </is>
      </c>
      <c r="C456" s="86" t="n">
        <v>2021</v>
      </c>
      <c r="D456" s="5" t="inlineStr">
        <is>
          <t>Outcome not related to interest</t>
        </is>
      </c>
      <c r="E456" s="86" t="n"/>
      <c r="F456" s="86" t="n"/>
      <c r="G456" s="86" t="n"/>
      <c r="H456" s="5" t="n"/>
    </row>
    <row r="457" ht="16" customHeight="1" s="55">
      <c r="A457" s="86" t="inlineStr">
        <is>
          <t>Detection of Diabetic Retinopathy from Ultra-Widefield Scanning Laser Ophthalmoscope Images: A Multicenter Deep Learning Analysis.</t>
        </is>
      </c>
      <c r="B457" s="86" t="inlineStr">
        <is>
          <t>Tang, Fangyao</t>
        </is>
      </c>
      <c r="C457" s="86" t="n">
        <v>2021</v>
      </c>
      <c r="D457" s="5" t="inlineStr">
        <is>
          <t>Outcome not related to interest</t>
        </is>
      </c>
      <c r="E457" s="86" t="n"/>
      <c r="F457" s="86" t="n"/>
      <c r="G457" s="86" t="n"/>
      <c r="H457" s="5" t="n"/>
    </row>
    <row r="458" ht="16" customHeight="1" s="55">
      <c r="A458" s="86" t="inlineStr">
        <is>
          <t>Early detection of diabetic retinopathy based on deep learning and ultra-wide-field fundus images.</t>
        </is>
      </c>
      <c r="B458" s="86" t="inlineStr">
        <is>
          <t>Oh, Kangrok</t>
        </is>
      </c>
      <c r="C458" s="86" t="n">
        <v>2021</v>
      </c>
      <c r="D458" s="5" t="inlineStr">
        <is>
          <t>Outcome not related to interest</t>
        </is>
      </c>
      <c r="E458" s="86" t="n"/>
      <c r="F458" s="86" t="n"/>
      <c r="G458" s="86" t="n"/>
      <c r="H458" s="5" t="n"/>
    </row>
    <row r="459" ht="16" customHeight="1" s="55">
      <c r="A459" s="86" t="inlineStr">
        <is>
          <t>The SEE Study: Safety, Efficacy, and Equity of Implementing Autonomous Artificial Intelligence for Diagnosing Diabetic Retinopathy in Youth.</t>
        </is>
      </c>
      <c r="B459" s="86" t="inlineStr">
        <is>
          <t>Wolf, Risa M</t>
        </is>
      </c>
      <c r="C459" s="86" t="n">
        <v>2021</v>
      </c>
      <c r="D459" s="86" t="inlineStr">
        <is>
          <t>Not adult</t>
        </is>
      </c>
      <c r="E459" s="86" t="n"/>
      <c r="F459" s="86" t="n"/>
      <c r="G459" s="86" t="n"/>
      <c r="H459" s="86" t="n"/>
    </row>
    <row r="460" ht="16" customHeight="1" s="55">
      <c r="A460" s="86" t="inlineStr">
        <is>
          <t>Multicenter, Head-to-Head, Real-World Validation Study of Seven Automated Artificial Intelligence Diabetic Retinopathy Screening Systems.</t>
        </is>
      </c>
      <c r="B460" s="86" t="inlineStr">
        <is>
          <t>Lee, Aaron Y</t>
        </is>
      </c>
      <c r="C460" s="86" t="n">
        <v>2021</v>
      </c>
      <c r="D460" s="86" t="inlineStr">
        <is>
          <t>Insufficient to constrct confusion matrix</t>
        </is>
      </c>
      <c r="E460" s="86" t="n"/>
      <c r="F460" s="86" t="n"/>
      <c r="G460" s="86" t="n"/>
      <c r="H460" s="86" t="n"/>
    </row>
    <row r="461" ht="16" customHeight="1" s="55">
      <c r="A461" s="86" t="inlineStr">
        <is>
          <t>Evaluation of a novel artificial intelligence-based screening system for diabetic retinopathy in community of China: a real-world study.</t>
        </is>
      </c>
      <c r="B461" s="86" t="inlineStr">
        <is>
          <t>Ming, Shuai</t>
        </is>
      </c>
      <c r="C461" s="86" t="n">
        <v>2021</v>
      </c>
      <c r="D461" s="5" t="inlineStr">
        <is>
          <t>Outcome not related to interest</t>
        </is>
      </c>
      <c r="E461" s="86" t="n"/>
      <c r="F461" s="86" t="n"/>
      <c r="G461" s="86" t="n"/>
      <c r="H461" s="5" t="n"/>
    </row>
    <row r="462" ht="16" customHeight="1" s="55">
      <c r="A462" s="86" t="inlineStr">
        <is>
          <t>Automated diabetic retinopathy screening for primary care settings using deep learning.</t>
        </is>
      </c>
      <c r="B462" s="86" t="inlineStr">
        <is>
          <t>Bhuiyan, Alauddin</t>
        </is>
      </c>
      <c r="C462" s="86" t="n">
        <v>2021</v>
      </c>
      <c r="D462" s="5" t="inlineStr">
        <is>
          <t>Outcome not related to interest</t>
        </is>
      </c>
      <c r="E462" s="86" t="n"/>
      <c r="F462" s="86" t="n"/>
      <c r="G462" s="86" t="n"/>
      <c r="H462" s="5" t="n"/>
    </row>
    <row r="463" ht="16" customHeight="1" s="55">
      <c r="A463" s="86" t="inlineStr">
        <is>
          <t>DeepUWF: An Automated Ultra-Wide-Field Fundus Screening System via Deep Learning.</t>
        </is>
      </c>
      <c r="B463" s="86" t="inlineStr">
        <is>
          <t>Zhang, Wei</t>
        </is>
      </c>
      <c r="C463" s="86" t="n">
        <v>2021</v>
      </c>
      <c r="D463" s="5" t="inlineStr">
        <is>
          <t>Outcome not related to interest</t>
        </is>
      </c>
      <c r="E463" s="86" t="n"/>
      <c r="F463" s="86" t="n"/>
      <c r="G463" s="86" t="n"/>
      <c r="H463" s="5" t="n"/>
    </row>
    <row r="464" ht="16" customHeight="1" s="55">
      <c r="A464" s="86" t="inlineStr">
        <is>
          <t>Understanding inherent image features in CNN-based assessment of diabetic retinopathy.</t>
        </is>
      </c>
      <c r="B464" s="86" t="inlineStr">
        <is>
          <t>Reguant, Roc</t>
        </is>
      </c>
      <c r="C464" s="86" t="n">
        <v>2021</v>
      </c>
      <c r="D464" s="5" t="inlineStr">
        <is>
          <t>Outcome not related to interest</t>
        </is>
      </c>
      <c r="E464" s="86" t="n"/>
      <c r="F464" s="86" t="n"/>
      <c r="G464" s="86" t="n"/>
      <c r="H464" s="5" t="n"/>
    </row>
    <row r="465" ht="16" customHeight="1" s="55">
      <c r="A465" s="86" t="inlineStr">
        <is>
          <t>Deep learning for gradability classification of handheld, non-mydriatic retinal images.</t>
        </is>
      </c>
      <c r="B465" s="86" t="inlineStr">
        <is>
          <t>Nderitu, Paul</t>
        </is>
      </c>
      <c r="C465" s="86" t="n">
        <v>2021</v>
      </c>
      <c r="D465" s="86" t="inlineStr">
        <is>
          <t>Outcome not related to interest</t>
        </is>
      </c>
      <c r="E465" s="86" t="n"/>
      <c r="F465" s="86" t="n"/>
      <c r="G465" s="86" t="n"/>
      <c r="H465" s="86" t="n"/>
    </row>
    <row r="466" ht="16" customHeight="1" s="55">
      <c r="A466" s="86" t="inlineStr">
        <is>
          <t>Development of a Fundus Image-Based Deep Learning Diagnostic Tool for Various Retinal Diseases.</t>
        </is>
      </c>
      <c r="B466" s="86" t="inlineStr">
        <is>
          <t>Kim, Kyoung Min</t>
        </is>
      </c>
      <c r="C466" s="86" t="n">
        <v>2021</v>
      </c>
      <c r="D466" s="5" t="inlineStr">
        <is>
          <t>Outcome not related to interest</t>
        </is>
      </c>
      <c r="E466" s="86" t="n"/>
      <c r="F466" s="86" t="n"/>
      <c r="G466" s="86" t="n"/>
      <c r="H466" s="5" t="n"/>
    </row>
    <row r="467" ht="16" customHeight="1" s="55">
      <c r="A467" s="86" t="inlineStr">
        <is>
          <t>Accuracy of Diabetic Retinopathy Staging with a Deep Convolutional Neural Network Using Ultra-Wide-Field Fundus Ophthalmoscopy and Optical Coherence Tomography Angiography.</t>
        </is>
      </c>
      <c r="B467" s="86" t="inlineStr">
        <is>
          <t>Nagasawa, Toshihiko</t>
        </is>
      </c>
      <c r="C467" s="86" t="n">
        <v>2021</v>
      </c>
      <c r="D467" s="5" t="inlineStr">
        <is>
          <t>Outcome not related to interest</t>
        </is>
      </c>
      <c r="E467" s="86" t="n"/>
      <c r="F467" s="86" t="n"/>
      <c r="G467" s="86" t="n"/>
      <c r="H467" s="5" t="n"/>
    </row>
    <row r="468" ht="16" customHeight="1" s="55">
      <c r="A468" s="86" t="inlineStr">
        <is>
          <t>Facilitating diabetic retinopathy screening using automated retinal image analysis in underresourced settings.</t>
        </is>
      </c>
      <c r="B468" s="86" t="inlineStr">
        <is>
          <t>Quinn, Nicola</t>
        </is>
      </c>
      <c r="C468" s="86" t="n">
        <v>2021</v>
      </c>
      <c r="D468" s="86" t="inlineStr">
        <is>
          <t>Not deep learning</t>
        </is>
      </c>
      <c r="E468" s="86" t="n"/>
      <c r="F468" s="86" t="n"/>
      <c r="G468" s="86" t="n"/>
      <c r="H468" s="86" t="n"/>
    </row>
    <row r="469" ht="16" customHeight="1" s="55">
      <c r="A469" s="86" t="inlineStr">
        <is>
          <t>The Clinical Influence after Implementation of Convolutional Neural Network-Based Software for Diabetic Retinopathy Detection in the Primary Care Setting.</t>
        </is>
      </c>
      <c r="B469" s="86" t="inlineStr">
        <is>
          <t>Li, Yu-Hsuan</t>
        </is>
      </c>
      <c r="C469" s="86" t="n">
        <v>2021</v>
      </c>
      <c r="D469" s="5" t="n">
        <v>26</v>
      </c>
      <c r="E469" s="86" t="n"/>
      <c r="F469" s="86" t="n"/>
      <c r="G469" s="86" t="n"/>
      <c r="H469" s="5" t="n"/>
    </row>
    <row r="470" ht="16" customHeight="1" s="55">
      <c r="A470" s="86" t="inlineStr">
        <is>
          <t>Predicting the risk of developing diabetic retinopathy using deep learning.</t>
        </is>
      </c>
      <c r="B470" s="86" t="inlineStr">
        <is>
          <t>Bora, Ashish</t>
        </is>
      </c>
      <c r="C470" s="86" t="n">
        <v>2021</v>
      </c>
      <c r="D470" s="5" t="inlineStr">
        <is>
          <t>Outcome not related to interest</t>
        </is>
      </c>
      <c r="E470" s="86" t="n"/>
      <c r="F470" s="86" t="n"/>
      <c r="G470" s="86" t="n"/>
      <c r="H470" s="5" t="n"/>
    </row>
    <row r="471" ht="16" customHeight="1" s="55">
      <c r="A471" s="86" t="inlineStr">
        <is>
          <t>Deep learning-based detection and stage grading for optimising diagnosis of diabetic retinopathy.</t>
        </is>
      </c>
      <c r="B471" s="86" t="inlineStr">
        <is>
          <t>Wang, Yuelin</t>
        </is>
      </c>
      <c r="C471" s="86" t="n">
        <v>2021</v>
      </c>
      <c r="D471" s="5" t="inlineStr">
        <is>
          <t>Outcome not related to interest</t>
        </is>
      </c>
      <c r="E471" s="86" t="n"/>
      <c r="F471" s="86" t="n"/>
      <c r="G471" s="86" t="n"/>
      <c r="H471" s="5" t="n"/>
    </row>
    <row r="472" ht="16" customHeight="1" s="55">
      <c r="A472" s="86" t="inlineStr">
        <is>
          <t>Analyzing fundus images to detect diabetic retinopathy (DR) using deep learning system in the Yangtze River delta region of China.</t>
        </is>
      </c>
      <c r="B472" s="86" t="inlineStr">
        <is>
          <t>Lu, Li</t>
        </is>
      </c>
      <c r="C472" s="86" t="n">
        <v>2021</v>
      </c>
      <c r="D472" s="5" t="inlineStr">
        <is>
          <t>Outcome not related to interest</t>
        </is>
      </c>
      <c r="E472" s="86" t="n"/>
      <c r="F472" s="86" t="n"/>
      <c r="G472" s="86" t="n"/>
      <c r="H472" s="5" t="n"/>
    </row>
    <row r="473" ht="16" customHeight="1" s="55">
      <c r="A473" s="86" t="inlineStr">
        <is>
          <t>Diabetic Retinal Grading Using Attention-Based Bilinear Convolutional Neural Network and Complement Cross Entropy.</t>
        </is>
      </c>
      <c r="B473" s="86" t="inlineStr">
        <is>
          <t>Liu, Pingping</t>
        </is>
      </c>
      <c r="C473" s="86" t="n">
        <v>2021</v>
      </c>
      <c r="D473" s="5" t="inlineStr">
        <is>
          <t>Outcome not related to interest</t>
        </is>
      </c>
      <c r="E473" s="86" t="n"/>
      <c r="F473" s="86" t="n"/>
      <c r="G473" s="86" t="n"/>
      <c r="H473" s="5" t="n"/>
    </row>
    <row r="474" ht="16" customHeight="1" s="55">
      <c r="A474" s="86" t="inlineStr">
        <is>
          <t>An Effective Method for Detecting and Classifying Diabetic Retinopathy Lesions Based on Deep Learning.</t>
        </is>
      </c>
      <c r="B474" s="86" t="inlineStr">
        <is>
          <t>Erciyas, Abd羹ssamed</t>
        </is>
      </c>
      <c r="C474" s="86" t="n">
        <v>2021</v>
      </c>
      <c r="D474" s="5" t="inlineStr">
        <is>
          <t>Outcome not related to interest</t>
        </is>
      </c>
      <c r="E474" s="86" t="n"/>
      <c r="F474" s="86" t="n"/>
      <c r="G474" s="86" t="n"/>
      <c r="H474" s="5" t="n"/>
    </row>
    <row r="475" ht="16" customHeight="1" s="55">
      <c r="A475" s="86" t="inlineStr">
        <is>
          <t>Diabetic Retinopathy Fundus Image Classification and Lesions Localization System Using Deep Learning.</t>
        </is>
      </c>
      <c r="B475" s="86" t="inlineStr">
        <is>
          <t>Alyoubi, Wejdan L</t>
        </is>
      </c>
      <c r="C475" s="86" t="n">
        <v>2021</v>
      </c>
      <c r="D475" s="5" t="inlineStr">
        <is>
          <t>Outcome not related to interest</t>
        </is>
      </c>
      <c r="E475" s="86" t="n"/>
      <c r="F475" s="86" t="n"/>
      <c r="G475" s="86" t="n"/>
      <c r="H475" s="5" t="n"/>
    </row>
    <row r="476" ht="16" customHeight="1" s="55">
      <c r="A476" s="86" t="inlineStr">
        <is>
          <t>Analysis and Comparison of Two Artificial Intelligence Diabetic Retinopathy Screening Algorithms in a Pilot Study: IDx-DR and Retinalyze.</t>
        </is>
      </c>
      <c r="B476" s="86" t="inlineStr">
        <is>
          <t>Grzybowski, Andrzej</t>
        </is>
      </c>
      <c r="C476" s="86" t="n">
        <v>2021</v>
      </c>
      <c r="D476" s="5" t="inlineStr">
        <is>
          <t>Outcome not related to interest</t>
        </is>
      </c>
      <c r="E476" s="86" t="n"/>
      <c r="F476" s="86" t="n"/>
      <c r="G476" s="86" t="n"/>
      <c r="H476" s="5" t="n"/>
    </row>
    <row r="477" ht="16" customHeight="1" s="55">
      <c r="A477" s="86" t="inlineStr">
        <is>
          <t>A deep learning system for detecting diabetic retinopathy across the disease spectrum.</t>
        </is>
      </c>
      <c r="B477" s="86" t="inlineStr">
        <is>
          <t>Dai, Ling</t>
        </is>
      </c>
      <c r="C477" s="86" t="n">
        <v>2021</v>
      </c>
      <c r="D477" s="5" t="inlineStr">
        <is>
          <t>Outcome not related to interest</t>
        </is>
      </c>
      <c r="E477" s="86" t="n"/>
      <c r="F477" s="86" t="n"/>
      <c r="G477" s="86" t="n"/>
      <c r="H477" s="5" t="n"/>
    </row>
    <row r="478" ht="16" customHeight="1" s="55">
      <c r="A478" s="86" t="inlineStr">
        <is>
          <t>Comparison of Ultra-Widefield Imaging and Standard Imaging in Assessment of Early Treatment Diabetic Retinopathy Severity Scale.</t>
        </is>
      </c>
      <c r="B478" s="86" t="inlineStr">
        <is>
          <t>Domalpally, Amitha</t>
        </is>
      </c>
      <c r="C478" s="86" t="n">
        <v>2021</v>
      </c>
      <c r="D478" s="5" t="inlineStr">
        <is>
          <t>Outcome not related to interest</t>
        </is>
      </c>
      <c r="E478" s="86" t="n"/>
      <c r="F478" s="86" t="n"/>
      <c r="G478" s="86" t="n"/>
      <c r="H478" s="5" t="n"/>
    </row>
    <row r="479" ht="16" customHeight="1" s="55">
      <c r="A479" s="86" t="inlineStr">
        <is>
          <t>Diabetic retinopathy classification based on multipath CNN and machine learning classifiers.</t>
        </is>
      </c>
      <c r="B479" s="86" t="inlineStr">
        <is>
          <t>Gayathri, S</t>
        </is>
      </c>
      <c r="C479" s="86" t="n">
        <v>2021</v>
      </c>
      <c r="D479" s="5" t="inlineStr">
        <is>
          <t>Outcome not related to interest</t>
        </is>
      </c>
      <c r="E479" s="86" t="n"/>
      <c r="F479" s="86" t="n"/>
      <c r="G479" s="86" t="n"/>
      <c r="H479" s="5" t="n"/>
    </row>
    <row r="480" ht="16" customHeight="1" s="55">
      <c r="A480" s="86" t="inlineStr">
        <is>
          <t>Diabetic retinopathy detection through convolutional neural networks with synaptic metaplasticity.</t>
        </is>
      </c>
      <c r="B480" s="86" t="inlineStr">
        <is>
          <t>Vives-Boix, V穩ctor</t>
        </is>
      </c>
      <c r="C480" s="86" t="n">
        <v>2021</v>
      </c>
      <c r="D480" s="5" t="inlineStr">
        <is>
          <t>Outcome not related to interest</t>
        </is>
      </c>
      <c r="E480" s="86" t="n"/>
      <c r="F480" s="86" t="n"/>
      <c r="G480" s="86" t="n"/>
      <c r="H480" s="5" t="n"/>
    </row>
    <row r="481" ht="16" customHeight="1" s="55">
      <c r="A481" s="86" t="inlineStr">
        <is>
          <t>Addressing Artificial Intelligence Bias in Retinal Diagnostics.</t>
        </is>
      </c>
      <c r="B481" s="86" t="inlineStr">
        <is>
          <t>Burlina, Philippe</t>
        </is>
      </c>
      <c r="C481" s="86" t="n">
        <v>2021</v>
      </c>
      <c r="D481" s="5" t="inlineStr">
        <is>
          <t>Outcome not related to interest</t>
        </is>
      </c>
      <c r="E481" s="86" t="n"/>
      <c r="F481" s="86" t="n"/>
      <c r="G481" s="86" t="n"/>
      <c r="H481" s="5" t="n"/>
    </row>
    <row r="482" ht="16" customHeight="1" s="55">
      <c r="A482" s="86" t="inlineStr">
        <is>
          <t>Simple methods for the lesion detection and severity grading of diabetic retinopathy by image processing and transfer learning.</t>
        </is>
      </c>
      <c r="B482" s="86" t="inlineStr">
        <is>
          <t>Sugeno, Ayaka</t>
        </is>
      </c>
      <c r="C482" s="86" t="n">
        <v>2021</v>
      </c>
      <c r="D482" s="5" t="inlineStr">
        <is>
          <t>Outcome not related to interest</t>
        </is>
      </c>
      <c r="E482" s="86" t="n"/>
      <c r="F482" s="86" t="n"/>
      <c r="G482" s="86" t="n"/>
      <c r="H482" s="5" t="n"/>
    </row>
    <row r="483" ht="16" customHeight="1" s="55">
      <c r="A483" s="86" t="inlineStr">
        <is>
          <t>[Accuracy of artificial intelligence compared to trained medical technologists in diabetic retinopathy screening].</t>
        </is>
      </c>
      <c r="B483" s="86" t="inlineStr">
        <is>
          <t>Ib獺簽ez-Bruron, Mar穩a C</t>
        </is>
      </c>
      <c r="C483" s="86" t="n">
        <v>2021</v>
      </c>
      <c r="D483" s="86" t="inlineStr">
        <is>
          <t>Not deep learning</t>
        </is>
      </c>
      <c r="E483" s="86" t="n"/>
      <c r="F483" s="86" t="n"/>
      <c r="G483" s="86" t="n"/>
      <c r="H483" s="86" t="n"/>
    </row>
    <row r="484" ht="16" customHeight="1" s="55">
      <c r="A484" s="86" t="inlineStr">
        <is>
          <t>Testing a Deep Learning Algorithm for Detection of Diabetic Retinopathy in a Spanish Diabetic Population and with MESSIDOR Database.</t>
        </is>
      </c>
      <c r="B484" s="86" t="inlineStr">
        <is>
          <t>Baget-Bernaldiz, Marc</t>
        </is>
      </c>
      <c r="C484" s="86" t="n">
        <v>2021</v>
      </c>
      <c r="D484" s="5" t="inlineStr">
        <is>
          <t>Outcome not related to interest</t>
        </is>
      </c>
      <c r="E484" s="86" t="n"/>
      <c r="F484" s="86" t="n"/>
      <c r="G484" s="86" t="n"/>
      <c r="H484" s="5" t="n"/>
    </row>
    <row r="485" ht="16" customHeight="1" s="55">
      <c r="A485" s="86" t="inlineStr">
        <is>
          <t>Screening Diabetic Retinopathy Using an Automated Retinal Image Analysis System in Independent and Assistive Use Cases in Mexico: Randomized Controlled Trial.</t>
        </is>
      </c>
      <c r="B485" s="86" t="inlineStr">
        <is>
          <t>Noriega, Alejandro</t>
        </is>
      </c>
      <c r="C485" s="86" t="n">
        <v>2021</v>
      </c>
      <c r="D485" s="86" t="n">
        <v>27</v>
      </c>
      <c r="E485" s="86" t="n"/>
      <c r="F485" s="86" t="n"/>
      <c r="G485" s="86" t="n"/>
      <c r="H485" s="86" t="n"/>
    </row>
    <row r="486" ht="16" customHeight="1" s="55">
      <c r="A486" s="86" t="inlineStr">
        <is>
          <t>Real-world嚜 artificial intelligence-based opportunistic screening for diabetic retinopathy in endocrinology and indigenous healthcare settings in Australia.</t>
        </is>
      </c>
      <c r="B486" s="86" t="inlineStr">
        <is>
          <t>Scheetz, Jane</t>
        </is>
      </c>
      <c r="C486" s="86" t="n">
        <v>2021</v>
      </c>
      <c r="D486" s="5" t="inlineStr">
        <is>
          <t>Outcome not related to interest</t>
        </is>
      </c>
      <c r="E486" s="86" t="n"/>
      <c r="F486" s="86" t="n"/>
      <c r="G486" s="86" t="n"/>
      <c r="H486" s="5" t="n"/>
    </row>
    <row r="487" ht="16" customHeight="1" s="55">
      <c r="A487" s="86" t="inlineStr">
        <is>
          <t>Application of Comprehensive Artificial intelligence Retinal Expert (CARE) system: a national real-world evidence study.</t>
        </is>
      </c>
      <c r="B487" s="86" t="inlineStr">
        <is>
          <t>Lin, Duoru</t>
        </is>
      </c>
      <c r="C487" s="86" t="n">
        <v>2021</v>
      </c>
      <c r="D487" s="86" t="inlineStr">
        <is>
          <t>Insufficient to constrct confusion matrix</t>
        </is>
      </c>
      <c r="E487" s="86" t="n"/>
      <c r="F487" s="86" t="n"/>
      <c r="G487" s="86" t="n"/>
      <c r="H487" s="5" t="n"/>
    </row>
    <row r="488" ht="16" customHeight="1" s="55">
      <c r="A488" s="86" t="inlineStr">
        <is>
          <t>An interpretable multiple-instance approach for the detection of referable diabetic retinopathy in fundus images.</t>
        </is>
      </c>
      <c r="B488" s="86" t="inlineStr">
        <is>
          <t>Papadopoulos, Alexandros</t>
        </is>
      </c>
      <c r="C488" s="86" t="n">
        <v>2021</v>
      </c>
      <c r="D488" s="5" t="inlineStr">
        <is>
          <t>Outcome not related to interest</t>
        </is>
      </c>
      <c r="E488" s="86" t="n"/>
      <c r="F488" s="86" t="n"/>
      <c r="G488" s="86" t="n"/>
      <c r="H488" s="5" t="n"/>
    </row>
    <row r="489" ht="16" customHeight="1" s="55">
      <c r="A489" s="86" t="inlineStr">
        <is>
          <t>In-Person Verification of Deep Learning Algorithm for Diabetic Retinopathy Screening Using Different Techniques Across Fundus Image Devices.</t>
        </is>
      </c>
      <c r="B489" s="86" t="inlineStr">
        <is>
          <t>Wongchaisuwat, Nida</t>
        </is>
      </c>
      <c r="C489" s="86" t="n">
        <v>2021</v>
      </c>
      <c r="D489" s="5" t="inlineStr">
        <is>
          <t>Outcome not related to interest</t>
        </is>
      </c>
      <c r="E489" s="86" t="n"/>
      <c r="F489" s="86" t="n"/>
      <c r="G489" s="86" t="n"/>
      <c r="H489" s="5" t="n"/>
    </row>
    <row r="490" ht="16" customHeight="1" s="55">
      <c r="A490" s="86" t="inlineStr">
        <is>
          <t>Classification of diabetic retinopathy using unlabeled data and knowledge distillation.</t>
        </is>
      </c>
      <c r="B490" s="86" t="inlineStr">
        <is>
          <t>Abbasi, Sajjad</t>
        </is>
      </c>
      <c r="C490" s="86" t="n">
        <v>2021</v>
      </c>
      <c r="D490" s="5" t="inlineStr">
        <is>
          <t>Outcome not related to interest</t>
        </is>
      </c>
      <c r="E490" s="86" t="n"/>
      <c r="F490" s="86" t="n"/>
      <c r="G490" s="86" t="n"/>
      <c r="H490" s="5" t="n"/>
    </row>
    <row r="491" ht="16" customHeight="1" s="55">
      <c r="A491" s="86" t="inlineStr">
        <is>
          <t>Validation of Artificial Intelligence Algorithm in the Detection and Staging of Diabetic Retinopathy through Fundus Photography: An Automated Tool for Detection and Grading of Diabetic Retinopathy.</t>
        </is>
      </c>
      <c r="B491" s="86" t="inlineStr">
        <is>
          <t>Pawar, Bhargavi</t>
        </is>
      </c>
      <c r="C491" s="86" t="n">
        <v>2021</v>
      </c>
      <c r="D491" s="5" t="inlineStr">
        <is>
          <t>Outcome not related to interest</t>
        </is>
      </c>
      <c r="E491" s="86" t="n"/>
      <c r="F491" s="86" t="n"/>
      <c r="G491" s="86" t="n"/>
      <c r="H491" s="5" t="n"/>
    </row>
    <row r="492" ht="16" customHeight="1" s="55">
      <c r="A492" s="86" t="inlineStr">
        <is>
          <t>General deep learning model for detecting diabetic retinopathy.</t>
        </is>
      </c>
      <c r="B492" s="86" t="inlineStr">
        <is>
          <t>Chen, Ping-Nan</t>
        </is>
      </c>
      <c r="C492" s="86" t="n">
        <v>2021</v>
      </c>
      <c r="D492" s="5" t="inlineStr">
        <is>
          <t>Outcome not related to interest</t>
        </is>
      </c>
      <c r="E492" s="86" t="n"/>
      <c r="F492" s="86" t="n"/>
      <c r="G492" s="86" t="n"/>
      <c r="H492" s="5" t="n"/>
    </row>
    <row r="493" ht="16" customHeight="1" s="55">
      <c r="A493" s="86" t="inlineStr">
        <is>
          <t>A novel four-step feature selection technique for diabetic retinopathy grading.</t>
        </is>
      </c>
      <c r="B493" s="86" t="inlineStr">
        <is>
          <t>Jagan Mohan, N</t>
        </is>
      </c>
      <c r="C493" s="86" t="n">
        <v>2021</v>
      </c>
      <c r="D493" s="5" t="inlineStr">
        <is>
          <t>Outcome not related to interest</t>
        </is>
      </c>
      <c r="E493" s="86" t="n"/>
      <c r="F493" s="86" t="n"/>
      <c r="G493" s="86" t="n"/>
      <c r="H493" s="5" t="n"/>
    </row>
    <row r="494" ht="16" customHeight="1" s="55">
      <c r="A494" s="86" t="inlineStr">
        <is>
          <t>Use of offline artificial intelligence in a smartphone-based fundus camera for community screening of diabetic retinopathy.</t>
        </is>
      </c>
      <c r="B494" s="86" t="inlineStr">
        <is>
          <t>Jain, Astha</t>
        </is>
      </c>
      <c r="C494" s="86" t="n">
        <v>2021</v>
      </c>
      <c r="D494" s="5" t="inlineStr">
        <is>
          <t>Outcome not related to interest</t>
        </is>
      </c>
      <c r="E494" s="86" t="n"/>
      <c r="F494" s="86" t="n"/>
      <c r="G494" s="86" t="n"/>
      <c r="H494" s="5" t="n"/>
    </row>
    <row r="495" ht="16" customHeight="1" s="55">
      <c r="A495" s="86" t="inlineStr">
        <is>
          <t>Severity Grading and Early Retinopathy Lesion Detection through Hybrid Inception-ResNet Architecture.</t>
        </is>
      </c>
      <c r="B495" s="86" t="inlineStr">
        <is>
          <t>Yasin, Sana</t>
        </is>
      </c>
      <c r="C495" s="86" t="n">
        <v>2021</v>
      </c>
      <c r="D495" s="5" t="inlineStr">
        <is>
          <t>Outcome not related to interest</t>
        </is>
      </c>
      <c r="E495" s="86" t="n"/>
      <c r="F495" s="86" t="n"/>
      <c r="G495" s="86" t="n"/>
      <c r="H495" s="5" t="n"/>
    </row>
    <row r="496" ht="16" customHeight="1" s="55">
      <c r="A496" s="86" t="inlineStr">
        <is>
          <t>Vision Transformer-based recognition of diabetic retinopathy grade.</t>
        </is>
      </c>
      <c r="B496" s="86" t="inlineStr">
        <is>
          <t>Wu, Jianfang</t>
        </is>
      </c>
      <c r="C496" s="86" t="n">
        <v>2021</v>
      </c>
      <c r="D496" s="5" t="inlineStr">
        <is>
          <t>Outcome not related to interest</t>
        </is>
      </c>
      <c r="E496" s="86" t="n"/>
      <c r="F496" s="86" t="n"/>
      <c r="G496" s="86" t="n"/>
      <c r="H496" s="5" t="n"/>
    </row>
    <row r="497" ht="16" customHeight="1" s="55">
      <c r="A497" s="86" t="inlineStr">
        <is>
          <t>DFTSA-Net: Deep Feature Transfer-Based Stacked Autoencoder Network for DME Diagnosis.</t>
        </is>
      </c>
      <c r="B497" s="86" t="inlineStr">
        <is>
          <t>Atteia, Ghada</t>
        </is>
      </c>
      <c r="C497" s="86" t="n">
        <v>2021</v>
      </c>
      <c r="D497" s="5" t="inlineStr">
        <is>
          <t>Outcome not related to interest</t>
        </is>
      </c>
      <c r="E497" s="86" t="n"/>
      <c r="F497" s="86" t="n"/>
      <c r="G497" s="86" t="n"/>
      <c r="H497" s="5" t="n"/>
    </row>
    <row r="498" ht="16" customHeight="1" s="55">
      <c r="A498" s="86" t="inlineStr">
        <is>
          <t>Combined automated screening for age-related macular degeneration and diabetic retinopathy in primary care settings.</t>
        </is>
      </c>
      <c r="B498" s="86" t="inlineStr">
        <is>
          <t>Bhuiyan, Alauddin</t>
        </is>
      </c>
      <c r="C498" s="86" t="n">
        <v>2021</v>
      </c>
      <c r="D498" s="5" t="inlineStr">
        <is>
          <t>Outcome not related to interest</t>
        </is>
      </c>
      <c r="E498" s="86" t="n"/>
      <c r="F498" s="86" t="n"/>
      <c r="G498" s="86" t="n"/>
      <c r="H498" s="5" t="n"/>
    </row>
    <row r="499" ht="16" customHeight="1" s="55">
      <c r="A499" s="86" t="inlineStr">
        <is>
          <t>Association of Subregional Quantitative Ultra-widefield Fluorescence Angiography Characteristics With the Occurrence of Diabetic Macular Edema and Proliferative Diabetic Retinopathy.</t>
        </is>
      </c>
      <c r="B499" s="86" t="inlineStr">
        <is>
          <t>Sun, Gongpeng</t>
        </is>
      </c>
      <c r="C499" s="86" t="n">
        <v>2021</v>
      </c>
      <c r="D499" s="86" t="inlineStr">
        <is>
          <t>Fundus Fluorescein Angiography</t>
        </is>
      </c>
      <c r="E499" s="86" t="n"/>
      <c r="F499" s="86" t="n"/>
      <c r="G499" s="86" t="n"/>
      <c r="H499" s="86" t="n"/>
    </row>
    <row r="500" ht="16" customHeight="1" s="55">
      <c r="A500" s="86" t="inlineStr">
        <is>
          <t>Effective methods of diabetic retinopathy detection based on deep convolutional neural networks.</t>
        </is>
      </c>
      <c r="B500" s="86" t="inlineStr">
        <is>
          <t>Gu, Yunchao</t>
        </is>
      </c>
      <c r="C500" s="86" t="n">
        <v>2021</v>
      </c>
      <c r="D500" s="5" t="inlineStr">
        <is>
          <t>Outcome not related to interest</t>
        </is>
      </c>
      <c r="E500" s="86" t="n"/>
      <c r="F500" s="86" t="n"/>
      <c r="G500" s="86" t="n"/>
      <c r="H500" s="5" t="n"/>
    </row>
    <row r="501" ht="16" customHeight="1" s="55">
      <c r="A501" s="86" t="inlineStr">
        <is>
          <t>The Importance of Close Follow-Up in Patients with Early-Grade Diabetic Retinopathy: A Taiwan Population-Based Study Grading via Deep Learning Model.</t>
        </is>
      </c>
      <c r="B501" s="86" t="inlineStr">
        <is>
          <t>Lee, Chia-Cheng</t>
        </is>
      </c>
      <c r="C501" s="86" t="n">
        <v>2021</v>
      </c>
      <c r="D501" s="5" t="inlineStr">
        <is>
          <t>Outcome not related to interest</t>
        </is>
      </c>
      <c r="E501" s="86" t="n"/>
      <c r="F501" s="86" t="n"/>
      <c r="G501" s="86" t="n"/>
      <c r="H501" s="5" t="n"/>
    </row>
    <row r="502" ht="16" customHeight="1" s="55">
      <c r="A502" s="86" t="inlineStr">
        <is>
          <t>A Smart Healthcare Recommendation System for Multidisciplinary Diabetes Patients with Data Fusion Based on Deep Ensemble Learning.</t>
        </is>
      </c>
      <c r="B502" s="86" t="inlineStr">
        <is>
          <t>Ihnaini, Baha</t>
        </is>
      </c>
      <c r="C502" s="86" t="n">
        <v>2021</v>
      </c>
      <c r="D502" s="5" t="inlineStr">
        <is>
          <t>Outcome not related to interest</t>
        </is>
      </c>
      <c r="E502" s="86" t="n"/>
      <c r="F502" s="86" t="n"/>
      <c r="G502" s="86" t="n"/>
      <c r="H502" s="5" t="n"/>
    </row>
    <row r="503" ht="16" customHeight="1" s="55">
      <c r="A503" s="86" t="inlineStr">
        <is>
          <t>EAD-Net: A Novel Lesion Segmentation Method in Diabetic Retinopathy Using Neural Networks.</t>
        </is>
      </c>
      <c r="B503" s="86" t="inlineStr">
        <is>
          <t>Wan, Cheng</t>
        </is>
      </c>
      <c r="C503" s="86" t="n">
        <v>2021</v>
      </c>
      <c r="D503" s="5" t="inlineStr">
        <is>
          <t>Outcome not related to interest</t>
        </is>
      </c>
      <c r="E503" s="86" t="n"/>
      <c r="F503" s="86" t="n"/>
      <c r="G503" s="86" t="n"/>
      <c r="H503" s="5" t="n"/>
    </row>
    <row r="504" ht="16" customHeight="1" s="55">
      <c r="A504" s="86" t="inlineStr">
        <is>
          <t>Validation of an Automated Screening System for Diabetic Retinopathy Operating under Real Clinical Conditions.</t>
        </is>
      </c>
      <c r="B504" s="86" t="inlineStr">
        <is>
          <t>Jimenez-Carmona, Soledad</t>
        </is>
      </c>
      <c r="C504" s="86" t="n">
        <v>2021</v>
      </c>
      <c r="D504" s="86" t="inlineStr">
        <is>
          <t>Not deep learning</t>
        </is>
      </c>
      <c r="E504" s="86" t="n"/>
      <c r="F504" s="86" t="n"/>
      <c r="G504" s="86" t="n"/>
      <c r="H504" s="86" t="n"/>
    </row>
    <row r="505" ht="16" customHeight="1" s="55">
      <c r="A505" s="86" t="inlineStr">
        <is>
          <t>Performance Analysis of Deep-Neural-Network-Based Automatic Diagnosis of Diabetic Retinopathy.</t>
        </is>
      </c>
      <c r="B505" s="86" t="inlineStr">
        <is>
          <t>Tariq, Hassan</t>
        </is>
      </c>
      <c r="C505" s="86" t="n">
        <v>2021</v>
      </c>
      <c r="D505" s="5" t="inlineStr">
        <is>
          <t>Outcome not related to interest</t>
        </is>
      </c>
      <c r="E505" s="86" t="n"/>
      <c r="F505" s="86" t="n"/>
      <c r="G505" s="86" t="n"/>
      <c r="H505" s="5" t="n"/>
    </row>
    <row r="506" ht="16" customHeight="1" s="55">
      <c r="A506" s="86" t="inlineStr">
        <is>
          <t>DR-IIXRN : Detection Algorithm of Diabetic Retinopathy Based on Deep Ensemble Learning and Attention Mechanism.</t>
        </is>
      </c>
      <c r="B506" s="86" t="inlineStr">
        <is>
          <t>Ai, Zhuang</t>
        </is>
      </c>
      <c r="C506" s="86" t="n">
        <v>2021</v>
      </c>
      <c r="D506" s="5" t="inlineStr">
        <is>
          <t>Outcome not related to interest</t>
        </is>
      </c>
      <c r="E506" s="86" t="n"/>
      <c r="F506" s="86" t="n"/>
      <c r="G506" s="86" t="n"/>
      <c r="H506" s="5" t="n"/>
    </row>
    <row r="507" ht="16" customHeight="1" s="55">
      <c r="A507" s="86" t="inlineStr">
        <is>
          <t>Usefulness of Machine Learning for Identification of Referable Diabetic Retinopathy in a Large-Scale Population-Based Study.</t>
        </is>
      </c>
      <c r="B507" s="86" t="inlineStr">
        <is>
          <t>Yang, Cheng</t>
        </is>
      </c>
      <c r="C507" s="86" t="n">
        <v>2021</v>
      </c>
      <c r="D507" s="86" t="inlineStr">
        <is>
          <t>Not deep learning</t>
        </is>
      </c>
      <c r="E507" s="86" t="n"/>
      <c r="F507" s="86" t="n"/>
      <c r="G507" s="86" t="n"/>
      <c r="H507" s="86" t="n"/>
    </row>
    <row r="508" ht="16" customHeight="1" s="55">
      <c r="A508" s="86" t="inlineStr">
        <is>
          <t>Screening Referable Diabetic Retinopathy Using a Semi-automated Deep Learning Algorithm Assisted Approach.</t>
        </is>
      </c>
      <c r="B508" s="86" t="inlineStr">
        <is>
          <t>Wang, Yueye</t>
        </is>
      </c>
      <c r="C508" s="86" t="n">
        <v>2021</v>
      </c>
      <c r="D508" s="5" t="inlineStr">
        <is>
          <t>Outcome not related to interest</t>
        </is>
      </c>
      <c r="E508" s="86" t="n"/>
      <c r="F508" s="86" t="n"/>
      <c r="G508" s="86" t="n"/>
      <c r="H508" s="5" t="n"/>
    </row>
    <row r="509" ht="16" customHeight="1" s="55">
      <c r="A509" s="86" t="inlineStr">
        <is>
          <t>Improved Automatic Grading of Diabetic Retinopathy Using Deep Learning and Principal Component Analysis.</t>
        </is>
      </c>
      <c r="B509" s="86" t="inlineStr">
        <is>
          <t>Mohamed, Eman</t>
        </is>
      </c>
      <c r="C509" s="86" t="n">
        <v>2021</v>
      </c>
      <c r="D509" s="5" t="inlineStr">
        <is>
          <t>Outcome not related to interest</t>
        </is>
      </c>
      <c r="E509" s="86" t="n"/>
      <c r="F509" s="86" t="n"/>
      <c r="G509" s="86" t="n"/>
      <c r="H509" s="5" t="n"/>
    </row>
    <row r="510" ht="16" customHeight="1" s="55">
      <c r="A510" s="86" t="inlineStr">
        <is>
          <t>Detection of Fundus Lesions through a Convolutional Neural Network in Patients with Diabetic Retinopathy.</t>
        </is>
      </c>
      <c r="B510" s="86" t="inlineStr">
        <is>
          <t>Santos, Carlos</t>
        </is>
      </c>
      <c r="C510" s="86" t="n">
        <v>2021</v>
      </c>
      <c r="D510" s="5" t="inlineStr">
        <is>
          <t>Outcome not related to interest</t>
        </is>
      </c>
      <c r="E510" s="86" t="n"/>
      <c r="F510" s="86" t="n"/>
      <c r="G510" s="86" t="n"/>
      <c r="H510" s="5" t="n"/>
    </row>
    <row r="511" ht="16" customHeight="1" s="55">
      <c r="A511" s="86" t="inlineStr">
        <is>
          <t>Two Eyes Are Better Than One: Exploiting Binocular Correlation for Diabetic Retinopathy Severity Grading.</t>
        </is>
      </c>
      <c r="B511" s="86" t="inlineStr">
        <is>
          <t>Qian, Peisheng</t>
        </is>
      </c>
      <c r="C511" s="86" t="n">
        <v>2021</v>
      </c>
      <c r="D511" s="5" t="inlineStr">
        <is>
          <t>Outcome not related to interest</t>
        </is>
      </c>
      <c r="E511" s="86" t="n"/>
      <c r="F511" s="86" t="n"/>
      <c r="G511" s="86" t="n"/>
      <c r="H511" s="5" t="n"/>
    </row>
    <row r="512" ht="16" customHeight="1" s="55">
      <c r="A512" s="86" t="inlineStr">
        <is>
          <t>RF-GANs: A Method to Synthesize Retinal Fundus Images Based on Generative Adversarial Network.</t>
        </is>
      </c>
      <c r="B512" s="86" t="inlineStr">
        <is>
          <t>Chen, Yu</t>
        </is>
      </c>
      <c r="C512" s="86" t="n">
        <v>2021</v>
      </c>
      <c r="D512" s="5" t="inlineStr">
        <is>
          <t>Outcome not related to interest</t>
        </is>
      </c>
      <c r="E512" s="86" t="n"/>
      <c r="F512" s="86" t="n"/>
      <c r="G512" s="86" t="n"/>
      <c r="H512" s="5" t="n"/>
    </row>
    <row r="513" ht="16" customHeight="1" s="55">
      <c r="A513" s="86" t="inlineStr">
        <is>
          <t>Pivotal Evaluation of an Artificial Intelligence System for Autonomous Detection of Referrable and Vision-Threatening Diabetic Retinopathy.</t>
        </is>
      </c>
      <c r="B513" s="86" t="inlineStr">
        <is>
          <t>Ipp, Eli</t>
        </is>
      </c>
      <c r="C513" s="86" t="n">
        <v>2021</v>
      </c>
      <c r="D513" s="5" t="inlineStr">
        <is>
          <t>Outcome not related to interest</t>
        </is>
      </c>
      <c r="E513" s="86" t="n"/>
      <c r="F513" s="86" t="n"/>
      <c r="G513" s="86" t="n"/>
      <c r="H513" s="5" t="n"/>
    </row>
    <row r="514" ht="16" customHeight="1" s="55">
      <c r="A514" s="86" t="inlineStr">
        <is>
          <t>Data Homogeneity Effect in Deep Learning-Based Prediction of Type 1 Diabetic Retinopathy.</t>
        </is>
      </c>
      <c r="B514" s="86" t="inlineStr">
        <is>
          <t>Lo, Jui-En</t>
        </is>
      </c>
      <c r="C514" s="86" t="n">
        <v>2021</v>
      </c>
      <c r="D514" s="5" t="inlineStr">
        <is>
          <t>Outcome not related to interest</t>
        </is>
      </c>
      <c r="E514" s="86" t="n"/>
      <c r="F514" s="86" t="n"/>
      <c r="G514" s="86" t="n"/>
      <c r="H514" s="5" t="n"/>
    </row>
    <row r="515" ht="16" customHeight="1" s="55">
      <c r="A515" s="86" t="inlineStr">
        <is>
          <t>Diabetic and Hypertensive Retinopathy Screening in Fundus Images Using Artificially Intelligent Shallow Architectures.</t>
        </is>
      </c>
      <c r="B515" s="86" t="inlineStr">
        <is>
          <t>Arsalan, Muhammad</t>
        </is>
      </c>
      <c r="C515" s="86" t="n">
        <v>2021</v>
      </c>
      <c r="D515" s="5" t="inlineStr">
        <is>
          <t>Outcome not related to interest</t>
        </is>
      </c>
      <c r="E515" s="86" t="n"/>
      <c r="F515" s="86" t="n"/>
      <c r="G515" s="86" t="n"/>
      <c r="H515" s="5" t="n"/>
    </row>
    <row r="516" ht="16" customHeight="1" s="55">
      <c r="A516" s="86" t="inlineStr">
        <is>
          <t>Evaluation of deep learning network model based on attention mechanism in diabetic retinopathy screening in China</t>
        </is>
      </c>
      <c r="B516" s="86" t="inlineStr">
        <is>
          <t>Ziwei, D.</t>
        </is>
      </c>
      <c r="C516" s="86" t="n">
        <v>2021</v>
      </c>
      <c r="D516" s="5" t="inlineStr">
        <is>
          <t>Outcome not related to interest</t>
        </is>
      </c>
      <c r="E516" s="86" t="n"/>
      <c r="F516" s="86" t="n"/>
      <c r="G516" s="86" t="n"/>
      <c r="H516" s="5" t="n"/>
    </row>
    <row r="517" ht="16" customHeight="1" s="55">
      <c r="A517" s="86" t="inlineStr">
        <is>
          <t>Detection of diabetic retinopathy from ultra-widefield scanning laser ophthalmoscope images</t>
        </is>
      </c>
      <c r="B517" s="86" t="inlineStr">
        <is>
          <t>Iglicki, M.</t>
        </is>
      </c>
      <c r="C517" s="86" t="n">
        <v>2021</v>
      </c>
      <c r="D517" s="5" t="inlineStr">
        <is>
          <t>Outcome not related to interest</t>
        </is>
      </c>
      <c r="E517" s="86" t="n"/>
      <c r="F517" s="86" t="n"/>
      <c r="G517" s="86" t="n"/>
      <c r="H517" s="5" t="n"/>
    </row>
    <row r="518" ht="16" customHeight="1" s="55">
      <c r="A518" s="86" t="inlineStr">
        <is>
          <t>Deep learning model for automated screening of moderately severe and severe non-proliferative diabetic retinopathy from 7-field colour fundus photographs</t>
        </is>
      </c>
      <c r="B518" s="86" t="inlineStr">
        <is>
          <t>Yang, Q.</t>
        </is>
      </c>
      <c r="C518" s="86" t="n">
        <v>2021</v>
      </c>
      <c r="D518" s="5" t="inlineStr">
        <is>
          <t>Outcome not related to interest</t>
        </is>
      </c>
      <c r="E518" s="86" t="n"/>
      <c r="F518" s="86" t="n"/>
      <c r="G518" s="86" t="n"/>
      <c r="H518" s="5" t="n"/>
    </row>
    <row r="519" ht="16" customHeight="1" s="55">
      <c r="A519" s="86" t="inlineStr">
        <is>
          <t>Synergic Adversarial Label Learning for Grading Retinal Diseases via Knowledge Distillation and Multi-Task Learning</t>
        </is>
      </c>
      <c r="B519" s="86" t="inlineStr">
        <is>
          <t>Ju, L.</t>
        </is>
      </c>
      <c r="C519" s="86" t="n">
        <v>2021</v>
      </c>
      <c r="D519" s="5" t="inlineStr">
        <is>
          <t>Outcome not related to interest</t>
        </is>
      </c>
      <c r="E519" s="86" t="n"/>
      <c r="F519" s="86" t="n"/>
      <c r="G519" s="86" t="n"/>
      <c r="H519" s="5" t="n"/>
    </row>
    <row r="520" ht="16" customHeight="1" s="55">
      <c r="A520" s="86" t="inlineStr">
        <is>
          <t>Leveraging Regular Fundus Images for Training UWF Fundus Diagnosis Models via Adversarial Learning and Pseudo-Labeling</t>
        </is>
      </c>
      <c r="B520" s="86" t="inlineStr">
        <is>
          <t>Ju, L.</t>
        </is>
      </c>
      <c r="C520" s="86" t="n">
        <v>2021</v>
      </c>
      <c r="D520" s="5" t="inlineStr">
        <is>
          <t>Outcome not related to interest</t>
        </is>
      </c>
      <c r="E520" s="86" t="n"/>
      <c r="F520" s="86" t="n"/>
      <c r="G520" s="86" t="n"/>
      <c r="H520" s="5" t="n"/>
    </row>
    <row r="521" ht="16" customHeight="1" s="55">
      <c r="A521" s="86" t="inlineStr">
        <is>
          <t>Evaluation of the implementation of an approved artificial intelligence system for the detection of diabetic retinopathy</t>
        </is>
      </c>
      <c r="B521" s="86" t="inlineStr">
        <is>
          <t>Roser, P.</t>
        </is>
      </c>
      <c r="C521" s="86" t="n">
        <v>2021</v>
      </c>
      <c r="D521" s="5" t="inlineStr">
        <is>
          <t>Outcome not related to interest</t>
        </is>
      </c>
      <c r="E521" s="86" t="n"/>
      <c r="F521" s="86" t="n"/>
      <c r="G521" s="86" t="n"/>
      <c r="H521" s="5" t="n"/>
    </row>
    <row r="522" ht="16" customHeight="1" s="55">
      <c r="A522" s="86" t="inlineStr">
        <is>
          <t>Development of an Artificial Intelligence-based Diabetic Retinopathy Screening Tool for Optos Ultra-Widefield Imaging</t>
        </is>
      </c>
      <c r="B522" s="86" t="inlineStr">
        <is>
          <t>Peto, T.</t>
        </is>
      </c>
      <c r="C522" s="86" t="n">
        <v>2021</v>
      </c>
      <c r="D522" s="86" t="inlineStr">
        <is>
          <t>Insufficient to constrct confusion matrix</t>
        </is>
      </c>
      <c r="E522" s="86" t="n"/>
      <c r="F522" s="86" t="n"/>
      <c r="G522" s="86" t="n"/>
      <c r="H522" s="86" t="n"/>
    </row>
    <row r="523" ht="16" customHeight="1" s="55">
      <c r="A523" s="86" t="inlineStr">
        <is>
          <t>Accuracy of a Diabetic Retinopathy Grading Algorithm used with a Hand-Held Fundus Camera in Southern Malawi</t>
        </is>
      </c>
      <c r="B523" s="86" t="inlineStr">
        <is>
          <t>Aslan, J.</t>
        </is>
      </c>
      <c r="C523" s="86" t="n">
        <v>2021</v>
      </c>
      <c r="D523" s="5" t="inlineStr">
        <is>
          <t>Outcome not related to interest</t>
        </is>
      </c>
      <c r="E523" s="86" t="n"/>
      <c r="F523" s="86" t="n"/>
      <c r="G523" s="86" t="n"/>
      <c r="H523" s="5" t="n"/>
    </row>
    <row r="524" ht="16" customHeight="1" s="55">
      <c r="A524" s="86" t="inlineStr">
        <is>
          <t>Testing of Thirteen Artificial Intelligence Algorithms for Diabetic Retinopathy using Fundus Images from Finland</t>
        </is>
      </c>
      <c r="B524" s="86" t="inlineStr">
        <is>
          <t>Huhtinen, P.</t>
        </is>
      </c>
      <c r="C524" s="86" t="n">
        <v>2021</v>
      </c>
      <c r="D524" s="86" t="inlineStr">
        <is>
          <t>Insufficient to constrct confusion matrix</t>
        </is>
      </c>
      <c r="E524" s="86" t="n"/>
      <c r="F524" s="86" t="n"/>
      <c r="G524" s="86" t="n"/>
      <c r="H524" s="86" t="n"/>
    </row>
    <row r="525" ht="16" customHeight="1" s="55">
      <c r="A525" s="86" t="inlineStr">
        <is>
          <t>Performance Evaluation of Software-Assisted Diabetic Retinopathy Screening</t>
        </is>
      </c>
      <c r="B525" s="86" t="inlineStr">
        <is>
          <t>Nissen, T.</t>
        </is>
      </c>
      <c r="C525" s="86" t="n">
        <v>2021</v>
      </c>
      <c r="D525" s="86" t="inlineStr">
        <is>
          <t>Not deep learning</t>
        </is>
      </c>
      <c r="E525" s="86" t="n"/>
      <c r="F525" s="86" t="n"/>
      <c r="G525" s="86" t="n"/>
      <c r="H525" s="86" t="n"/>
    </row>
    <row r="526" ht="16" customHeight="1" s="55">
      <c r="A526" s="86" t="inlineStr">
        <is>
          <t>Deep residual transfer learning for automatic diagnosis and grading of diabetic retinopathy</t>
        </is>
      </c>
      <c r="B526" s="86" t="inlineStr">
        <is>
          <t>Martinez-Murcia, F.J.</t>
        </is>
      </c>
      <c r="C526" s="86" t="n">
        <v>2021</v>
      </c>
      <c r="D526" s="5" t="inlineStr">
        <is>
          <t>Outcome not related to interest</t>
        </is>
      </c>
      <c r="E526" s="86" t="n"/>
      <c r="F526" s="86" t="n"/>
      <c r="G526" s="86" t="n"/>
      <c r="H526" s="5" t="n"/>
    </row>
    <row r="527" ht="16" customHeight="1" s="55">
      <c r="A527" s="86" t="inlineStr">
        <is>
          <t>Novel stage optimized image processing to improve deep learning driven diagnosis of early diabetic retinopathy</t>
        </is>
      </c>
      <c r="B527" s="86" t="inlineStr">
        <is>
          <t>Yee, E.</t>
        </is>
      </c>
      <c r="C527" s="86" t="n">
        <v>2021</v>
      </c>
      <c r="D527" s="5" t="inlineStr">
        <is>
          <t>Outcome not related to interest</t>
        </is>
      </c>
      <c r="E527" s="86" t="n"/>
      <c r="F527" s="86" t="n"/>
      <c r="G527" s="86" t="n"/>
      <c r="H527" s="5" t="n"/>
    </row>
    <row r="528" ht="16" customHeight="1" s="55">
      <c r="A528" s="86" t="inlineStr">
        <is>
          <t>Deep learning based ocular disease classification using retinal fundus images</t>
        </is>
      </c>
      <c r="B528" s="86" t="inlineStr">
        <is>
          <t>Shrivastava, A.</t>
        </is>
      </c>
      <c r="C528" s="86" t="n">
        <v>2021</v>
      </c>
      <c r="D528" s="5" t="inlineStr">
        <is>
          <t>Outcome not related to interest</t>
        </is>
      </c>
      <c r="E528" s="86" t="n"/>
      <c r="F528" s="86" t="n"/>
      <c r="G528" s="86" t="n"/>
      <c r="H528" s="5" t="n"/>
    </row>
    <row r="529" ht="16" customHeight="1" s="55">
      <c r="A529" s="86" t="inlineStr">
        <is>
          <t>LEAP: Lesion-aware prediction of diabetic macular edema grades from color fundus images using deep learning</t>
        </is>
      </c>
      <c r="B529" s="86" t="inlineStr">
        <is>
          <t>Kamble, R.</t>
        </is>
      </c>
      <c r="C529" s="86" t="n">
        <v>2021</v>
      </c>
      <c r="D529" s="5" t="inlineStr">
        <is>
          <t>Outcome not related to interest</t>
        </is>
      </c>
      <c r="E529" s="86" t="n"/>
      <c r="F529" s="86" t="n"/>
      <c r="G529" s="86" t="n"/>
      <c r="H529" s="5" t="n"/>
    </row>
    <row r="530" ht="16" customHeight="1" s="55">
      <c r="A530" s="86" t="inlineStr">
        <is>
          <t>Deep learning architecture based on segmented fundus image features for classification of diabetic retinopathy</t>
        </is>
      </c>
      <c r="B530" s="86" t="inlineStr">
        <is>
          <t>Das, S.</t>
        </is>
      </c>
      <c r="C530" s="86" t="n">
        <v>2021</v>
      </c>
      <c r="D530" s="5" t="inlineStr">
        <is>
          <t>Outcome not related to interest</t>
        </is>
      </c>
      <c r="E530" s="86" t="n"/>
      <c r="F530" s="86" t="n"/>
      <c r="G530" s="86" t="n"/>
      <c r="H530" s="5" t="n"/>
    </row>
    <row r="531" ht="16" customHeight="1" s="55">
      <c r="A531" s="86" t="inlineStr">
        <is>
          <t>Remote screening of diabetic retinopathy using ultra-widefield retinal imaging</t>
        </is>
      </c>
      <c r="B531" s="86" t="inlineStr">
        <is>
          <t>Kato, A.</t>
        </is>
      </c>
      <c r="C531" s="86" t="n">
        <v>2021</v>
      </c>
      <c r="D531" s="86" t="inlineStr">
        <is>
          <t>Not deep learning</t>
        </is>
      </c>
      <c r="E531" s="86" t="n"/>
      <c r="F531" s="86" t="n"/>
      <c r="G531" s="86" t="n"/>
      <c r="H531" s="86" t="n"/>
    </row>
    <row r="532" ht="16" customHeight="1" s="55">
      <c r="A532" s="86" t="inlineStr">
        <is>
          <t>Using deep learning to identify diabetic retinopathy in Saudi Arabia</t>
        </is>
      </c>
      <c r="B532" s="86" t="inlineStr">
        <is>
          <t>AlAkeely, A.</t>
        </is>
      </c>
      <c r="C532" s="86" t="n">
        <v>2021</v>
      </c>
      <c r="D532" s="86" t="inlineStr">
        <is>
          <t>Insufficient to constrct confusion matrix</t>
        </is>
      </c>
      <c r="E532" s="86" t="n"/>
      <c r="F532" s="86" t="n"/>
      <c r="G532" s="86" t="n"/>
      <c r="H532" s="86" t="n"/>
    </row>
    <row r="533" ht="16" customHeight="1" s="55">
      <c r="A533" s="86" t="inlineStr">
        <is>
          <t>Automated machine learning model for the classification of retinal diseases from ultra-widefield pseudocolor fundus images</t>
        </is>
      </c>
      <c r="B533" s="86" t="inlineStr">
        <is>
          <t>Antaki, F.</t>
        </is>
      </c>
      <c r="C533" s="86" t="n">
        <v>2021</v>
      </c>
      <c r="D533" s="5" t="inlineStr">
        <is>
          <t>Outcome not related to interest</t>
        </is>
      </c>
      <c r="E533" s="86" t="n"/>
      <c r="F533" s="86" t="n"/>
      <c r="G533" s="86" t="n"/>
      <c r="H533" s="5" t="n"/>
    </row>
    <row r="534" ht="16" customHeight="1" s="55">
      <c r="A534" s="86" t="inlineStr">
        <is>
          <t>Automated screening of moderately severe and severe nonproliferative diabetic retinopathy (NPDR) from 7-field color fundus photographs (7F-CFP) using deep learning (DL)</t>
        </is>
      </c>
      <c r="B534" s="86" t="inlineStr">
        <is>
          <t>Benmansour, F.</t>
        </is>
      </c>
      <c r="C534" s="86" t="n">
        <v>2021</v>
      </c>
      <c r="D534" s="5" t="inlineStr">
        <is>
          <t>Outcome not related to interest</t>
        </is>
      </c>
      <c r="E534" s="86" t="n"/>
      <c r="F534" s="86" t="n"/>
      <c r="G534" s="86" t="n"/>
      <c r="H534" s="5" t="n"/>
    </row>
    <row r="535" ht="16" customHeight="1" s="55">
      <c r="A535" s="86" t="inlineStr">
        <is>
          <t>The effect of dataset size on pretraining and transfer learning for diabetic retinopathy in narrow field to widefield domain shift</t>
        </is>
      </c>
      <c r="B535" s="86" t="inlineStr">
        <is>
          <t>Sarhan, M.H.</t>
        </is>
      </c>
      <c r="C535" s="86" t="n">
        <v>2021</v>
      </c>
      <c r="D535" s="5" t="inlineStr">
        <is>
          <t>Outcome not related to interest</t>
        </is>
      </c>
      <c r="E535" s="86" t="n"/>
      <c r="F535" s="86" t="n"/>
      <c r="G535" s="86" t="n"/>
      <c r="H535" s="5" t="n"/>
    </row>
    <row r="536" ht="16" customHeight="1" s="55">
      <c r="A536" s="86" t="inlineStr">
        <is>
          <t>Artificial intelligence-based detection of diabetic retinopathy using retinal imaging and traditional risk factors</t>
        </is>
      </c>
      <c r="B536" s="86" t="inlineStr">
        <is>
          <t>Saha, S.K.</t>
        </is>
      </c>
      <c r="C536" s="86" t="n">
        <v>2021</v>
      </c>
      <c r="D536" s="5" t="inlineStr">
        <is>
          <t>Outcome not related to interest</t>
        </is>
      </c>
      <c r="E536" s="86" t="n"/>
      <c r="F536" s="86" t="n"/>
      <c r="G536" s="86" t="n"/>
      <c r="H536" s="5" t="n"/>
    </row>
    <row r="537" ht="16" customHeight="1" s="55">
      <c r="A537" s="86" t="inlineStr">
        <is>
          <t>Democratizing AI for DR: Automated selftraining to address label scarcity for deep learning in diabetic retinopathy classification</t>
        </is>
      </c>
      <c r="B537" s="86" t="inlineStr">
        <is>
          <t>Korot, E.</t>
        </is>
      </c>
      <c r="C537" s="86" t="n">
        <v>2021</v>
      </c>
      <c r="D537" s="5" t="inlineStr">
        <is>
          <t>Outcome not related to interest</t>
        </is>
      </c>
      <c r="E537" s="86" t="n"/>
      <c r="F537" s="86" t="n"/>
      <c r="G537" s="86" t="n"/>
      <c r="H537" s="5" t="n"/>
    </row>
    <row r="538" ht="16" customHeight="1" s="55">
      <c r="A538" s="86" t="inlineStr">
        <is>
          <t>Deep learning approach for automated detection of retinal pathology from ultrawidefield retinal images</t>
        </is>
      </c>
      <c r="B538" s="86" t="inlineStr">
        <is>
          <t>Hu, M.</t>
        </is>
      </c>
      <c r="C538" s="86" t="n">
        <v>2021</v>
      </c>
      <c r="D538" s="5" t="inlineStr">
        <is>
          <t>Outcome not related to interest</t>
        </is>
      </c>
      <c r="E538" s="86" t="n"/>
      <c r="F538" s="86" t="n"/>
      <c r="G538" s="86" t="n"/>
      <c r="H538" s="5" t="n"/>
    </row>
    <row r="539" ht="16" customHeight="1" s="55">
      <c r="A539" s="86" t="inlineStr">
        <is>
          <t>Retiprogram: A clinical decision suport system for diabetic retinopathy with predictive value</t>
        </is>
      </c>
      <c r="B539" s="86" t="inlineStr">
        <is>
          <t>Blanco, M.E.S.</t>
        </is>
      </c>
      <c r="C539" s="86" t="n">
        <v>2021</v>
      </c>
      <c r="D539" s="5" t="inlineStr">
        <is>
          <t>Outcome not related to interest</t>
        </is>
      </c>
      <c r="E539" s="86" t="n"/>
      <c r="F539" s="86" t="n"/>
      <c r="G539" s="86" t="n"/>
      <c r="H539" s="5" t="n"/>
    </row>
    <row r="540" ht="16" customHeight="1" s="55">
      <c r="A540" s="86" t="inlineStr">
        <is>
          <t>Multiple Lesions Insertion: Boosting diabetic retinopathy screening through Poisson editing</t>
        </is>
      </c>
      <c r="B540" s="86" t="inlineStr">
        <is>
          <t>Yu, Z.</t>
        </is>
      </c>
      <c r="C540" s="86" t="n">
        <v>2021</v>
      </c>
      <c r="D540" s="5" t="inlineStr">
        <is>
          <t>Outcome not related to interest</t>
        </is>
      </c>
      <c r="E540" s="86" t="n"/>
      <c r="F540" s="86" t="n"/>
      <c r="G540" s="86" t="n"/>
      <c r="H540" s="5" t="n"/>
    </row>
    <row r="541" ht="16" customHeight="1" s="55">
      <c r="A541" s="86" t="inlineStr">
        <is>
          <t>Multi-class multi-label ophthalmological disease detection using transfer learning based convolutional neural network</t>
        </is>
      </c>
      <c r="B541" s="86" t="inlineStr">
        <is>
          <t>Gour, N.</t>
        </is>
      </c>
      <c r="C541" s="86" t="n">
        <v>2021</v>
      </c>
      <c r="D541" s="5" t="inlineStr">
        <is>
          <t>Outcome not related to interest</t>
        </is>
      </c>
      <c r="E541" s="86" t="n"/>
      <c r="F541" s="86" t="n"/>
      <c r="G541" s="86" t="n"/>
      <c r="H541" s="5" t="n"/>
    </row>
    <row r="542" ht="16" customHeight="1" s="55">
      <c r="A542" s="86" t="inlineStr">
        <is>
          <t>Screening for Diabetic Retinopathy in Endocrinology Clinics by Using Handheld Cameras and Applying Artificial Intelligence Algorithms</t>
        </is>
      </c>
      <c r="B542" s="86" t="inlineStr">
        <is>
          <t>Dvey-Aharon, Z.</t>
        </is>
      </c>
      <c r="C542" s="86" t="n">
        <v>2021</v>
      </c>
      <c r="D542" s="5" t="inlineStr">
        <is>
          <t>Outcome not related to interest</t>
        </is>
      </c>
      <c r="E542" s="86" t="n"/>
      <c r="F542" s="86" t="n"/>
      <c r="G542" s="86" t="n"/>
      <c r="H542" s="5" t="n"/>
    </row>
    <row r="543" ht="16" customHeight="1" s="55">
      <c r="A543" s="86" t="inlineStr">
        <is>
          <t>Diabetic Retinopathy Detection Using Local Extrema Quantized Haralick Features with Long Short-Term Memory Network</t>
        </is>
      </c>
      <c r="B543" s="86" t="inlineStr">
        <is>
          <t>Ashir, A.M.</t>
        </is>
      </c>
      <c r="C543" s="86" t="n">
        <v>2021</v>
      </c>
      <c r="D543" s="5" t="inlineStr">
        <is>
          <t>Outcome not related to interest</t>
        </is>
      </c>
      <c r="E543" s="86" t="n"/>
      <c r="F543" s="86" t="n"/>
      <c r="G543" s="86" t="n"/>
      <c r="H543" s="5" t="n"/>
    </row>
    <row r="544" ht="16" customHeight="1" s="55">
      <c r="A544" s="86" t="inlineStr">
        <is>
          <t>Identification of diabetic retinopathy using deep learning algorithm and blood vessel extraction</t>
        </is>
      </c>
      <c r="B544" s="86" t="inlineStr">
        <is>
          <t>Swamy, G.A.</t>
        </is>
      </c>
      <c r="C544" s="86" t="n">
        <v>2021</v>
      </c>
      <c r="D544" s="5" t="inlineStr">
        <is>
          <t>Outcome not related to interest</t>
        </is>
      </c>
      <c r="E544" s="86" t="n"/>
      <c r="F544" s="86" t="n"/>
      <c r="G544" s="86" t="n"/>
      <c r="H544" s="5" t="n"/>
    </row>
    <row r="545" ht="16" customHeight="1" s="55">
      <c r="A545" s="86" t="inlineStr">
        <is>
          <t>Artificial intelligence-based screening for diabetic retinopathy at community hospital.</t>
        </is>
      </c>
      <c r="B545" s="86" t="inlineStr">
        <is>
          <t>He, Jie</t>
        </is>
      </c>
      <c r="C545" s="86" t="n">
        <v>2020</v>
      </c>
      <c r="D545" s="5" t="inlineStr">
        <is>
          <t>Outcome not related to interest</t>
        </is>
      </c>
      <c r="E545" s="86" t="n"/>
      <c r="F545" s="86" t="n"/>
      <c r="G545" s="86" t="n"/>
      <c r="H545" s="5" t="n"/>
    </row>
    <row r="546" ht="16" customHeight="1" s="55">
      <c r="A546" s="86" t="inlineStr">
        <is>
          <t>DMENet: Diabetic Macular Edema diagnosis using Hierarchical Ensemble of CNNs.</t>
        </is>
      </c>
      <c r="B546" s="86" t="inlineStr">
        <is>
          <t>Singh, Rajeev Kumar</t>
        </is>
      </c>
      <c r="C546" s="86" t="n">
        <v>2020</v>
      </c>
      <c r="D546" s="5" t="inlineStr">
        <is>
          <t>Outcome not related to interest</t>
        </is>
      </c>
      <c r="E546" s="86" t="n"/>
      <c r="F546" s="86" t="n"/>
      <c r="G546" s="86" t="n"/>
      <c r="H546" s="5" t="n"/>
    </row>
    <row r="547" ht="16" customHeight="1" s="55">
      <c r="A547" s="86" t="inlineStr">
        <is>
          <t>Validation of Deep Convolutional Neural Network-based algorithm for detection of diabetic retinopathy - Artificial intelligence versus clinician for screening.</t>
        </is>
      </c>
      <c r="B547" s="86" t="inlineStr">
        <is>
          <t>Shah, Payal</t>
        </is>
      </c>
      <c r="C547" s="86" t="n">
        <v>2020</v>
      </c>
      <c r="D547" s="5" t="inlineStr">
        <is>
          <t>Outcome not related to interest</t>
        </is>
      </c>
      <c r="E547" s="86" t="n"/>
      <c r="F547" s="86" t="n"/>
      <c r="G547" s="86" t="n"/>
      <c r="H547" s="5" t="n"/>
    </row>
    <row r="548" ht="16" customHeight="1" s="55">
      <c r="A548" s="86" t="inlineStr">
        <is>
          <t>Medios- An offline, smartphone-based artificial intelligence algorithm for the diagnosis of diabetic retinopathy.</t>
        </is>
      </c>
      <c r="B548" s="86" t="inlineStr">
        <is>
          <t>Sosale, Bhavana</t>
        </is>
      </c>
      <c r="C548" s="86" t="n">
        <v>2020</v>
      </c>
      <c r="D548" s="5" t="inlineStr">
        <is>
          <t>Outcome not related to interest</t>
        </is>
      </c>
      <c r="E548" s="86" t="n"/>
      <c r="F548" s="86" t="n"/>
      <c r="G548" s="86" t="n"/>
      <c r="H548" s="5" t="n"/>
    </row>
    <row r="549" ht="16" customHeight="1" s="55">
      <c r="A549" s="86" t="inlineStr">
        <is>
          <t>Deep and Densely Connected Networks for Classification of Diabetic Retinopathy.</t>
        </is>
      </c>
      <c r="B549" s="86" t="inlineStr">
        <is>
          <t>Riaz, Hamza</t>
        </is>
      </c>
      <c r="C549" s="86" t="n">
        <v>2020</v>
      </c>
      <c r="D549" s="5" t="inlineStr">
        <is>
          <t>Outcome not related to interest</t>
        </is>
      </c>
      <c r="E549" s="86" t="n"/>
      <c r="F549" s="86" t="n"/>
      <c r="G549" s="86" t="n"/>
      <c r="H549" s="5" t="n"/>
    </row>
    <row r="550" ht="16" customHeight="1" s="55">
      <c r="A550" s="86" t="inlineStr">
        <is>
          <t>Evaluation of a deep learning system for the joint automated detection of diabetic retinopathy and age-related macular degeneration.</t>
        </is>
      </c>
      <c r="B550" s="86" t="inlineStr">
        <is>
          <t>Gonz獺lez-Gonzalo, Cristina</t>
        </is>
      </c>
      <c r="C550" s="86" t="n">
        <v>2020</v>
      </c>
      <c r="D550" s="5" t="inlineStr">
        <is>
          <t>Outcome not related to interest</t>
        </is>
      </c>
      <c r="E550" s="86" t="n"/>
      <c r="F550" s="86" t="n"/>
      <c r="G550" s="86" t="n"/>
      <c r="H550" s="5" t="n"/>
    </row>
    <row r="551" ht="16" customHeight="1" s="55">
      <c r="A551" s="86" t="inlineStr">
        <is>
          <t>Validation of a Deep Learning Algorithm for Diabetic Retinopathy.</t>
        </is>
      </c>
      <c r="B551" s="86" t="inlineStr">
        <is>
          <t>Romero-Aroca, Pedro</t>
        </is>
      </c>
      <c r="C551" s="86" t="n">
        <v>2020</v>
      </c>
      <c r="D551" s="86" t="inlineStr">
        <is>
          <t>Outcome not related to interest</t>
        </is>
      </c>
      <c r="E551" s="86" t="n"/>
      <c r="F551" s="86" t="n"/>
      <c r="G551" s="86" t="n"/>
      <c r="H551" s="5" t="n"/>
    </row>
    <row r="552" ht="16" customHeight="1" s="55">
      <c r="A552" s="86" t="inlineStr">
        <is>
          <t>Towards implementation of AI in New Zealand national diabetic screening program: Cloud-based, robust, and bespoke.</t>
        </is>
      </c>
      <c r="B552" s="86" t="inlineStr">
        <is>
          <t>Xie, Li</t>
        </is>
      </c>
      <c r="C552" s="86" t="n">
        <v>2020</v>
      </c>
      <c r="D552" s="5" t="inlineStr">
        <is>
          <t>Outcome not related to interest</t>
        </is>
      </c>
      <c r="E552" s="86" t="n"/>
      <c r="F552" s="86" t="n"/>
      <c r="G552" s="86" t="n"/>
      <c r="H552" s="5" t="n"/>
    </row>
    <row r="553" ht="16" customHeight="1" s="55">
      <c r="A553" s="86" t="inlineStr">
        <is>
          <t>Simple, Mobile-based Artificial Intelligence Algorithm in the detection of Diabetic Retinopathy (SMART) study.</t>
        </is>
      </c>
      <c r="B553" s="86" t="inlineStr">
        <is>
          <t>Sosale, Bhavana</t>
        </is>
      </c>
      <c r="C553" s="86" t="n">
        <v>2020</v>
      </c>
      <c r="D553" s="5" t="inlineStr">
        <is>
          <t>Outcome not related to interest</t>
        </is>
      </c>
      <c r="E553" s="86" t="n"/>
      <c r="F553" s="86" t="n"/>
      <c r="G553" s="86" t="n"/>
      <c r="H553" s="5" t="n"/>
    </row>
    <row r="554" ht="16" customHeight="1" s="55">
      <c r="A554" s="86" t="inlineStr">
        <is>
          <t>Deep Learning Frameworks for Diabetic Retinopathy Detection with Smartphone-based Retinal Imaging Systems.</t>
        </is>
      </c>
      <c r="B554" s="86" t="inlineStr">
        <is>
          <t>Hacisoftaoglu, Recep E</t>
        </is>
      </c>
      <c r="C554" s="86" t="n">
        <v>2020</v>
      </c>
      <c r="D554" s="5" t="inlineStr">
        <is>
          <t>Outcome not related to interest</t>
        </is>
      </c>
      <c r="E554" s="86" t="n"/>
      <c r="F554" s="86" t="n"/>
      <c r="G554" s="86" t="n"/>
      <c r="H554" s="5" t="n"/>
    </row>
    <row r="555" ht="16" customHeight="1" s="55">
      <c r="A555" s="86" t="inlineStr">
        <is>
          <t>Detection of Diabetic Retinopathy Using Bichannel Convolutional Neural Network.</t>
        </is>
      </c>
      <c r="B555" s="86" t="inlineStr">
        <is>
          <t>Pao, Shu-I</t>
        </is>
      </c>
      <c r="C555" s="86" t="n">
        <v>2020</v>
      </c>
      <c r="D555" s="5" t="inlineStr">
        <is>
          <t>Outcome not related to interest</t>
        </is>
      </c>
      <c r="E555" s="86" t="n"/>
      <c r="F555" s="86" t="n"/>
      <c r="G555" s="86" t="n"/>
      <c r="H555" s="5" t="n"/>
    </row>
    <row r="556" ht="16" customHeight="1" s="55">
      <c r="A556" s="86" t="inlineStr">
        <is>
          <t>Comparison of smartphone-based retinal imaging systems for diabetic retinopathy detection using deep learning.</t>
        </is>
      </c>
      <c r="B556" s="86" t="inlineStr">
        <is>
          <t>Karakaya, Mahmut</t>
        </is>
      </c>
      <c r="C556" s="86" t="n">
        <v>2020</v>
      </c>
      <c r="D556" s="86" t="inlineStr">
        <is>
          <t>Insufficient to constrct confusion matrix</t>
        </is>
      </c>
      <c r="E556" s="86" t="n"/>
      <c r="F556" s="86" t="n"/>
      <c r="G556" s="86" t="n"/>
      <c r="H556" s="86" t="n"/>
    </row>
    <row r="557" ht="16" customHeight="1" s="55">
      <c r="A557" s="86" t="inlineStr">
        <is>
          <t>Hybrid machine learning architecture for automated detection and grading of retinal images for diabetic retinopathy.</t>
        </is>
      </c>
      <c r="B557" s="86" t="inlineStr">
        <is>
          <t>Narayanan, Barath Narayanan</t>
        </is>
      </c>
      <c r="C557" s="86" t="n">
        <v>2020</v>
      </c>
      <c r="D557" s="5" t="inlineStr">
        <is>
          <t>Outcome not related to interest</t>
        </is>
      </c>
      <c r="E557" s="86" t="n"/>
      <c r="F557" s="86" t="n"/>
      <c r="G557" s="86" t="n"/>
      <c r="H557" s="5" t="n"/>
    </row>
    <row r="558" ht="16" customHeight="1" s="55">
      <c r="A558" s="86" t="inlineStr">
        <is>
          <t>A convolutional neural network for the screening and staging of diabetic retinopathy.</t>
        </is>
      </c>
      <c r="B558" s="86" t="inlineStr">
        <is>
          <t>Shaban, Mohamed</t>
        </is>
      </c>
      <c r="C558" s="86" t="n">
        <v>2020</v>
      </c>
      <c r="D558" s="5" t="inlineStr">
        <is>
          <t>Outcome not related to interest</t>
        </is>
      </c>
      <c r="E558" s="86" t="n"/>
      <c r="F558" s="86" t="n"/>
      <c r="G558" s="86" t="n"/>
      <c r="H558" s="5" t="n"/>
    </row>
    <row r="559" ht="16" customHeight="1" s="55">
      <c r="A559" s="86" t="inlineStr">
        <is>
          <t>Expert-validated estimation of diagnostic uncertainty for deep neural networks in diabetic retinopathy detection.</t>
        </is>
      </c>
      <c r="B559" s="86" t="inlineStr">
        <is>
          <t>Ayhan, Murat Se癟kin</t>
        </is>
      </c>
      <c r="C559" s="86" t="n">
        <v>2020</v>
      </c>
      <c r="D559" s="5" t="inlineStr">
        <is>
          <t>Outcome not related to interest</t>
        </is>
      </c>
      <c r="E559" s="86" t="n"/>
      <c r="F559" s="86" t="n"/>
      <c r="G559" s="86" t="n"/>
      <c r="H559" s="5" t="n"/>
    </row>
    <row r="560" ht="16" customHeight="1" s="55">
      <c r="A560" s="86" t="inlineStr">
        <is>
          <t>DR|GRADUATE: Uncertainty-aware deep learning-based diabetic retinopathy grading in eye fundus images.</t>
        </is>
      </c>
      <c r="B560" s="86" t="inlineStr">
        <is>
          <t>Ara繳jo, Teresa</t>
        </is>
      </c>
      <c r="C560" s="86" t="n">
        <v>2020</v>
      </c>
      <c r="D560" s="5" t="inlineStr">
        <is>
          <t>Outcome not related to interest</t>
        </is>
      </c>
      <c r="E560" s="86" t="n"/>
      <c r="F560" s="86" t="n"/>
      <c r="G560" s="86" t="n"/>
      <c r="H560" s="5" t="n"/>
    </row>
    <row r="561" ht="16" customHeight="1" s="55">
      <c r="A561" s="86" t="inlineStr">
        <is>
          <t>Automatic Grading System for Diabetic Retinopathy Diagnosis Using Deep Learning Artificial Intelligence Software.</t>
        </is>
      </c>
      <c r="B561" s="86" t="inlineStr">
        <is>
          <t>Wang, Xiang-Ning</t>
        </is>
      </c>
      <c r="C561" s="86" t="n">
        <v>2020</v>
      </c>
      <c r="D561" s="5" t="inlineStr">
        <is>
          <t>Outcome not related to interest</t>
        </is>
      </c>
      <c r="E561" s="86" t="n"/>
      <c r="F561" s="86" t="n"/>
      <c r="G561" s="86" t="n"/>
      <c r="H561" s="5" t="n"/>
    </row>
    <row r="562" ht="16" customHeight="1" s="55">
      <c r="A562" s="86" t="inlineStr">
        <is>
          <t>Coarse-to-fine classification for diabetic retinopathy grading using convolutional neural network.</t>
        </is>
      </c>
      <c r="B562" s="86" t="inlineStr">
        <is>
          <t>Wu, Zhan</t>
        </is>
      </c>
      <c r="C562" s="86" t="n">
        <v>2020</v>
      </c>
      <c r="D562" s="5" t="inlineStr">
        <is>
          <t>Outcome not related to interest</t>
        </is>
      </c>
      <c r="E562" s="86" t="n"/>
      <c r="F562" s="86" t="n"/>
      <c r="G562" s="86" t="n"/>
      <c r="H562" s="5" t="n"/>
    </row>
    <row r="563" ht="16" customHeight="1" s="55">
      <c r="A563" s="86" t="inlineStr">
        <is>
          <t>Automated diabetic retinopathy detection with two different retinal imaging devices using artificial intelligence: a comparison study.</t>
        </is>
      </c>
      <c r="B563" s="86" t="inlineStr">
        <is>
          <t>Sarao, Valentina</t>
        </is>
      </c>
      <c r="C563" s="86" t="n">
        <v>2020</v>
      </c>
      <c r="D563" s="5" t="inlineStr">
        <is>
          <t>Outcome not related to interest</t>
        </is>
      </c>
      <c r="E563" s="86" t="n"/>
      <c r="F563" s="86" t="n"/>
      <c r="G563" s="86" t="n"/>
      <c r="H563" s="5" t="n"/>
    </row>
    <row r="564" ht="16" customHeight="1" s="55">
      <c r="A564" s="86" t="inlineStr">
        <is>
          <t>Explainable end-to-end deep learning for diabetic retinopathy detection across multiple datasets.</t>
        </is>
      </c>
      <c r="B564" s="86" t="inlineStr">
        <is>
          <t>Chetoui, Mohamed</t>
        </is>
      </c>
      <c r="C564" s="86" t="n">
        <v>2020</v>
      </c>
      <c r="D564" s="5" t="inlineStr">
        <is>
          <t>Outcome not related to interest</t>
        </is>
      </c>
      <c r="E564" s="86" t="n"/>
      <c r="F564" s="86" t="n"/>
      <c r="G564" s="86" t="n"/>
      <c r="H564" s="5" t="n"/>
    </row>
    <row r="565" ht="16" customHeight="1" s="55">
      <c r="A565" s="86" t="inlineStr">
        <is>
          <t>Evidence Based Prediction and Progression Monitoring on Retinal Images from Three Nations.</t>
        </is>
      </c>
      <c r="B565" s="86" t="inlineStr">
        <is>
          <t>Al Turk, Lutfiah</t>
        </is>
      </c>
      <c r="C565" s="86" t="n">
        <v>2020</v>
      </c>
      <c r="D565" s="5" t="inlineStr">
        <is>
          <t>Outcome not related to interest</t>
        </is>
      </c>
      <c r="E565" s="86" t="n"/>
      <c r="F565" s="86" t="n"/>
      <c r="G565" s="86" t="n"/>
      <c r="H565" s="5" t="n"/>
    </row>
    <row r="566" ht="16" customHeight="1" s="55">
      <c r="A566" s="86" t="inlineStr">
        <is>
          <t>Leveraging Multimodal Deep Learning Architecture with Retina Lesion Information to Detect Diabetic Retinopathy.</t>
        </is>
      </c>
      <c r="B566" s="86" t="inlineStr">
        <is>
          <t>Tseng, Vincent S</t>
        </is>
      </c>
      <c r="C566" s="86" t="n">
        <v>2020</v>
      </c>
      <c r="D566" s="5" t="inlineStr">
        <is>
          <t>Outcome not related to interest</t>
        </is>
      </c>
      <c r="E566" s="86" t="n"/>
      <c r="F566" s="86" t="n"/>
      <c r="G566" s="86" t="n"/>
      <c r="H566" s="5" t="n"/>
    </row>
    <row r="567" ht="16" customHeight="1" s="55">
      <c r="A567" s="86" t="inlineStr">
        <is>
          <t>Non-uniform Label Smoothing for Diabetic Retinopathy Grading from Retinal Fundus Images with Deep Neural Networks.</t>
        </is>
      </c>
      <c r="B567" s="86" t="inlineStr">
        <is>
          <t>Galdran, Adrian</t>
        </is>
      </c>
      <c r="C567" s="86" t="n">
        <v>2020</v>
      </c>
      <c r="D567" s="5" t="inlineStr">
        <is>
          <t>Outcome not related to interest</t>
        </is>
      </c>
      <c r="E567" s="86" t="n"/>
      <c r="F567" s="86" t="n"/>
      <c r="G567" s="86" t="n"/>
      <c r="H567" s="5" t="n"/>
    </row>
    <row r="568" ht="16" customHeight="1" s="55">
      <c r="A568" s="86" t="inlineStr">
        <is>
          <t>Simultaneous Diagnosis of Severity and Features of Diabetic Retinopathy in Fundus Photography Using Deep Learning.</t>
        </is>
      </c>
      <c r="B568" s="86" t="inlineStr">
        <is>
          <t>Wang, Juan</t>
        </is>
      </c>
      <c r="C568" s="86" t="n">
        <v>2020</v>
      </c>
      <c r="D568" s="5" t="inlineStr">
        <is>
          <t>Outcome not related to interest</t>
        </is>
      </c>
      <c r="E568" s="86" t="n"/>
      <c r="F568" s="86" t="n"/>
      <c r="G568" s="86" t="n"/>
      <c r="H568" s="5" t="n"/>
    </row>
    <row r="569" ht="16" customHeight="1" s="55">
      <c r="A569" s="86" t="inlineStr">
        <is>
          <t>Automatic Identification of Referral-Warranted Diabetic Retinopathy Using Deep Learning on Mobile Phone Images.</t>
        </is>
      </c>
      <c r="B569" s="86" t="inlineStr">
        <is>
          <t>Ludwig, Cassie A</t>
        </is>
      </c>
      <c r="C569" s="86" t="n">
        <v>2020</v>
      </c>
      <c r="D569" s="5" t="inlineStr">
        <is>
          <t>Outcome not related to interest</t>
        </is>
      </c>
      <c r="E569" s="86" t="n"/>
      <c r="F569" s="86" t="n"/>
      <c r="G569" s="86" t="n"/>
      <c r="H569" s="5" t="n"/>
    </row>
    <row r="570" ht="16" customHeight="1" s="55">
      <c r="A570" s="86" t="inlineStr">
        <is>
          <t>Automated detection of mild and multi-class diabetic eye diseases using deep learning.</t>
        </is>
      </c>
      <c r="B570" s="86" t="inlineStr">
        <is>
          <t>Sarki, Rubina</t>
        </is>
      </c>
      <c r="C570" s="86" t="n">
        <v>2020</v>
      </c>
      <c r="D570" s="5" t="inlineStr">
        <is>
          <t>Outcome not related to interest</t>
        </is>
      </c>
      <c r="E570" s="86" t="n"/>
      <c r="F570" s="86" t="n"/>
      <c r="G570" s="86" t="n"/>
      <c r="H570" s="5" t="n"/>
    </row>
    <row r="571" ht="16" customHeight="1" s="55">
      <c r="A571" s="86" t="inlineStr">
        <is>
          <t>Artificial intelligence-enabled screening for diabetic retinopathy: a real-world, multicenter and prospective study.</t>
        </is>
      </c>
      <c r="B571" s="86" t="inlineStr">
        <is>
          <t>Zhang, Yifei</t>
        </is>
      </c>
      <c r="C571" s="86" t="n">
        <v>2020</v>
      </c>
      <c r="D571" s="5" t="inlineStr">
        <is>
          <t>Outcome not related to interest</t>
        </is>
      </c>
      <c r="E571" s="86" t="n"/>
      <c r="F571" s="86" t="n"/>
      <c r="G571" s="86" t="n"/>
      <c r="H571" s="5" t="n"/>
    </row>
    <row r="572" ht="16" customHeight="1" s="55">
      <c r="A572" s="86" t="inlineStr">
        <is>
          <t>Explainable Diabetic Retinopathy using EfficientNET.</t>
        </is>
      </c>
      <c r="B572" s="86" t="inlineStr">
        <is>
          <t>Chetoui, Mohamed</t>
        </is>
      </c>
      <c r="C572" s="86" t="n">
        <v>2020</v>
      </c>
      <c r="D572" s="5" t="inlineStr">
        <is>
          <t>Outcome not related to interest</t>
        </is>
      </c>
      <c r="E572" s="86" t="n"/>
      <c r="F572" s="86" t="n"/>
      <c r="G572" s="86" t="n"/>
      <c r="H572" s="5" t="n"/>
    </row>
    <row r="573" ht="16" customHeight="1" s="55">
      <c r="A573" s="86" t="inlineStr">
        <is>
          <t>A Multi-Label Deep Learning Model with Interpretable Grad-CAM for Diabetic Retinopathy Classification.</t>
        </is>
      </c>
      <c r="B573" s="86" t="inlineStr">
        <is>
          <t>Jiang, Hongyang</t>
        </is>
      </c>
      <c r="C573" s="86" t="n">
        <v>2020</v>
      </c>
      <c r="D573" s="5" t="inlineStr">
        <is>
          <t>Outcome not related to interest</t>
        </is>
      </c>
      <c r="E573" s="86" t="n"/>
      <c r="F573" s="86" t="n"/>
      <c r="G573" s="86" t="n"/>
      <c r="H573" s="5" t="n"/>
    </row>
    <row r="574" ht="16" customHeight="1" s="55">
      <c r="A574" s="86" t="inlineStr">
        <is>
          <t>Longitudinal Screening for Diabetic Retinopathy in a Nationwide Screening Program: Comparing Deep Learning and Human Graders.</t>
        </is>
      </c>
      <c r="B574" s="86" t="inlineStr">
        <is>
          <t>Limwattanayingyong, Jirawut</t>
        </is>
      </c>
      <c r="C574" s="86" t="n">
        <v>2020</v>
      </c>
      <c r="D574" s="86" t="n">
        <v>29</v>
      </c>
      <c r="E574" s="86" t="n"/>
      <c r="F574" s="86" t="n"/>
      <c r="G574" s="86" t="n"/>
      <c r="H574" s="86" t="n"/>
    </row>
    <row r="575" ht="16" customHeight="1" s="55">
      <c r="A575" s="86" t="inlineStr">
        <is>
          <t>[Using artificial intelligence as an initial triage strategy in diabetic retinopathy screening program in China].</t>
        </is>
      </c>
      <c r="B575" s="86" t="inlineStr">
        <is>
          <t>Li, Z X</t>
        </is>
      </c>
      <c r="C575" s="86" t="n">
        <v>2020</v>
      </c>
      <c r="D575" s="86" t="inlineStr">
        <is>
          <t>Outcome not related to interest</t>
        </is>
      </c>
      <c r="E575" s="86" t="n"/>
      <c r="F575" s="86" t="n"/>
      <c r="G575" s="86" t="n"/>
      <c r="H575" s="5" t="n"/>
    </row>
    <row r="576" ht="16" customHeight="1" s="55">
      <c r="A576" s="86" t="inlineStr">
        <is>
          <t>A comprehensive diagnosis system for early signs and different diabetic retinopathy grades using fundus retinal images based on pathological changes detection</t>
        </is>
      </c>
      <c r="B576" s="86" t="inlineStr">
        <is>
          <t>AbdelMaksoud, E.</t>
        </is>
      </c>
      <c r="C576" s="86" t="n">
        <v>2020</v>
      </c>
      <c r="D576" s="5" t="inlineStr">
        <is>
          <t>Outcome not related to interest</t>
        </is>
      </c>
      <c r="E576" s="86" t="n"/>
      <c r="F576" s="86" t="n"/>
      <c r="G576" s="86" t="n"/>
      <c r="H576" s="5" t="n"/>
    </row>
    <row r="577" ht="16" customHeight="1" s="55">
      <c r="A577" s="86" t="inlineStr">
        <is>
          <t>A lightweight CNN for Diabetic Retinopathy classification from fundus images</t>
        </is>
      </c>
      <c r="B577" s="86" t="inlineStr">
        <is>
          <t>Gayathri, S.</t>
        </is>
      </c>
      <c r="C577" s="86" t="n">
        <v>2020</v>
      </c>
      <c r="D577" s="5" t="inlineStr">
        <is>
          <t>Outcome not related to interest</t>
        </is>
      </c>
      <c r="E577" s="86" t="n"/>
      <c r="F577" s="86" t="n"/>
      <c r="G577" s="86" t="n"/>
      <c r="H577" s="5" t="n"/>
    </row>
    <row r="578" ht="16" customHeight="1" s="55">
      <c r="A578" s="86" t="inlineStr">
        <is>
          <t>Improved CNN based data analytic model for diabetic retinopathy prediction</t>
        </is>
      </c>
      <c r="B578" s="86" t="inlineStr">
        <is>
          <t>Vidhya, K.</t>
        </is>
      </c>
      <c r="C578" s="86" t="n">
        <v>2020</v>
      </c>
      <c r="D578" s="5" t="inlineStr">
        <is>
          <t>Outcome not related to interest</t>
        </is>
      </c>
      <c r="E578" s="86" t="n"/>
      <c r="F578" s="86" t="n"/>
      <c r="G578" s="86" t="n"/>
      <c r="H578" s="5" t="n"/>
    </row>
    <row r="579" ht="16" customHeight="1" s="55">
      <c r="A579" s="86" t="inlineStr">
        <is>
          <t>A preliminary study of a deep learning assisted diagnostic system with an artificial intelligence for detection of retina disease</t>
        </is>
      </c>
      <c r="B579" s="86" t="inlineStr">
        <is>
          <t>Chen, T.-L.</t>
        </is>
      </c>
      <c r="C579" s="86" t="n">
        <v>2020</v>
      </c>
      <c r="D579" s="5" t="inlineStr">
        <is>
          <t>Outcome not related to interest</t>
        </is>
      </c>
      <c r="E579" s="86" t="n"/>
      <c r="F579" s="86" t="n"/>
      <c r="G579" s="86" t="n"/>
      <c r="H579" s="5" t="n"/>
    </row>
    <row r="580" ht="16" customHeight="1" s="55">
      <c r="A580" s="86" t="inlineStr">
        <is>
          <t>A deep learning interpretable classifier for diabetic retinopathy disease grading</t>
        </is>
      </c>
      <c r="B580" s="86" t="inlineStr">
        <is>
          <t>de la Torre, J.</t>
        </is>
      </c>
      <c r="C580" s="86" t="n">
        <v>2020</v>
      </c>
      <c r="D580" s="5" t="inlineStr">
        <is>
          <t>Outcome not related to interest</t>
        </is>
      </c>
      <c r="E580" s="86" t="n"/>
      <c r="F580" s="86" t="n"/>
      <c r="G580" s="86" t="n"/>
      <c r="H580" s="5" t="n"/>
    </row>
    <row r="581" ht="16" customHeight="1" s="55">
      <c r="A581" s="86" t="inlineStr">
        <is>
          <t>Design of a portable retinal imaging module with automatic abnormality detection</t>
        </is>
      </c>
      <c r="B581" s="86" t="inlineStr">
        <is>
          <t>Thomas, S.A.</t>
        </is>
      </c>
      <c r="C581" s="86" t="n">
        <v>2020</v>
      </c>
      <c r="D581" s="5" t="inlineStr">
        <is>
          <t>Outcome not related to interest</t>
        </is>
      </c>
      <c r="E581" s="86" t="n"/>
      <c r="F581" s="86" t="n"/>
      <c r="G581" s="86" t="n"/>
      <c r="H581" s="5" t="n"/>
    </row>
    <row r="582" ht="16" customHeight="1" s="55">
      <c r="A582" s="86" t="inlineStr">
        <is>
          <t>Combining MF-DFA and LSSVM for retina images classification</t>
        </is>
      </c>
      <c r="B582" s="86" t="inlineStr">
        <is>
          <t>Wang, J.</t>
        </is>
      </c>
      <c r="C582" s="86" t="n">
        <v>2020</v>
      </c>
      <c r="D582" s="5" t="inlineStr">
        <is>
          <t>Outcome not related to interest</t>
        </is>
      </c>
      <c r="E582" s="86" t="n"/>
      <c r="F582" s="86" t="n"/>
      <c r="G582" s="86" t="n"/>
      <c r="H582" s="5" t="n"/>
    </row>
    <row r="583" ht="16" customHeight="1" s="55">
      <c r="A583" s="86" t="inlineStr">
        <is>
          <t>Deep learning algorithm validation fordiabetic retinopathy lecture in a diabetesmellitus population.</t>
        </is>
      </c>
      <c r="B583" s="86" t="inlineStr">
        <is>
          <t>Blanco, M.E.S.</t>
        </is>
      </c>
      <c r="C583" s="86" t="n">
        <v>2020</v>
      </c>
      <c r="D583" s="5" t="inlineStr">
        <is>
          <t>Outcome not related to interest</t>
        </is>
      </c>
      <c r="E583" s="86" t="n"/>
      <c r="F583" s="86" t="n"/>
      <c r="G583" s="86" t="n"/>
      <c r="H583" s="5" t="n"/>
    </row>
    <row r="584" ht="16" customHeight="1" s="55">
      <c r="A584" s="86" t="inlineStr">
        <is>
          <t>Diabetic retinopathy detection in widefieldimages by using transfer learning fromhandheld narrow field images</t>
        </is>
      </c>
      <c r="B584" s="86" t="inlineStr">
        <is>
          <t>Sarhan, M.H.</t>
        </is>
      </c>
      <c r="C584" s="86" t="n">
        <v>2020</v>
      </c>
      <c r="D584" s="5" t="inlineStr">
        <is>
          <t>Outcome not related to interest</t>
        </is>
      </c>
      <c r="E584" s="86" t="n"/>
      <c r="F584" s="86" t="n"/>
      <c r="G584" s="86" t="n"/>
      <c r="H584" s="5" t="n"/>
    </row>
    <row r="585" ht="16" customHeight="1" s="55">
      <c r="A585" s="86" t="inlineStr">
        <is>
          <t>Screening for Diabetic Retinopathy Using Artificial Intelligence and Smartphone-BasedFundus Images</t>
        </is>
      </c>
      <c r="B585" s="86" t="inlineStr">
        <is>
          <t>Kalavar, M.</t>
        </is>
      </c>
      <c r="C585" s="86" t="n">
        <v>2020</v>
      </c>
      <c r="D585" s="86" t="inlineStr">
        <is>
          <t>Review</t>
        </is>
      </c>
      <c r="E585" s="86" t="n"/>
      <c r="F585" s="86" t="n"/>
      <c r="G585" s="86" t="n"/>
      <c r="H585" s="86" t="n"/>
    </row>
    <row r="586" ht="16" customHeight="1" s="55">
      <c r="A586" s="86" t="inlineStr">
        <is>
          <t>CANet: Cross-Disease Attention Network for Joint Diabetic Retinopathy and Diabetic Macular Edema Grading</t>
        </is>
      </c>
      <c r="B586" s="86" t="inlineStr">
        <is>
          <t>Li, X.</t>
        </is>
      </c>
      <c r="C586" s="86" t="n">
        <v>2020</v>
      </c>
      <c r="D586" s="5" t="inlineStr">
        <is>
          <t>Outcome not related to interest</t>
        </is>
      </c>
      <c r="E586" s="86" t="n"/>
      <c r="F586" s="86" t="n"/>
      <c r="G586" s="86" t="n"/>
      <c r="H586" s="5" t="n"/>
    </row>
    <row r="587" ht="16" customHeight="1" s="55">
      <c r="A587" s="86" t="inlineStr">
        <is>
          <t>Performance of screening algorithms for Referable Diabetic Retinopathy (RDR) and Sight Threatening Diabetic Retinopathy (STDR) on a non-mydriatic portable smartphone-based fundus camera</t>
        </is>
      </c>
      <c r="B587" s="86" t="inlineStr">
        <is>
          <t>Parthasarathy, D.R.</t>
        </is>
      </c>
      <c r="C587" s="86" t="n">
        <v>2020</v>
      </c>
      <c r="D587" s="5" t="inlineStr">
        <is>
          <t>Outcome not related to interest</t>
        </is>
      </c>
      <c r="E587" s="86" t="n"/>
      <c r="F587" s="86" t="n"/>
      <c r="G587" s="86" t="n"/>
      <c r="H587" s="5" t="n"/>
    </row>
    <row r="588" ht="16" customHeight="1" s="55">
      <c r="A588" s="86" t="inlineStr">
        <is>
          <t>Impact of Artificial Intelligence for Diabetic Retinopathy Screening in a Malawi, Africa Clinic</t>
        </is>
      </c>
      <c r="B588" s="86" t="inlineStr">
        <is>
          <t>Soliz, P.</t>
        </is>
      </c>
      <c r="C588" s="86" t="n">
        <v>2020</v>
      </c>
      <c r="D588" s="5" t="inlineStr">
        <is>
          <t>Outcome not related to interest</t>
        </is>
      </c>
      <c r="E588" s="86" t="n"/>
      <c r="F588" s="86" t="n"/>
      <c r="G588" s="86" t="n"/>
      <c r="H588" s="5" t="n"/>
    </row>
    <row r="589" ht="16" customHeight="1" s="55">
      <c r="A589" s="86" t="inlineStr">
        <is>
          <t>AI building AI: Deep learning detection of referable diabetic retinopathy sans-coding</t>
        </is>
      </c>
      <c r="B589" s="86" t="inlineStr">
        <is>
          <t>Korot, E.</t>
        </is>
      </c>
      <c r="C589" s="86" t="n">
        <v>2020</v>
      </c>
      <c r="D589" s="5" t="inlineStr">
        <is>
          <t>Outcome not related to interest</t>
        </is>
      </c>
      <c r="E589" s="86" t="n"/>
      <c r="F589" s="86" t="n"/>
      <c r="G589" s="86" t="n"/>
      <c r="H589" s="5" t="n"/>
    </row>
    <row r="590" ht="16" customHeight="1" s="55">
      <c r="A590" s="86" t="inlineStr">
        <is>
          <t>Validation results of a deep learning algorithm for detection of diabetic retinopathy with lesion localization from retinal fundus photographs</t>
        </is>
      </c>
      <c r="B590" s="86" t="inlineStr">
        <is>
          <t>Kesim, C.</t>
        </is>
      </c>
      <c r="C590" s="86" t="n">
        <v>2020</v>
      </c>
      <c r="D590" s="5" t="inlineStr">
        <is>
          <t>Outcome not related to interest</t>
        </is>
      </c>
      <c r="E590" s="86" t="n"/>
      <c r="F590" s="86" t="n"/>
      <c r="G590" s="86" t="n"/>
      <c r="H590" s="5" t="n"/>
    </row>
    <row r="591" ht="16" customHeight="1" s="55">
      <c r="A591" s="86" t="inlineStr">
        <is>
          <t>Accuracy of automated retinal software for diabetic retinopathy detection in type I diabetics vs human graders</t>
        </is>
      </c>
      <c r="B591" s="86" t="inlineStr">
        <is>
          <t>Lu, Z.E.</t>
        </is>
      </c>
      <c r="C591" s="86" t="n">
        <v>2020</v>
      </c>
      <c r="D591" s="5" t="inlineStr">
        <is>
          <t>Outcome not related to interest</t>
        </is>
      </c>
      <c r="E591" s="86" t="n"/>
      <c r="F591" s="86" t="n"/>
      <c r="G591" s="86" t="n"/>
      <c r="H591" s="5" t="n"/>
    </row>
    <row r="592" ht="16" customHeight="1" s="55">
      <c r="A592" s="86" t="inlineStr">
        <is>
          <t>Automatic fundus image quality assessment: Diagnostic accuracy in clinical practice</t>
        </is>
      </c>
      <c r="B592" s="86" t="inlineStr">
        <is>
          <t>Ora獺, R.R.</t>
        </is>
      </c>
      <c r="C592" s="86" t="n">
        <v>2020</v>
      </c>
      <c r="D592" s="5" t="inlineStr">
        <is>
          <t>Outcome not related to interest</t>
        </is>
      </c>
      <c r="E592" s="86" t="n"/>
      <c r="F592" s="86" t="n"/>
      <c r="G592" s="86" t="n"/>
      <c r="H592" s="5" t="n"/>
    </row>
    <row r="593" ht="16" customHeight="1" s="55">
      <c r="A593" s="86" t="inlineStr">
        <is>
          <t>Developing community based diabetic referral service using deep learning on hand held, non-mydriatic fundus images</t>
        </is>
      </c>
      <c r="B593" s="86" t="inlineStr">
        <is>
          <t>Nunez Do Rio, J.M.M.</t>
        </is>
      </c>
      <c r="C593" s="86" t="n">
        <v>2020</v>
      </c>
      <c r="D593" s="5" t="inlineStr">
        <is>
          <t>Outcome not related to interest</t>
        </is>
      </c>
      <c r="E593" s="86" t="n"/>
      <c r="F593" s="86" t="n"/>
      <c r="G593" s="86" t="n"/>
      <c r="H593" s="5" t="n"/>
    </row>
    <row r="594" ht="16" customHeight="1" s="55">
      <c r="A594" s="86" t="inlineStr">
        <is>
          <t>Artificial intelligence-assisted diabetic retinopathy screening program: A 5-year bench to bedside translational study</t>
        </is>
      </c>
      <c r="B594" s="86" t="inlineStr">
        <is>
          <t>Ting, D.S.W.</t>
        </is>
      </c>
      <c r="C594" s="86" t="n">
        <v>2020</v>
      </c>
      <c r="D594" s="5" t="inlineStr">
        <is>
          <t>Outcome not related to interest</t>
        </is>
      </c>
      <c r="E594" s="86" t="n"/>
      <c r="F594" s="86" t="n"/>
      <c r="G594" s="86" t="n"/>
      <c r="H594" s="5" t="n"/>
    </row>
    <row r="595" ht="16" customHeight="1" s="55">
      <c r="A595" s="86" t="inlineStr">
        <is>
          <t>A clinical decision support system (CDSS) for diabetic retinopathy screening. Creating a clinical support application</t>
        </is>
      </c>
      <c r="B595" s="86" t="inlineStr">
        <is>
          <t>Blanco, M.E.S.</t>
        </is>
      </c>
      <c r="C595" s="86" t="n">
        <v>2020</v>
      </c>
      <c r="D595" s="86" t="inlineStr">
        <is>
          <t>Not deep learning</t>
        </is>
      </c>
      <c r="E595" s="86" t="n"/>
      <c r="F595" s="86" t="n"/>
      <c r="G595" s="86" t="n"/>
      <c r="H595" s="86" t="n"/>
    </row>
    <row r="596" ht="16" customHeight="1" s="55">
      <c r="A596" s="86" t="inlineStr">
        <is>
          <t>Using a handheld retinal camera and artificial intelligence for diabetic retinopathy screening in bolivia</t>
        </is>
      </c>
      <c r="B596" s="86" t="inlineStr">
        <is>
          <t>Barriga, E.S.</t>
        </is>
      </c>
      <c r="C596" s="86" t="n">
        <v>2020</v>
      </c>
      <c r="D596" s="5" t="inlineStr">
        <is>
          <t>Outcome not related to interest</t>
        </is>
      </c>
      <c r="E596" s="86" t="n"/>
      <c r="F596" s="86" t="n"/>
      <c r="G596" s="86" t="n"/>
      <c r="H596" s="5" t="n"/>
    </row>
    <row r="597" ht="16" customHeight="1" s="55">
      <c r="A597" s="86" t="inlineStr">
        <is>
          <t>A cascaded deep learning system for detecting retinal detachment and discerning macular status using ultra-widefield fundus images</t>
        </is>
      </c>
      <c r="B597" s="86" t="inlineStr">
        <is>
          <t>Li, Z.</t>
        </is>
      </c>
      <c r="C597" s="86" t="n">
        <v>2020</v>
      </c>
      <c r="D597" s="5" t="inlineStr">
        <is>
          <t>Outcome not related to interest</t>
        </is>
      </c>
      <c r="E597" s="86" t="n"/>
      <c r="F597" s="86" t="n"/>
      <c r="G597" s="86" t="n"/>
      <c r="H597" s="5" t="n"/>
    </row>
    <row r="598" ht="16" customHeight="1" s="55">
      <c r="A598" s="86" t="inlineStr">
        <is>
          <t>Pilot artificial intelligence based diabetic retinopathy screening programme in Poland</t>
        </is>
      </c>
      <c r="B598" s="86" t="inlineStr">
        <is>
          <t>Grzybowski, A.</t>
        </is>
      </c>
      <c r="C598" s="86" t="n">
        <v>2020</v>
      </c>
      <c r="D598" s="5" t="inlineStr">
        <is>
          <t>Outcome not related to interest</t>
        </is>
      </c>
      <c r="E598" s="86" t="n"/>
      <c r="F598" s="86" t="n"/>
      <c r="G598" s="86" t="n"/>
      <c r="H598" s="5" t="n"/>
    </row>
    <row r="599" ht="16" customHeight="1" s="55">
      <c r="A599" s="86" t="inlineStr">
        <is>
          <t>Validation of a deep learning algorithm for diabetic retinopathy</t>
        </is>
      </c>
      <c r="B599" s="86" t="inlineStr">
        <is>
          <t>Relano-Barambio, N.</t>
        </is>
      </c>
      <c r="C599" s="86" t="n">
        <v>2020</v>
      </c>
      <c r="D599" s="86" t="inlineStr">
        <is>
          <t>Repeated article</t>
        </is>
      </c>
      <c r="E599" s="86" t="n"/>
      <c r="F599" s="86" t="n"/>
      <c r="G599" s="86" t="n"/>
      <c r="H599" s="86" t="n"/>
    </row>
    <row r="600" ht="16" customHeight="1" s="55">
      <c r="A600" s="86" t="inlineStr">
        <is>
          <t>Automated diabetic retinopathy quality image assessment: Diagnostic accuracy in clinical practice</t>
        </is>
      </c>
      <c r="B600" s="86" t="inlineStr">
        <is>
          <t>Lopez, M.</t>
        </is>
      </c>
      <c r="C600" s="86" t="n">
        <v>2020</v>
      </c>
      <c r="D600" s="5" t="inlineStr">
        <is>
          <t>Outcome not related to interest</t>
        </is>
      </c>
      <c r="E600" s="86" t="n"/>
      <c r="F600" s="86" t="n"/>
      <c r="G600" s="86" t="n"/>
      <c r="H600" s="5" t="n"/>
    </row>
    <row r="601" ht="16" customHeight="1" s="55">
      <c r="A601" s="86" t="inlineStr">
        <is>
          <t>Diabetic Retinopathy Screening Using Retinal Imaging and Automated Grading with Artificial Intelligence in Rwanda- A Randomized Control Trial</t>
        </is>
      </c>
      <c r="B601" s="86" t="inlineStr">
        <is>
          <t xml:space="preserve">PACTR202101512465690, </t>
        </is>
      </c>
      <c r="C601" s="86" t="n">
        <v>2020</v>
      </c>
      <c r="D601" s="5" t="inlineStr">
        <is>
          <t>Outcome not related to interest</t>
        </is>
      </c>
    </row>
    <row r="602" ht="16" customHeight="1" s="55">
      <c r="A602" s="86" t="inlineStr">
        <is>
          <t>Visualizing Deep Learning Models for the Detection of Referable Diabetic Retinopathy and Glaucoma.</t>
        </is>
      </c>
      <c r="B602" s="86" t="inlineStr">
        <is>
          <t>Keel, Stuart</t>
        </is>
      </c>
      <c r="C602" s="86" t="n">
        <v>2019</v>
      </c>
      <c r="D602" s="5" t="inlineStr">
        <is>
          <t>Outcome not related to interest</t>
        </is>
      </c>
      <c r="E602" s="86" t="n"/>
      <c r="F602" s="86" t="n"/>
      <c r="G602" s="86" t="n"/>
      <c r="H602" s="5" t="n"/>
    </row>
    <row r="603" ht="16" customHeight="1" s="55">
      <c r="A603" s="86" t="inlineStr">
        <is>
          <t>Using a Deep Learning Algorithm and Integrated Gradients Explanation to Assist Grading for Diabetic Retinopathy.</t>
        </is>
      </c>
      <c r="B603" s="86" t="inlineStr">
        <is>
          <t>Sayres, Rory</t>
        </is>
      </c>
      <c r="C603" s="86" t="n">
        <v>2019</v>
      </c>
      <c r="D603" s="5" t="inlineStr">
        <is>
          <t>Outcome not related to interest</t>
        </is>
      </c>
      <c r="E603" s="86" t="n"/>
      <c r="F603" s="86" t="n"/>
      <c r="G603" s="86" t="n"/>
      <c r="H603" s="5" t="n"/>
    </row>
    <row r="604" ht="16" customHeight="1" s="55">
      <c r="A604" s="86" t="inlineStr">
        <is>
          <t>Development of an artificial intelligence system to classify pathology and clinical features on retinal fundus images.</t>
        </is>
      </c>
      <c r="B604" s="86" t="inlineStr">
        <is>
          <t>Stevenson, Clark H</t>
        </is>
      </c>
      <c r="C604" s="86" t="n">
        <v>2019</v>
      </c>
      <c r="D604" s="5" t="inlineStr">
        <is>
          <t>Outcome not related to interest</t>
        </is>
      </c>
      <c r="E604" s="86" t="n"/>
      <c r="F604" s="86" t="n"/>
      <c r="G604" s="86" t="n"/>
      <c r="H604" s="5" t="n"/>
    </row>
    <row r="605" ht="16" customHeight="1" s="55">
      <c r="A605" s="86" t="inlineStr">
        <is>
          <t>Reproduction study using public data of: Development and validation of a deep learning algorithm for detection of diabetic retinopathy in retinal fundus photographs.</t>
        </is>
      </c>
      <c r="B605" s="86" t="inlineStr">
        <is>
          <t>Voets, Mike</t>
        </is>
      </c>
      <c r="C605" s="86" t="n">
        <v>2019</v>
      </c>
      <c r="D605" s="5" t="inlineStr">
        <is>
          <t>Outcome not related to interest</t>
        </is>
      </c>
      <c r="E605" s="86" t="n"/>
      <c r="F605" s="86" t="n"/>
      <c r="G605" s="86" t="n"/>
      <c r="H605" s="5" t="n"/>
    </row>
    <row r="606" ht="16" customHeight="1" s="55">
      <c r="A606" s="86" t="inlineStr">
        <is>
          <t>Artificial intelligence using deep learning to screen for referable and vision-threatening diabetic retinopathy in Africa: a clinical validation study.</t>
        </is>
      </c>
      <c r="B606" s="86" t="inlineStr">
        <is>
          <t>Bellemo, Valentina</t>
        </is>
      </c>
      <c r="C606" s="86" t="n">
        <v>2019</v>
      </c>
      <c r="D606" s="5" t="inlineStr">
        <is>
          <t>Outcome not related to interest</t>
        </is>
      </c>
      <c r="E606" s="86" t="n"/>
      <c r="F606" s="86" t="n"/>
      <c r="G606" s="86" t="n"/>
      <c r="H606" s="5" t="n"/>
    </row>
    <row r="607" ht="16" customHeight="1" s="55">
      <c r="A607" s="86" t="inlineStr">
        <is>
          <t>Accuracy of ultrawide-field fundus ophthalmoscopy-assisted deep learning for detecting treatment-na簿ve proliferative diabetic retinopathy.</t>
        </is>
      </c>
      <c r="B607" s="86" t="inlineStr">
        <is>
          <t>Nagasawa, Toshihiko</t>
        </is>
      </c>
      <c r="C607" s="86" t="n">
        <v>2019</v>
      </c>
      <c r="D607" s="5" t="inlineStr">
        <is>
          <t>Outcome not related to interest</t>
        </is>
      </c>
      <c r="E607" s="86" t="n"/>
      <c r="F607" s="86" t="n"/>
      <c r="G607" s="86" t="n"/>
      <c r="H607" s="5" t="n"/>
    </row>
    <row r="608" ht="16" customHeight="1" s="55">
      <c r="A608" s="86" t="inlineStr">
        <is>
          <t>Diagnostic Accuracy of a Device for the Automated Detection of Diabetic Retinopathy in a Primary Care Setting.</t>
        </is>
      </c>
      <c r="B608" s="86" t="inlineStr">
        <is>
          <t>Verbraak, Frank D</t>
        </is>
      </c>
      <c r="C608" s="86" t="n">
        <v>2019</v>
      </c>
      <c r="D608" s="5" t="inlineStr">
        <is>
          <t>Outcome not related to interest</t>
        </is>
      </c>
      <c r="E608" s="86" t="n"/>
      <c r="F608" s="86" t="n"/>
      <c r="G608" s="86" t="n"/>
      <c r="H608" s="5" t="n"/>
    </row>
    <row r="609" ht="16" customHeight="1" s="55">
      <c r="A609" s="86" t="inlineStr">
        <is>
          <t>Referable diabetic retinopathy identification from eye fundus images with weighted path for convolutional neural network.</t>
        </is>
      </c>
      <c r="B609" s="86" t="inlineStr">
        <is>
          <t>Liu, Yi-Peng</t>
        </is>
      </c>
      <c r="C609" s="86" t="n">
        <v>2019</v>
      </c>
      <c r="D609" s="86" t="inlineStr">
        <is>
          <t>Insufficient to constrct confusion matrix</t>
        </is>
      </c>
      <c r="E609" s="86" t="n"/>
      <c r="F609" s="86" t="n"/>
      <c r="G609" s="86" t="n"/>
      <c r="H609" s="86" t="n"/>
    </row>
    <row r="610" ht="16" customHeight="1" s="55">
      <c r="A610" s="86" t="inlineStr">
        <is>
          <t>Bimodal learning via trilogy of skip-connection deep networks for diabetic retinopathy risk progression identification.</t>
        </is>
      </c>
      <c r="B610" s="86" t="inlineStr">
        <is>
          <t>Hua, Cam-Hao</t>
        </is>
      </c>
      <c r="C610" s="86" t="n">
        <v>2019</v>
      </c>
      <c r="D610" s="5" t="inlineStr">
        <is>
          <t>Outcome not related to interest</t>
        </is>
      </c>
      <c r="E610" s="86" t="n"/>
      <c r="F610" s="86" t="n"/>
      <c r="G610" s="86" t="n"/>
      <c r="H610" s="5" t="n"/>
    </row>
    <row r="611" ht="16" customHeight="1" s="55">
      <c r="A611" s="86" t="inlineStr">
        <is>
          <t>Automated deep learning design for medical image classification by health-care professionals with no coding experience: a feasibility study.</t>
        </is>
      </c>
      <c r="B611" s="86" t="inlineStr">
        <is>
          <t>Faes, Livia</t>
        </is>
      </c>
      <c r="C611" s="86" t="n">
        <v>2019</v>
      </c>
      <c r="D611" s="5" t="inlineStr">
        <is>
          <t>Outcome not related to interest</t>
        </is>
      </c>
      <c r="E611" s="86" t="n"/>
      <c r="F611" s="86" t="n"/>
      <c r="G611" s="86" t="n"/>
      <c r="H611" s="5" t="n"/>
    </row>
    <row r="612" ht="16" customHeight="1" s="55">
      <c r="A612" s="86" t="inlineStr">
        <is>
          <t>Diagnostic Accuracy of Community-Based Diabetic Retinopathy Screening With an Offline Artificial Intelligence System on a Smartphone.</t>
        </is>
      </c>
      <c r="B612" s="86" t="inlineStr">
        <is>
          <t>Natarajan, Sundaram</t>
        </is>
      </c>
      <c r="C612" s="86" t="n">
        <v>2019</v>
      </c>
      <c r="D612" s="5" t="inlineStr">
        <is>
          <t>Outcome not related to interest</t>
        </is>
      </c>
      <c r="E612" s="86" t="n"/>
      <c r="F612" s="86" t="n"/>
      <c r="G612" s="86" t="n"/>
      <c r="H612" s="5" t="n"/>
    </row>
    <row r="613" ht="16" customHeight="1" s="55">
      <c r="A613" s="86" t="inlineStr">
        <is>
          <t>Deep Learning Fundus Image Analysis for Diabetic Retinopathy and Macular Edema Grading.</t>
        </is>
      </c>
      <c r="B613" s="86" t="inlineStr">
        <is>
          <t>Sahlsten, Jaakko</t>
        </is>
      </c>
      <c r="C613" s="86" t="n">
        <v>2019</v>
      </c>
      <c r="D613" s="5" t="inlineStr">
        <is>
          <t>Outcome not related to interest</t>
        </is>
      </c>
      <c r="E613" s="86" t="n"/>
      <c r="F613" s="86" t="n"/>
      <c r="G613" s="86" t="n"/>
      <c r="H613" s="5" t="n"/>
    </row>
    <row r="614" ht="16" customHeight="1" s="55">
      <c r="A614" s="86" t="inlineStr">
        <is>
          <t>The Value of Automated Diabetic Retinopathy Screening with the EyeArt System: A Study of More Than 100,000 Consecutive Encounters from People with Diabetes.</t>
        </is>
      </c>
      <c r="B614" s="86" t="inlineStr">
        <is>
          <t>Bhaskaranand, Malavika</t>
        </is>
      </c>
      <c r="C614" s="86" t="n">
        <v>2019</v>
      </c>
      <c r="D614" s="5" t="inlineStr">
        <is>
          <t>Outcome not related to interest</t>
        </is>
      </c>
      <c r="E614" s="86" t="n"/>
      <c r="F614" s="86" t="n"/>
      <c r="G614" s="86" t="n"/>
      <c r="H614" s="5" t="n"/>
    </row>
    <row r="615" ht="16" customHeight="1" s="55">
      <c r="A615" s="86" t="inlineStr">
        <is>
          <t>Deep learning versus human graders for classifying diabetic retinopathy severity in a nationwide screening program.</t>
        </is>
      </c>
      <c r="B615" s="86" t="inlineStr">
        <is>
          <t>Raumviboonsuk, Paisan</t>
        </is>
      </c>
      <c r="C615" s="86" t="n">
        <v>2019</v>
      </c>
      <c r="D615" s="86" t="n">
        <v>30</v>
      </c>
      <c r="E615" s="86" t="n"/>
      <c r="F615" s="86" t="n"/>
      <c r="G615" s="86" t="n"/>
      <c r="H615" s="86" t="n"/>
    </row>
    <row r="616" ht="16" customHeight="1" s="55">
      <c r="A616" s="86" t="inlineStr">
        <is>
          <t>An Evaluation System of Fundus Photograph-Based Intelligent Diagnostic Technology for Diabetic Retinopathy and Applicability for Research.</t>
        </is>
      </c>
      <c r="B616" s="86" t="inlineStr">
        <is>
          <t>Yang, Wei-Hua</t>
        </is>
      </c>
      <c r="C616" s="86" t="n">
        <v>2019</v>
      </c>
      <c r="D616" s="5" t="inlineStr">
        <is>
          <t>Outcome not related to interest</t>
        </is>
      </c>
      <c r="E616" s="86" t="n"/>
      <c r="F616" s="86" t="n"/>
      <c r="G616" s="86" t="n"/>
      <c r="H616" s="5" t="n"/>
    </row>
    <row r="617" ht="16" customHeight="1" s="55">
      <c r="A617" s="86" t="inlineStr">
        <is>
          <t>Performance of a Deep-Learning Algorithm vs Manual Grading for Detecting Diabetic Retinopathy in India.</t>
        </is>
      </c>
      <c r="B617" s="86" t="inlineStr">
        <is>
          <t>Gulshan, Varun</t>
        </is>
      </c>
      <c r="C617" s="86" t="n">
        <v>2019</v>
      </c>
      <c r="D617" s="5" t="inlineStr">
        <is>
          <t>Outcome not related to interest</t>
        </is>
      </c>
      <c r="E617" s="86" t="n"/>
      <c r="F617" s="86" t="n"/>
      <c r="G617" s="86" t="n"/>
      <c r="H617" s="5" t="n"/>
    </row>
    <row r="618" ht="16" customHeight="1" s="55">
      <c r="A618" s="86" t="inlineStr">
        <is>
          <t>An Interpretable Ensemble Deep Learning Model for Diabetic Retinopathy Disease Classification.</t>
        </is>
      </c>
      <c r="B618" s="86" t="inlineStr">
        <is>
          <t>Jiang, Hongyang</t>
        </is>
      </c>
      <c r="C618" s="86" t="n">
        <v>2019</v>
      </c>
      <c r="D618" s="5" t="inlineStr">
        <is>
          <t>Outcome not related to interest</t>
        </is>
      </c>
      <c r="E618" s="86" t="n"/>
      <c r="F618" s="86" t="n"/>
      <c r="G618" s="86" t="n"/>
      <c r="H618" s="5" t="n"/>
    </row>
    <row r="619" ht="16" customHeight="1" s="55">
      <c r="A619" s="86" t="inlineStr">
        <is>
          <t>Hierarchical Pruning for Simplification of Convolutional Neural Networks in Diabetic Retinopathy Classification.</t>
        </is>
      </c>
      <c r="B619" s="86" t="inlineStr">
        <is>
          <t>Hajabdollahi, Mohsen</t>
        </is>
      </c>
      <c r="C619" s="86" t="n">
        <v>2019</v>
      </c>
      <c r="D619" s="5" t="inlineStr">
        <is>
          <t>Outcome not related to interest</t>
        </is>
      </c>
      <c r="E619" s="86" t="n"/>
      <c r="F619" s="86" t="n"/>
      <c r="G619" s="86" t="n"/>
      <c r="H619" s="5" t="n"/>
    </row>
    <row r="620" ht="16" customHeight="1" s="55">
      <c r="A620" s="86" t="inlineStr">
        <is>
          <t>Automatic Detection of Diabetic Retinopathy in Retinal Fundus Photographs Based on Deep Learning Algorithm.</t>
        </is>
      </c>
      <c r="B620" s="86" t="inlineStr">
        <is>
          <t>Li, Feng</t>
        </is>
      </c>
      <c r="C620" s="86" t="n">
        <v>2019</v>
      </c>
      <c r="D620" s="5" t="inlineStr">
        <is>
          <t>Outcome not related to interest</t>
        </is>
      </c>
      <c r="E620" s="86" t="n"/>
      <c r="F620" s="86" t="n"/>
      <c r="G620" s="86" t="n"/>
      <c r="H620" s="5" t="n"/>
    </row>
    <row r="621" ht="16" customHeight="1" s="55">
      <c r="A621" s="86" t="inlineStr">
        <is>
          <t>Artificial intelligence assisted opportunistic screening for referable diabetic retinopathy: from algorithm to real world application</t>
        </is>
      </c>
      <c r="B621" s="86" t="inlineStr">
        <is>
          <t>Scheetz, J.</t>
        </is>
      </c>
      <c r="C621" s="86" t="n">
        <v>2019</v>
      </c>
      <c r="D621" s="5" t="inlineStr">
        <is>
          <t>Outcome not related to interest</t>
        </is>
      </c>
      <c r="E621" s="86" t="n"/>
      <c r="F621" s="86" t="n"/>
      <c r="G621" s="86" t="n"/>
      <c r="H621" s="5" t="n"/>
    </row>
    <row r="622" ht="16" customHeight="1" s="55">
      <c r="A622" s="86" t="inlineStr">
        <is>
          <t>Performance of an 'offline' deep-learning algorithm on a smartphone vs manual ophthalmic grading for detecting referable diabetic retinopathy in a large scale, prospective study using health workers, with no prior experience in retinal imaging in Mumbai, India</t>
        </is>
      </c>
      <c r="B622" s="86" t="inlineStr">
        <is>
          <t>Natarajan, S.</t>
        </is>
      </c>
      <c r="C622" s="86" t="n">
        <v>2019</v>
      </c>
      <c r="D622" s="5" t="inlineStr">
        <is>
          <t>Outcome not related to interest</t>
        </is>
      </c>
      <c r="E622" s="86" t="n"/>
      <c r="F622" s="86" t="n"/>
      <c r="G622" s="86" t="n"/>
      <c r="H622" s="5" t="n"/>
    </row>
    <row r="623" ht="16" customHeight="1" s="55">
      <c r="A623" s="86" t="inlineStr">
        <is>
          <t>Primary grading of diabetic retinopathy from retinal images using a custom designed CNN: The auckland experience</t>
        </is>
      </c>
      <c r="B623" s="86" t="inlineStr">
        <is>
          <t>Squirrell, D.</t>
        </is>
      </c>
      <c r="C623" s="86" t="n">
        <v>2019</v>
      </c>
      <c r="D623" s="5" t="inlineStr">
        <is>
          <t>Outcome not related to interest</t>
        </is>
      </c>
      <c r="E623" s="86" t="n"/>
      <c r="F623" s="86" t="n"/>
      <c r="G623" s="86" t="n"/>
      <c r="H623" s="5" t="n"/>
    </row>
    <row r="624" ht="16" customHeight="1" s="55">
      <c r="A624" s="86" t="inlineStr">
        <is>
          <t>Assessing characteristics that impact diagnostic accuracy of artificial intelligence when screening for diabetic retinopathy in real world settings</t>
        </is>
      </c>
      <c r="B624" s="86" t="inlineStr">
        <is>
          <t>Koca, D.</t>
        </is>
      </c>
      <c r="C624" s="86" t="n">
        <v>2019</v>
      </c>
      <c r="D624" s="5" t="inlineStr">
        <is>
          <t>Outcome not related to interest</t>
        </is>
      </c>
      <c r="E624" s="86" t="n"/>
      <c r="F624" s="86" t="n"/>
      <c r="G624" s="86" t="n"/>
      <c r="H624" s="5" t="n"/>
    </row>
    <row r="625" ht="16" customHeight="1" s="55">
      <c r="A625" s="86" t="inlineStr">
        <is>
          <t>Evaluation of the artificial intelligence-based pattern recognition system for diabetic retinopathy screen in China</t>
        </is>
      </c>
      <c r="B625" s="86" t="inlineStr">
        <is>
          <t>Du, Z.</t>
        </is>
      </c>
      <c r="C625" s="86" t="n">
        <v>2019</v>
      </c>
      <c r="D625" s="5" t="inlineStr">
        <is>
          <t>Outcome not related to interest</t>
        </is>
      </c>
      <c r="E625" s="86" t="n"/>
      <c r="F625" s="86" t="n"/>
      <c r="G625" s="86" t="n"/>
      <c r="H625" s="5" t="n"/>
    </row>
    <row r="626" ht="16" customHeight="1" s="55">
      <c r="A626" s="86" t="inlineStr">
        <is>
          <t>Validation of artificial intelligence eye screening for diabetic retinopathy: analysis from a pivotal multi-centre trial</t>
        </is>
      </c>
      <c r="B626" s="86" t="inlineStr">
        <is>
          <t>Ipp, E.</t>
        </is>
      </c>
      <c r="C626" s="86" t="n">
        <v>2019</v>
      </c>
      <c r="D626" s="5" t="inlineStr">
        <is>
          <t>Outcome not related to interest</t>
        </is>
      </c>
      <c r="E626" s="86" t="n"/>
      <c r="F626" s="86" t="n"/>
      <c r="G626" s="86" t="n"/>
      <c r="H626" s="5" t="n"/>
    </row>
    <row r="627" ht="16" customHeight="1" s="55">
      <c r="A627" s="86" t="inlineStr">
        <is>
          <t>A novel lesion detection algorithm based on multi-scale input convolutional neural network model for diabetic retinopathy</t>
        </is>
      </c>
      <c r="B627" s="86" t="inlineStr">
        <is>
          <t>Yang, Y.</t>
        </is>
      </c>
      <c r="C627" s="86" t="n">
        <v>2019</v>
      </c>
      <c r="D627" s="5" t="inlineStr">
        <is>
          <t>Outcome not related to interest</t>
        </is>
      </c>
      <c r="E627" s="86" t="n"/>
      <c r="F627" s="86" t="n"/>
      <c r="G627" s="86" t="n"/>
      <c r="H627" s="5" t="n"/>
    </row>
    <row r="628" ht="16" customHeight="1" s="55">
      <c r="A628" s="86" t="inlineStr">
        <is>
          <t>Screening and grading of fundus images of diabetic retinopathy based on visual attention</t>
        </is>
      </c>
      <c r="B628" s="86" t="inlineStr">
        <is>
          <t>Wan, J.</t>
        </is>
      </c>
      <c r="C628" s="86" t="n">
        <v>2019</v>
      </c>
      <c r="D628" s="5" t="inlineStr">
        <is>
          <t>Outcome not related to interest</t>
        </is>
      </c>
      <c r="E628" s="86" t="n"/>
      <c r="F628" s="86" t="n"/>
      <c r="G628" s="86" t="n"/>
      <c r="H628" s="5" t="n"/>
    </row>
    <row r="629" ht="16" customHeight="1" s="55">
      <c r="A629" s="86" t="inlineStr">
        <is>
          <t>Establishment and application of diabetic retinopathy intelligent assisted diagnostic technology evaluation system based on fundus photography</t>
        </is>
      </c>
      <c r="B629" s="86" t="inlineStr">
        <is>
          <t>Zheng, B.</t>
        </is>
      </c>
      <c r="C629" s="86" t="n">
        <v>2019</v>
      </c>
      <c r="D629" s="5" t="inlineStr">
        <is>
          <t>Outcome not related to interest</t>
        </is>
      </c>
      <c r="E629" s="86" t="n"/>
      <c r="F629" s="86" t="n"/>
      <c r="G629" s="86" t="n"/>
      <c r="H629" s="5" t="n"/>
    </row>
    <row r="630" ht="16" customHeight="1" s="55">
      <c r="A630" s="86" t="inlineStr">
        <is>
          <t>Deep learning algorithm to predict diabetic retinopathy (DR) progression on the individual patient level</t>
        </is>
      </c>
      <c r="B630" s="86" t="inlineStr">
        <is>
          <t>Arcadu, F.</t>
        </is>
      </c>
      <c r="C630" s="86" t="n">
        <v>2019</v>
      </c>
      <c r="D630" s="5" t="inlineStr">
        <is>
          <t>Outcome not related to interest</t>
        </is>
      </c>
      <c r="E630" s="86" t="n"/>
      <c r="F630" s="86" t="n"/>
      <c r="G630" s="86" t="n"/>
      <c r="H630" s="5" t="n"/>
    </row>
    <row r="631" ht="16" customHeight="1" s="55">
      <c r="A631" s="86" t="inlineStr">
        <is>
          <t>Success rate of a vision screening program using a handheld fundus camera and a deep learning image quality and diabetic retinopathy screening algorithm</t>
        </is>
      </c>
      <c r="B631" s="86" t="inlineStr">
        <is>
          <t>Makedonsky, K.</t>
        </is>
      </c>
      <c r="C631" s="86" t="n">
        <v>2019</v>
      </c>
      <c r="D631" s="5" t="inlineStr">
        <is>
          <t>Outcome not related to interest</t>
        </is>
      </c>
      <c r="E631" s="86" t="n"/>
      <c r="F631" s="86" t="n"/>
      <c r="G631" s="86" t="n"/>
      <c r="H631" s="5" t="n"/>
    </row>
    <row r="632" ht="16" customHeight="1" s="55">
      <c r="A632" s="86" t="inlineStr">
        <is>
          <t>Abnormality prediction from fundus images using Deep Learning and large amounts of data</t>
        </is>
      </c>
      <c r="B632" s="86" t="inlineStr">
        <is>
          <t>Patel, K.R.</t>
        </is>
      </c>
      <c r="C632" s="86" t="n">
        <v>2019</v>
      </c>
      <c r="D632" s="5" t="inlineStr">
        <is>
          <t>Outcome not related to interest</t>
        </is>
      </c>
      <c r="E632" s="86" t="n"/>
      <c r="F632" s="86" t="n"/>
      <c r="G632" s="86" t="n"/>
      <c r="H632" s="5" t="n"/>
    </row>
    <row r="633" ht="16" customHeight="1" s="55">
      <c r="A633" s="86" t="inlineStr">
        <is>
          <t>Deep learning for automatic diabetic retinopathy detection under multiple image quality levels</t>
        </is>
      </c>
      <c r="B633" s="86" t="inlineStr">
        <is>
          <t>Sarhan, H.</t>
        </is>
      </c>
      <c r="C633" s="86" t="n">
        <v>2019</v>
      </c>
      <c r="D633" s="5" t="inlineStr">
        <is>
          <t>Outcome not related to interest</t>
        </is>
      </c>
      <c r="E633" s="86" t="n"/>
      <c r="F633" s="86" t="n"/>
      <c r="G633" s="86" t="n"/>
      <c r="H633" s="5" t="n"/>
    </row>
    <row r="634" ht="16" customHeight="1" s="55">
      <c r="A634" s="86" t="inlineStr">
        <is>
          <t>RetinOpTIC-Automatic Evaluation of Diabetic Retinopathy</t>
        </is>
      </c>
      <c r="B634" s="86" t="inlineStr">
        <is>
          <t>Lay, B.</t>
        </is>
      </c>
      <c r="C634" s="86" t="n">
        <v>2019</v>
      </c>
      <c r="D634" s="5" t="inlineStr">
        <is>
          <t>Outcome not related to interest</t>
        </is>
      </c>
      <c r="E634" s="86" t="n"/>
      <c r="F634" s="86" t="n"/>
      <c r="G634" s="86" t="n"/>
      <c r="H634" s="5" t="n"/>
    </row>
    <row r="635" ht="16" customHeight="1" s="55">
      <c r="A635" s="86" t="inlineStr">
        <is>
          <t>Deep learning for automatic diabetic retinopathy grading of ultra-widefield fundus images</t>
        </is>
      </c>
      <c r="B635" s="86" t="inlineStr">
        <is>
          <t>Sarhan, M.H.</t>
        </is>
      </c>
      <c r="C635" s="86" t="n">
        <v>2019</v>
      </c>
      <c r="D635" s="5" t="inlineStr">
        <is>
          <t>Outcome not related to interest</t>
        </is>
      </c>
      <c r="E635" s="86" t="n"/>
      <c r="F635" s="86" t="n"/>
      <c r="G635" s="86" t="n"/>
      <c r="H635" s="5" t="n"/>
    </row>
    <row r="636" ht="16" customHeight="1" s="55">
      <c r="A636" s="86" t="inlineStr">
        <is>
          <t>Comparison of 1-Field, 2-Fields, and 3-Fields Fundus Photography for Detection of Diabetic Retinopathy</t>
        </is>
      </c>
      <c r="B636" s="86" t="inlineStr">
        <is>
          <t>Lee, J.C.</t>
        </is>
      </c>
      <c r="C636" s="86" t="n">
        <v>2019</v>
      </c>
      <c r="D636" s="86" t="inlineStr">
        <is>
          <t>Not deep learning</t>
        </is>
      </c>
      <c r="E636" s="86" t="n"/>
      <c r="F636" s="86" t="n"/>
      <c r="G636" s="86" t="n"/>
      <c r="H636" s="86" t="n"/>
    </row>
    <row r="637" ht="16" customHeight="1" s="55">
      <c r="A637" s="86" t="inlineStr">
        <is>
          <t>FDA-authorized autonomous AI for diabetic retinopathy screening in clinical routine</t>
        </is>
      </c>
      <c r="B637" s="86" t="inlineStr">
        <is>
          <t>Gerendas, B.S.</t>
        </is>
      </c>
      <c r="C637" s="86" t="n">
        <v>2019</v>
      </c>
      <c r="D637" s="5" t="inlineStr">
        <is>
          <t>Outcome not related to interest</t>
        </is>
      </c>
      <c r="E637" s="86" t="n"/>
      <c r="F637" s="86" t="n"/>
      <c r="G637" s="86" t="n"/>
      <c r="H637" s="5" t="n"/>
    </row>
    <row r="638" ht="16" customHeight="1" s="55">
      <c r="A638" s="86" t="inlineStr">
        <is>
          <t>Real-World Use of Artificial Intelligence to Screen for Diabetic Retinopathy at Diabetes Care Clinics</t>
        </is>
      </c>
      <c r="B638" s="86" t="inlineStr">
        <is>
          <t>Barriga, E.S.</t>
        </is>
      </c>
      <c r="C638" s="86" t="n">
        <v>2019</v>
      </c>
      <c r="D638" s="5" t="inlineStr">
        <is>
          <t>Outcome not related to interest</t>
        </is>
      </c>
      <c r="E638" s="86" t="n"/>
      <c r="F638" s="86" t="n"/>
      <c r="G638" s="86" t="n"/>
      <c r="H638" s="5" t="n"/>
    </row>
    <row r="639" ht="16" customHeight="1" s="55">
      <c r="A639" s="86" t="inlineStr">
        <is>
          <t>Assistance from a deep learning system improves diabetic retinopathy assessment in optometrists</t>
        </is>
      </c>
      <c r="B639" s="86" t="inlineStr">
        <is>
          <t>Sayres, R.</t>
        </is>
      </c>
      <c r="C639" s="86" t="n">
        <v>2019</v>
      </c>
      <c r="D639" s="86" t="inlineStr">
        <is>
          <t>Insufficient to constrct confusion matrix</t>
        </is>
      </c>
      <c r="E639" s="86" t="n"/>
      <c r="F639" s="86" t="n"/>
      <c r="G639" s="86" t="n"/>
      <c r="H639" s="86" t="n"/>
    </row>
    <row r="640" ht="16" customHeight="1" s="55">
      <c r="A640" s="86" t="inlineStr">
        <is>
          <t>A deep learning classifier for screening of diabetic retinopathy using simultaneous imaging with fundus and OCT</t>
        </is>
      </c>
      <c r="B640" s="86" t="inlineStr">
        <is>
          <t>Basavaraj, T.M.</t>
        </is>
      </c>
      <c r="C640" s="86" t="n">
        <v>2019</v>
      </c>
      <c r="D640" s="5" t="inlineStr">
        <is>
          <t>Outcome not related to interest</t>
        </is>
      </c>
      <c r="E640" s="86" t="n"/>
      <c r="F640" s="86" t="n"/>
      <c r="G640" s="86" t="n"/>
      <c r="H640" s="5" t="n"/>
    </row>
    <row r="641" ht="16" customHeight="1" s="55">
      <c r="A641" s="86" t="inlineStr">
        <is>
          <t>Effect of image compression and number of fields on a deep learning system for detection of diabetic retinopathy</t>
        </is>
      </c>
      <c r="B641" s="86" t="inlineStr">
        <is>
          <t>Yip, M.Y.T.</t>
        </is>
      </c>
      <c r="C641" s="86" t="n">
        <v>2019</v>
      </c>
      <c r="D641" s="5" t="inlineStr">
        <is>
          <t>Outcome not related to interest</t>
        </is>
      </c>
      <c r="E641" s="86" t="n"/>
      <c r="F641" s="86" t="n"/>
      <c r="G641" s="86" t="n"/>
      <c r="H641" s="5" t="n"/>
    </row>
    <row r="642" ht="16" customHeight="1" s="55">
      <c r="A642" s="86" t="inlineStr">
        <is>
          <t>The application of deep learning system to screen for diabetic retinopathy in an underprivileged african population with diabetes</t>
        </is>
      </c>
      <c r="B642" s="86" t="inlineStr">
        <is>
          <t>Bellemo, V.</t>
        </is>
      </c>
      <c r="C642" s="86" t="n">
        <v>2019</v>
      </c>
      <c r="D642" s="5" t="inlineStr">
        <is>
          <t>Outcome not related to interest</t>
        </is>
      </c>
      <c r="E642" s="86" t="n"/>
      <c r="F642" s="86" t="n"/>
      <c r="G642" s="86" t="n"/>
      <c r="H642" s="5" t="n"/>
    </row>
    <row r="643" ht="16" customHeight="1" s="55">
      <c r="A643" s="86" t="inlineStr">
        <is>
          <t>Clinical validation of a deep learning automated algorithm for the detection of diabetic retinopathy and macular edema</t>
        </is>
      </c>
      <c r="B643" s="86" t="inlineStr">
        <is>
          <t>Stebbins, K.</t>
        </is>
      </c>
      <c r="C643" s="86" t="n">
        <v>2019</v>
      </c>
      <c r="D643" s="5" t="inlineStr">
        <is>
          <t>Outcome not related to interest</t>
        </is>
      </c>
      <c r="E643" s="86" t="n"/>
      <c r="F643" s="86" t="n"/>
      <c r="G643" s="86" t="n"/>
      <c r="H643" s="5" t="n"/>
    </row>
    <row r="644" ht="16" customHeight="1" s="55">
      <c r="A644" s="86" t="inlineStr">
        <is>
          <t>Screening performance of an automated image analysis software for the detection of diabetic retinopathy using a conventional fundus photography or a confocal white LED device: A comparison study</t>
        </is>
      </c>
      <c r="B644" s="86" t="inlineStr">
        <is>
          <t>Sarao, V.</t>
        </is>
      </c>
      <c r="C644" s="86" t="n">
        <v>2019</v>
      </c>
      <c r="D644" s="5" t="inlineStr">
        <is>
          <t>Outcome not related to interest</t>
        </is>
      </c>
      <c r="E644" s="86" t="n"/>
      <c r="F644" s="86" t="n"/>
      <c r="G644" s="86" t="n"/>
      <c r="H644" s="5" t="n"/>
    </row>
    <row r="645" ht="16" customHeight="1" s="55">
      <c r="A645" s="86" t="inlineStr">
        <is>
          <t>Deep neural network and human evaluation of referral-warranted diabetic retinopathy using smartphone-based retinal photographs</t>
        </is>
      </c>
      <c r="B645" s="86" t="inlineStr">
        <is>
          <t>Aaberg, M.</t>
        </is>
      </c>
      <c r="C645" s="86" t="n">
        <v>2019</v>
      </c>
      <c r="D645" s="5" t="inlineStr">
        <is>
          <t>Repeated article</t>
        </is>
      </c>
      <c r="E645" s="86" t="n"/>
      <c r="F645" s="86" t="n"/>
      <c r="G645" s="86" t="n"/>
      <c r="H645" s="5" t="n"/>
    </row>
    <row r="646" ht="16" customHeight="1" s="55">
      <c r="A646" s="86" t="inlineStr">
        <is>
          <t>Deep learning method to identify diabetic retinopathy and diabetic macular edema characteristics</t>
        </is>
      </c>
      <c r="B646" s="86" t="inlineStr">
        <is>
          <t>Rios, H.A.</t>
        </is>
      </c>
      <c r="C646" s="86" t="n">
        <v>2019</v>
      </c>
      <c r="D646" s="5" t="inlineStr">
        <is>
          <t>Outcome not related to interest</t>
        </is>
      </c>
      <c r="E646" s="86" t="n"/>
      <c r="F646" s="86" t="n"/>
      <c r="G646" s="86" t="n"/>
      <c r="H646" s="5" t="n"/>
    </row>
    <row r="647" ht="16" customHeight="1" s="55">
      <c r="A647" s="86" t="inlineStr">
        <is>
          <t>Automated development of deep learning models to diagnose retinal disease from fundus and optical coherence tomography images</t>
        </is>
      </c>
      <c r="B647" s="86" t="inlineStr">
        <is>
          <t>Keane, P.A.</t>
        </is>
      </c>
      <c r="C647" s="86" t="n">
        <v>2019</v>
      </c>
      <c r="D647" s="5" t="inlineStr">
        <is>
          <t>Outcome not related to interest</t>
        </is>
      </c>
      <c r="E647" s="86" t="n"/>
      <c r="F647" s="86" t="n"/>
      <c r="G647" s="86" t="n"/>
      <c r="H647" s="5" t="n"/>
    </row>
    <row r="648" ht="16" customHeight="1" s="55">
      <c r="A648" s="86" t="inlineStr">
        <is>
          <t>Development and validation of a cloudbased deep learning platform for detection of 37 fundus diseases in retinal photographs</t>
        </is>
      </c>
      <c r="B648" s="86" t="inlineStr">
        <is>
          <t>Cen, L.-P.</t>
        </is>
      </c>
      <c r="C648" s="86" t="n">
        <v>2019</v>
      </c>
      <c r="D648" s="5" t="inlineStr">
        <is>
          <t>Outcome not related to interest</t>
        </is>
      </c>
      <c r="E648" s="86" t="n"/>
      <c r="F648" s="86" t="n"/>
      <c r="G648" s="86" t="n"/>
      <c r="H648" s="5" t="n"/>
    </row>
    <row r="649" ht="16" customHeight="1" s="55">
      <c r="A649" s="86" t="inlineStr">
        <is>
          <t>Enhanced CAE system for detection of exudates and diagnosis of diabetic retinopathy stages in fundus retinal images using soft computing techniques</t>
        </is>
      </c>
      <c r="B649" s="86" t="inlineStr">
        <is>
          <t>Janaki, S.D.</t>
        </is>
      </c>
      <c r="C649" s="86" t="n">
        <v>2019</v>
      </c>
      <c r="D649" s="5" t="inlineStr">
        <is>
          <t>Outcome not related to interest</t>
        </is>
      </c>
      <c r="E649" s="86" t="n"/>
      <c r="F649" s="86" t="n"/>
      <c r="G649" s="86" t="n"/>
      <c r="H649" s="5" t="n"/>
    </row>
    <row r="650" ht="16" customHeight="1" s="55">
      <c r="A650" s="86" t="inlineStr">
        <is>
          <t>Diabetic retinopathy (DR) screening performance of an artificial intelligence (AI) system: Analysis from a pivotal multicenter prospective clinical trial</t>
        </is>
      </c>
      <c r="B650" s="86" t="inlineStr">
        <is>
          <t>Bode, B.W.</t>
        </is>
      </c>
      <c r="C650" s="86" t="n">
        <v>2019</v>
      </c>
      <c r="D650" s="5" t="inlineStr">
        <is>
          <t>Outcome not related to interest</t>
        </is>
      </c>
      <c r="E650" s="86" t="n"/>
      <c r="F650" s="86" t="n"/>
      <c r="G650" s="86" t="n"/>
      <c r="H650" s="5" t="n"/>
    </row>
    <row r="651" ht="16" customHeight="1" s="55">
      <c r="A651" s="86" t="inlineStr">
        <is>
          <t>Medios-a smartphone-based artificial intelligence algorithm in screening for diabetic retinopathy</t>
        </is>
      </c>
      <c r="B651" s="86" t="inlineStr">
        <is>
          <t>Sosale, B.</t>
        </is>
      </c>
      <c r="C651" s="86" t="n">
        <v>2019</v>
      </c>
      <c r="D651" s="5" t="inlineStr">
        <is>
          <t>Outcome not related to interest</t>
        </is>
      </c>
      <c r="E651" s="86" t="n"/>
      <c r="F651" s="86" t="n"/>
      <c r="G651" s="86" t="n"/>
      <c r="H651" s="5" t="n"/>
    </row>
    <row r="652" ht="16" customHeight="1" s="55">
      <c r="A652" s="86" t="inlineStr">
        <is>
          <t>Diabetic retinopathy (DR) screening performance of general ophthalmologists, retina specialists, and artificial intelligence (AI): Analysis from a pivotal multicenter prospective clinical trial</t>
        </is>
      </c>
      <c r="B652" s="86" t="inlineStr">
        <is>
          <t>Ipp, E.</t>
        </is>
      </c>
      <c r="C652" s="86" t="n">
        <v>2019</v>
      </c>
      <c r="D652" s="5" t="inlineStr">
        <is>
          <t>Outcome not related to interest</t>
        </is>
      </c>
      <c r="E652" s="86" t="n"/>
      <c r="F652" s="86" t="n"/>
      <c r="G652" s="86" t="n"/>
      <c r="H652" s="5" t="n"/>
    </row>
    <row r="653" ht="16" customHeight="1" s="55">
      <c r="A653" s="86" t="inlineStr">
        <is>
          <t>Explaining an artificial intelligence (AI) system for diabetic retinopathy (DR) screening in primary care</t>
        </is>
      </c>
      <c r="B653" s="86" t="inlineStr">
        <is>
          <t>Parekh, N.U.</t>
        </is>
      </c>
      <c r="C653" s="86" t="n">
        <v>2019</v>
      </c>
      <c r="D653" s="5" t="inlineStr">
        <is>
          <t>Outcome not related to interest</t>
        </is>
      </c>
      <c r="E653" s="86" t="n"/>
      <c r="F653" s="86" t="n"/>
      <c r="G653" s="86" t="n"/>
      <c r="H653" s="5" t="n"/>
    </row>
    <row r="654" ht="16" customHeight="1" s="55">
      <c r="A654" s="86" t="inlineStr">
        <is>
          <t>The comparison between an automated reading and human grading of images from a handheld wide field imaging device</t>
        </is>
      </c>
      <c r="B654" s="86" t="inlineStr">
        <is>
          <t>Hamill, B.</t>
        </is>
      </c>
      <c r="C654" s="86" t="n">
        <v>2019</v>
      </c>
      <c r="D654" s="5" t="inlineStr">
        <is>
          <t>Outcome not related to interest</t>
        </is>
      </c>
      <c r="E654" s="86" t="n"/>
      <c r="F654" s="86" t="n"/>
      <c r="G654" s="86" t="n"/>
      <c r="H654" s="5" t="n"/>
    </row>
    <row r="655" ht="16" customHeight="1" s="55">
      <c r="A655" s="86" t="inlineStr">
        <is>
          <t>Computerized diabetic retinopathy diagnosis with optimized random forest</t>
        </is>
      </c>
      <c r="B655" s="86" t="inlineStr">
        <is>
          <t>Lai, X.</t>
        </is>
      </c>
      <c r="C655" s="86" t="n">
        <v>2019</v>
      </c>
      <c r="D655" s="5" t="inlineStr">
        <is>
          <t>Not deep learning</t>
        </is>
      </c>
      <c r="E655" s="86" t="n"/>
      <c r="F655" s="86" t="n"/>
      <c r="G655" s="86" t="n"/>
      <c r="H655" s="5" t="n"/>
    </row>
    <row r="656" ht="16" customHeight="1" s="55">
      <c r="A656" s="86" t="inlineStr">
        <is>
          <t>Simple, mobile based artificial intelligence algorithm in the diagnosis of diabetic retinopathy</t>
        </is>
      </c>
      <c r="B656" s="86" t="inlineStr">
        <is>
          <t>Sosale, B.</t>
        </is>
      </c>
      <c r="C656" s="86" t="n">
        <v>2019</v>
      </c>
      <c r="D656" s="5" t="inlineStr">
        <is>
          <t>Outcome not related to interest</t>
        </is>
      </c>
      <c r="E656" s="86" t="n"/>
      <c r="F656" s="86" t="n"/>
      <c r="G656" s="86" t="n"/>
      <c r="H656" s="5" t="n"/>
    </row>
    <row r="657" ht="16" customHeight="1" s="55">
      <c r="A657" s="86" t="inlineStr">
        <is>
          <t>Comparison of Aurora Fundus Camera With Traditional Fundus Camera in Diabetic Retinopathy With Phoebus Visual Artificial Intelligence</t>
        </is>
      </c>
      <c r="B657" s="86" t="n"/>
      <c r="C657" s="86" t="n">
        <v>2019</v>
      </c>
      <c r="D657" s="5" t="inlineStr">
        <is>
          <t>Outcome not related to interest</t>
        </is>
      </c>
    </row>
    <row r="658" ht="16" customHeight="1" s="55">
      <c r="A658" s="86" t="inlineStr">
        <is>
          <t>Artificial intelligence-based screening for diabetic retinopathy at community hospital</t>
        </is>
      </c>
      <c r="B658" s="86" t="inlineStr">
        <is>
          <t>He, J.</t>
        </is>
      </c>
      <c r="C658" s="86" t="n">
        <v>2019</v>
      </c>
      <c r="D658" s="5" t="inlineStr">
        <is>
          <t>Outcome not related to interest</t>
        </is>
      </c>
    </row>
    <row r="659" ht="16" customHeight="1" s="55">
      <c r="A659" s="86" t="inlineStr">
        <is>
          <t>A Prospective Clinical Study on the Real-world Diagnostic Effectiveness of Artificial Intelligence Algorithm in Diabetic Retinopathy Screening</t>
        </is>
      </c>
      <c r="B659" s="86" t="n"/>
      <c r="C659" s="86" t="n">
        <v>2019</v>
      </c>
      <c r="D659" s="5" t="inlineStr">
        <is>
          <t>Outcome not related to interest</t>
        </is>
      </c>
    </row>
    <row r="660" ht="16" customHeight="1" s="55">
      <c r="A660" s="86" t="inlineStr">
        <is>
          <t>Comparative Analysis of Diabetic Retinopathy Images by Retina Specialists Versus EyeStar's Artificial Intelligence Software of Images Captured by Pictor Plus Retinal Camera</t>
        </is>
      </c>
      <c r="B660" s="86" t="n"/>
      <c r="C660" s="86" t="n">
        <v>2019</v>
      </c>
      <c r="D660" s="5" t="inlineStr">
        <is>
          <t>Outcome not related to interest</t>
        </is>
      </c>
    </row>
    <row r="661" ht="16" customHeight="1" s="55">
      <c r="A661" s="86" t="inlineStr">
        <is>
          <t>Validation of automated screening for referable diabetic retinopathy with the IDx-DR device in the Hoorn Diabetes Care System.</t>
        </is>
      </c>
      <c r="B661" s="86" t="inlineStr">
        <is>
          <t>van der Heijden, Amber A</t>
        </is>
      </c>
      <c r="C661" s="86" t="n">
        <v>2018</v>
      </c>
      <c r="D661" s="5" t="inlineStr">
        <is>
          <t>Outcome not related to interest</t>
        </is>
      </c>
      <c r="E661" s="86" t="n"/>
      <c r="F661" s="86" t="n"/>
      <c r="G661" s="86" t="n"/>
      <c r="H661" s="5" t="n"/>
    </row>
    <row r="662" ht="16" customHeight="1" s="55">
      <c r="A662" s="86" t="inlineStr">
        <is>
          <t>Diabetic retinopathy screening using deep neural network.</t>
        </is>
      </c>
      <c r="B662" s="86" t="inlineStr">
        <is>
          <t>Ramachandran, Nishanthan</t>
        </is>
      </c>
      <c r="C662" s="86" t="n">
        <v>2018</v>
      </c>
      <c r="D662" s="5" t="inlineStr">
        <is>
          <t>Outcome not related to interest</t>
        </is>
      </c>
      <c r="E662" s="86" t="n"/>
      <c r="F662" s="86" t="n"/>
      <c r="G662" s="86" t="n"/>
      <c r="H662" s="5" t="n"/>
    </row>
    <row r="663" ht="16" customHeight="1" s="55">
      <c r="A663" s="86" t="inlineStr">
        <is>
          <t>Automated Detection of Diabetic Retinopathy using Deep Learning.</t>
        </is>
      </c>
      <c r="B663" s="86" t="inlineStr">
        <is>
          <t>Lam, Carson</t>
        </is>
      </c>
      <c r="C663" s="86" t="n">
        <v>2018</v>
      </c>
      <c r="D663" s="5" t="inlineStr">
        <is>
          <t>Outcome not related to interest</t>
        </is>
      </c>
      <c r="E663" s="86" t="n"/>
      <c r="F663" s="86" t="n"/>
      <c r="G663" s="86" t="n"/>
      <c r="H663" s="5" t="n"/>
    </row>
    <row r="664" ht="16" customHeight="1" s="55">
      <c r="A664" s="86" t="inlineStr">
        <is>
          <t>Feasibility and patient acceptability of a novel artificial intelligence-based screening model for diabetic retinopathy at endocrinology outpatient services: a pilot study.</t>
        </is>
      </c>
      <c r="B664" s="86" t="inlineStr">
        <is>
          <t>Keel, Stuart</t>
        </is>
      </c>
      <c r="C664" s="86" t="n">
        <v>2018</v>
      </c>
      <c r="D664" s="5" t="inlineStr">
        <is>
          <t>Outcome not related to interest</t>
        </is>
      </c>
      <c r="E664" s="86" t="n"/>
      <c r="F664" s="86" t="n"/>
      <c r="G664" s="86" t="n"/>
      <c r="H664" s="5" t="n"/>
    </row>
    <row r="665" ht="16" customHeight="1" s="55">
      <c r="A665" s="86" t="inlineStr">
        <is>
          <t>Automated diabetic retinopathy detection in smartphone-based fundus photography using artificial intelligence.</t>
        </is>
      </c>
      <c r="B665" s="86" t="inlineStr">
        <is>
          <t>Rajalakshmi, Ramachandran</t>
        </is>
      </c>
      <c r="C665" s="86" t="n">
        <v>2018</v>
      </c>
      <c r="D665" s="5" t="inlineStr">
        <is>
          <t>Outcome not related to interest</t>
        </is>
      </c>
      <c r="E665" s="86" t="n"/>
      <c r="F665" s="86" t="n"/>
      <c r="G665" s="86" t="n"/>
      <c r="H665" s="5" t="n"/>
    </row>
    <row r="666" ht="16" customHeight="1" s="55">
      <c r="A666" s="86" t="inlineStr">
        <is>
          <t>Diabetic retinopathy detection and classification using hybrid feature set.</t>
        </is>
      </c>
      <c r="B666" s="86" t="inlineStr">
        <is>
          <t>Amin, Javeria</t>
        </is>
      </c>
      <c r="C666" s="86" t="n">
        <v>2018</v>
      </c>
      <c r="D666" s="5" t="inlineStr">
        <is>
          <t>Outcome not related to interest</t>
        </is>
      </c>
      <c r="E666" s="86" t="n"/>
      <c r="F666" s="86" t="n"/>
      <c r="G666" s="86" t="n"/>
      <c r="H666" s="5" t="n"/>
    </row>
    <row r="667" ht="16" customHeight="1" s="55">
      <c r="A667" s="86" t="inlineStr">
        <is>
          <t>Diabetic Retinopathy Diagnosis from Retinal Images Using Modified Hopfield Neural Network.</t>
        </is>
      </c>
      <c r="B667" s="86" t="inlineStr">
        <is>
          <t>Hemanth, D Jude</t>
        </is>
      </c>
      <c r="C667" s="86" t="n">
        <v>2018</v>
      </c>
      <c r="D667" s="5" t="inlineStr">
        <is>
          <t>Outcome not related to interest</t>
        </is>
      </c>
      <c r="E667" s="86" t="n"/>
      <c r="F667" s="86" t="n"/>
      <c r="G667" s="86" t="n"/>
      <c r="H667" s="5" t="n"/>
    </row>
    <row r="668" ht="16" customHeight="1" s="55">
      <c r="A668" s="86" t="inlineStr">
        <is>
          <t>Transforming Retinal Photographs to Entropy Images in Deep Learning to Improve Automated Detection for Diabetic Retinopathy.</t>
        </is>
      </c>
      <c r="B668" s="86" t="inlineStr">
        <is>
          <t>Lin, Gen-Min</t>
        </is>
      </c>
      <c r="C668" s="86" t="n">
        <v>2018</v>
      </c>
      <c r="D668" s="5" t="inlineStr">
        <is>
          <t>Outcome not related to interest</t>
        </is>
      </c>
      <c r="E668" s="86" t="n"/>
      <c r="F668" s="86" t="n"/>
      <c r="G668" s="86" t="n"/>
      <c r="H668" s="5" t="n"/>
    </row>
    <row r="669" ht="16" customHeight="1" s="55">
      <c r="A669" s="86" t="inlineStr">
        <is>
          <t>An Automated Grading System for Detection of Vision-Threatening Referable Diabetic Retinopathy on the Basis of Color Fundus Photographs.</t>
        </is>
      </c>
      <c r="B669" s="86" t="inlineStr">
        <is>
          <t>Li, Zhixi</t>
        </is>
      </c>
      <c r="C669" s="86" t="n">
        <v>2018</v>
      </c>
      <c r="D669" s="5" t="inlineStr">
        <is>
          <t>Outcome not related to interest</t>
        </is>
      </c>
      <c r="E669" s="86" t="n"/>
      <c r="F669" s="86" t="n"/>
      <c r="G669" s="86" t="n"/>
      <c r="H669" s="5" t="n"/>
    </row>
    <row r="670" ht="16" customHeight="1" s="55">
      <c r="A670" s="86" t="inlineStr">
        <is>
          <t>Pivotal trial of an autonomous AI-based diagnostic system for detection of diabetic retinopathy in primary care offices.</t>
        </is>
      </c>
      <c r="B670" s="86" t="inlineStr">
        <is>
          <t>Abrmoff, Michael D</t>
        </is>
      </c>
      <c r="C670" s="86" t="n">
        <v>2018</v>
      </c>
      <c r="D670" s="5" t="inlineStr">
        <is>
          <t>Outcome not related to interest</t>
        </is>
      </c>
      <c r="E670" s="86" t="n"/>
      <c r="F670" s="86" t="n"/>
      <c r="G670" s="86" t="n"/>
      <c r="H670" s="5" t="n"/>
    </row>
    <row r="671" ht="16" customHeight="1" s="55">
      <c r="A671" s="86" t="inlineStr">
        <is>
          <t>Automatic detection of diabetic retinopathy using jointly trained CNNs</t>
        </is>
      </c>
      <c r="B671" s="86" t="inlineStr">
        <is>
          <t>Hijazi, B.</t>
        </is>
      </c>
      <c r="C671" s="86" t="n">
        <v>2018</v>
      </c>
      <c r="D671" s="86" t="inlineStr">
        <is>
          <t>Insufficient to constrct confusion matrix</t>
        </is>
      </c>
      <c r="E671" s="86" t="n"/>
      <c r="F671" s="86" t="n"/>
      <c r="G671" s="86" t="n"/>
      <c r="H671" s="86" t="n"/>
    </row>
    <row r="672" ht="16" customHeight="1" s="55">
      <c r="A672" s="86" t="inlineStr">
        <is>
          <t>Artificial intelligence-based screening of diabetic retinopathy: A nationwide survey in China</t>
        </is>
      </c>
      <c r="B672" s="86" t="inlineStr">
        <is>
          <t>Sun, Z.</t>
        </is>
      </c>
      <c r="C672" s="86" t="n">
        <v>2018</v>
      </c>
      <c r="D672" s="5" t="inlineStr">
        <is>
          <t>Outcome not related to interest</t>
        </is>
      </c>
      <c r="E672" s="86" t="n"/>
      <c r="F672" s="86" t="n"/>
      <c r="G672" s="86" t="n"/>
      <c r="H672" s="5" t="n"/>
    </row>
    <row r="673" ht="16" customHeight="1" s="55">
      <c r="A673" s="86" t="inlineStr">
        <is>
          <t>Automated method for hierarchal detection and grading of diabetic retinopathy</t>
        </is>
      </c>
      <c r="B673" s="86" t="inlineStr">
        <is>
          <t>Sengar, N.</t>
        </is>
      </c>
      <c r="C673" s="86" t="n">
        <v>2018</v>
      </c>
      <c r="D673" s="5" t="inlineStr">
        <is>
          <t>Outcome not related to interest</t>
        </is>
      </c>
      <c r="E673" s="86" t="n"/>
      <c r="F673" s="86" t="n"/>
      <c r="G673" s="86" t="n"/>
      <c r="H673" s="5" t="n"/>
    </row>
    <row r="674" ht="16" customHeight="1" s="55">
      <c r="A674" s="86" t="inlineStr">
        <is>
          <t>Use of artificial intelligence in prediction of diabetic retinopathy using a fundus on phone camera</t>
        </is>
      </c>
      <c r="B674" s="86" t="inlineStr">
        <is>
          <t>Krishnan, R.</t>
        </is>
      </c>
      <c r="C674" s="86" t="n">
        <v>2018</v>
      </c>
      <c r="D674" s="5" t="inlineStr">
        <is>
          <t>Outcome not related to interest</t>
        </is>
      </c>
      <c r="E674" s="86" t="n"/>
      <c r="F674" s="86" t="n"/>
      <c r="G674" s="86" t="n"/>
      <c r="H674" s="5" t="n"/>
    </row>
    <row r="675" ht="16" customHeight="1" s="55">
      <c r="A675" s="86" t="inlineStr">
        <is>
          <t>Improving diabetic retinopathy screening using deep learning</t>
        </is>
      </c>
      <c r="B675" s="86" t="inlineStr">
        <is>
          <t>Mellor, J.C.</t>
        </is>
      </c>
      <c r="C675" s="86" t="n">
        <v>2018</v>
      </c>
      <c r="D675" s="86" t="inlineStr">
        <is>
          <t>Insufficient to constrct confusion matrix</t>
        </is>
      </c>
      <c r="E675" s="86" t="n"/>
      <c r="F675" s="86" t="n"/>
      <c r="G675" s="86" t="n"/>
      <c r="H675" s="86" t="n"/>
    </row>
    <row r="676" ht="16" customHeight="1" s="55">
      <c r="A676" s="86" t="inlineStr">
        <is>
          <t>Automatic identification of referral warranted diabetic retinopathy using deep learning on mobile phone images</t>
        </is>
      </c>
      <c r="B676" s="86" t="inlineStr">
        <is>
          <t>Leng, T.</t>
        </is>
      </c>
      <c r="C676" s="86" t="n">
        <v>2018</v>
      </c>
      <c r="D676" s="5" t="inlineStr">
        <is>
          <t>Outcome not related to interest</t>
        </is>
      </c>
      <c r="E676" s="86" t="n"/>
      <c r="F676" s="86" t="n"/>
      <c r="G676" s="86" t="n"/>
      <c r="H676" s="5" t="n"/>
    </row>
    <row r="677" ht="16" customHeight="1" s="55">
      <c r="A677" s="86" t="inlineStr">
        <is>
          <t>Ensemble effect of spatial representations of features and a deep architecture for automatic diabetic retinopathy screening</t>
        </is>
      </c>
      <c r="B677" s="86" t="inlineStr">
        <is>
          <t>Benson, J.</t>
        </is>
      </c>
      <c r="C677" s="86" t="n">
        <v>2018</v>
      </c>
      <c r="D677" s="5" t="inlineStr">
        <is>
          <t>Outcome not related to interest</t>
        </is>
      </c>
      <c r="E677" s="86" t="n"/>
      <c r="F677" s="86" t="n"/>
      <c r="G677" s="86" t="n"/>
      <c r="H677" s="5" t="n"/>
    </row>
    <row r="678" ht="16" customHeight="1" s="55">
      <c r="A678" s="86" t="inlineStr">
        <is>
          <t>Fully convolutional neural networks for automatic extraction of diabetic retinopathy features in retinal fundus images</t>
        </is>
      </c>
      <c r="B678" s="86" t="inlineStr">
        <is>
          <t>Andersen, J.</t>
        </is>
      </c>
      <c r="C678" s="86" t="n">
        <v>2018</v>
      </c>
      <c r="D678" s="5" t="inlineStr">
        <is>
          <t>Outcome not related to interest</t>
        </is>
      </c>
      <c r="E678" s="86" t="n"/>
      <c r="F678" s="86" t="n"/>
      <c r="G678" s="86" t="n"/>
      <c r="H678" s="5" t="n"/>
    </row>
    <row r="679" ht="16" customHeight="1" s="55">
      <c r="A679" s="86" t="inlineStr">
        <is>
          <t>Deep learning is effective for classifying non-referable versus referable eye condition using fundus photographs</t>
        </is>
      </c>
      <c r="B679" s="86" t="inlineStr">
        <is>
          <t>Kim, J.H.</t>
        </is>
      </c>
      <c r="C679" s="86" t="n">
        <v>2018</v>
      </c>
      <c r="D679" s="5" t="inlineStr">
        <is>
          <t>Outcome not related to interest</t>
        </is>
      </c>
      <c r="E679" s="86" t="n"/>
      <c r="F679" s="86" t="n"/>
      <c r="G679" s="86" t="n"/>
      <c r="H679" s="5" t="n"/>
    </row>
    <row r="680" ht="16" customHeight="1" s="55">
      <c r="A680" s="86" t="inlineStr">
        <is>
          <t>The development and validation of a deep learning algorithm for referable diabetic retinopathy</t>
        </is>
      </c>
      <c r="B680" s="86" t="inlineStr">
        <is>
          <t>Keel, S.</t>
        </is>
      </c>
      <c r="C680" s="86" t="n">
        <v>2018</v>
      </c>
      <c r="D680" s="5" t="inlineStr">
        <is>
          <t>Outcome not related to interest</t>
        </is>
      </c>
      <c r="E680" s="86" t="n"/>
      <c r="F680" s="86" t="n"/>
      <c r="G680" s="86" t="n"/>
      <c r="H680" s="5" t="n"/>
    </row>
    <row r="681" ht="16" customHeight="1" s="55">
      <c r="A681" s="86" t="inlineStr">
        <is>
          <t>Automated diagnosis of fundus camera images for diabetic retinopathy for treatment referral</t>
        </is>
      </c>
      <c r="B681" s="86" t="inlineStr">
        <is>
          <t>Pratt, H.</t>
        </is>
      </c>
      <c r="C681" s="86" t="n">
        <v>2018</v>
      </c>
      <c r="D681" s="5" t="inlineStr">
        <is>
          <t>Outcome not related to interest</t>
        </is>
      </c>
      <c r="E681" s="86" t="n"/>
      <c r="F681" s="86" t="n"/>
      <c r="G681" s="86" t="n"/>
      <c r="H681" s="5" t="n"/>
    </row>
    <row r="682" ht="16" customHeight="1" s="55">
      <c r="A682" s="86" t="inlineStr">
        <is>
          <t>Automated retinal image reading and progression analysis</t>
        </is>
      </c>
      <c r="B682" s="86" t="inlineStr">
        <is>
          <t>Tang, H.</t>
        </is>
      </c>
      <c r="C682" s="86" t="n">
        <v>2018</v>
      </c>
      <c r="D682" s="5" t="inlineStr">
        <is>
          <t>Outcome not related to interest</t>
        </is>
      </c>
      <c r="E682" s="86" t="n"/>
      <c r="F682" s="86" t="n"/>
      <c r="G682" s="86" t="n"/>
      <c r="H682" s="5" t="n"/>
    </row>
    <row r="683" ht="16" customHeight="1" s="55">
      <c r="A683" s="86" t="inlineStr">
        <is>
          <t>Improved method of retmarker screening presents safer identification of referable diabetic retinopathy with significantly better burden reduction (higher specificity)</t>
        </is>
      </c>
      <c r="B683" s="86" t="inlineStr">
        <is>
          <t>Ramos, J.D.</t>
        </is>
      </c>
      <c r="C683" s="86" t="n">
        <v>2018</v>
      </c>
      <c r="D683" s="86" t="inlineStr">
        <is>
          <t>Not deep learning</t>
        </is>
      </c>
      <c r="E683" s="86" t="n"/>
      <c r="F683" s="86" t="n"/>
      <c r="G683" s="86" t="n"/>
      <c r="H683" s="86" t="n"/>
    </row>
    <row r="684" ht="16" customHeight="1" s="55">
      <c r="A684" s="86" t="inlineStr">
        <is>
          <t>Diversification of follow-up screening visit interval by differentiation between mild or more versus no diabetic retinopathy (DR) with an enhanced deep-learning device (IDX-DR-EU-2.1) used for the automated detection of DR</t>
        </is>
      </c>
      <c r="B684" s="86" t="inlineStr">
        <is>
          <t>Verbraak, F.</t>
        </is>
      </c>
      <c r="C684" s="86" t="n">
        <v>2018</v>
      </c>
      <c r="D684" s="5" t="inlineStr">
        <is>
          <t>Outcome not related to interest</t>
        </is>
      </c>
      <c r="E684" s="86" t="n"/>
      <c r="F684" s="86" t="n"/>
      <c r="G684" s="86" t="n"/>
      <c r="H684" s="5" t="n"/>
    </row>
    <row r="685" ht="16" customHeight="1" s="55">
      <c r="A685" s="86" t="inlineStr">
        <is>
          <t>Evaluation of lesion risk zones output by an automated diabetic retinopathy screening system</t>
        </is>
      </c>
      <c r="B685" s="86" t="inlineStr">
        <is>
          <t>Russell, G.</t>
        </is>
      </c>
      <c r="C685" s="86" t="n">
        <v>2018</v>
      </c>
      <c r="D685" s="5" t="inlineStr">
        <is>
          <t>Outcome not related to interest</t>
        </is>
      </c>
      <c r="E685" s="86" t="n"/>
      <c r="F685" s="86" t="n"/>
      <c r="G685" s="86" t="n"/>
      <c r="H685" s="5" t="n"/>
    </row>
    <row r="686" ht="16" customHeight="1" s="55">
      <c r="A686" s="86" t="inlineStr">
        <is>
          <t>A preliminary study of a deep learning-assisted diagnostic system with an artificial intelligence for detection of diabetic retinopathy</t>
        </is>
      </c>
      <c r="B686" s="86" t="inlineStr">
        <is>
          <t>Weng, M.</t>
        </is>
      </c>
      <c r="C686" s="86" t="n">
        <v>2018</v>
      </c>
      <c r="D686" s="5" t="inlineStr">
        <is>
          <t>Outcome not related to interest</t>
        </is>
      </c>
      <c r="E686" s="86" t="n"/>
      <c r="F686" s="86" t="n"/>
      <c r="G686" s="86" t="n"/>
      <c r="H686" s="5" t="n"/>
    </row>
    <row r="687" ht="16" customHeight="1" s="55">
      <c r="A687" s="86" t="inlineStr">
        <is>
          <t>Automatic Detection of Retinal Lesions for Screening of Diabetic Retinopathy</t>
        </is>
      </c>
      <c r="B687" s="86" t="inlineStr">
        <is>
          <t>Kar, S.S.</t>
        </is>
      </c>
      <c r="C687" s="86" t="n">
        <v>2018</v>
      </c>
      <c r="D687" s="5" t="inlineStr">
        <is>
          <t>Outcome not related to interest</t>
        </is>
      </c>
      <c r="E687" s="86" t="n"/>
      <c r="F687" s="86" t="n"/>
      <c r="G687" s="86" t="n"/>
      <c r="H687" s="5" t="n"/>
    </row>
    <row r="688" ht="16" customHeight="1" s="55">
      <c r="A688" s="86" t="inlineStr">
        <is>
          <t>Diagnostic accuracy of a device for the automated detection of diabetic retinopathy in a primary care and extended screening interval setting</t>
        </is>
      </c>
      <c r="B688" s="86" t="inlineStr">
        <is>
          <t>Verbraak, F.</t>
        </is>
      </c>
      <c r="C688" s="86" t="n">
        <v>2018</v>
      </c>
      <c r="D688" s="5" t="inlineStr">
        <is>
          <t>Outcome not related to interest</t>
        </is>
      </c>
      <c r="E688" s="86" t="n"/>
      <c r="F688" s="86" t="n"/>
      <c r="G688" s="86" t="n"/>
      <c r="H688" s="5" t="n"/>
    </row>
    <row r="689" ht="16" customHeight="1" s="55">
      <c r="A689" s="86" t="inlineStr">
        <is>
          <t>Screening for vision-threatening diabetic retinopathy in South India: Comparing portable non-mydriatic and standard fundus cameras and clinical exam</t>
        </is>
      </c>
      <c r="B689" s="86" t="inlineStr">
        <is>
          <t>Sengupta, S.</t>
        </is>
      </c>
      <c r="C689" s="86" t="n">
        <v>2018</v>
      </c>
      <c r="D689" s="86" t="inlineStr">
        <is>
          <t>Not deep learning</t>
        </is>
      </c>
      <c r="E689" s="86" t="n"/>
      <c r="F689" s="86" t="n"/>
      <c r="G689" s="86" t="n"/>
      <c r="H689" s="86" t="n"/>
    </row>
    <row r="690" ht="16" customHeight="1" s="55">
      <c r="A690" s="86" t="inlineStr">
        <is>
          <t>Automated dr and prediction of various related diseases of retinal fundus images</t>
        </is>
      </c>
      <c r="B690" s="86" t="inlineStr">
        <is>
          <t>Sumathy, B.</t>
        </is>
      </c>
      <c r="C690" s="86" t="n">
        <v>2018</v>
      </c>
      <c r="D690" s="5" t="inlineStr">
        <is>
          <t>Outcome not related to interest</t>
        </is>
      </c>
      <c r="E690" s="86" t="n"/>
      <c r="F690" s="86" t="n"/>
      <c r="G690" s="86" t="n"/>
      <c r="H690" s="5" t="n"/>
    </row>
    <row r="691" ht="16" customHeight="1" s="55">
      <c r="A691" s="86" t="inlineStr">
        <is>
          <t>An intelligible deep convolution neural network based approach for classification of diabetic retinopathy</t>
        </is>
      </c>
      <c r="B691" s="86" t="inlineStr">
        <is>
          <t>Sharma, S.</t>
        </is>
      </c>
      <c r="C691" s="86" t="n">
        <v>2018</v>
      </c>
      <c r="D691" s="5" t="inlineStr">
        <is>
          <t>Outcome not related to interest</t>
        </is>
      </c>
      <c r="E691" s="86" t="n"/>
      <c r="F691" s="86" t="n"/>
      <c r="G691" s="86" t="n"/>
      <c r="H691" s="5" t="n"/>
    </row>
    <row r="692" ht="16" customHeight="1" s="55">
      <c r="A692" s="86" t="inlineStr">
        <is>
          <t>A Prospective, Multi-center Clinical Study on the Application of An Artificial Intelligence Enabled Disease Detection Software to Diabetic Retinopathy Screening Based on Fundus Images</t>
        </is>
      </c>
      <c r="B692" s="86" t="n"/>
      <c r="C692" s="86" t="n">
        <v>2018</v>
      </c>
      <c r="D692" s="5" t="inlineStr">
        <is>
          <t>Outcome not related to interest</t>
        </is>
      </c>
    </row>
    <row r="693" ht="16" customHeight="1" s="55">
      <c r="A693" s="86" t="inlineStr">
        <is>
          <t>Simple, Mobile-based Artificial Intelligence AlgoRithms in the Detection of Diabetic ReTinopathy (SMART) Study</t>
        </is>
      </c>
      <c r="B693" s="86" t="n"/>
      <c r="C693" s="86" t="n">
        <v>2018</v>
      </c>
      <c r="D693" s="5" t="inlineStr">
        <is>
          <t>Outcome not related to interest</t>
        </is>
      </c>
    </row>
    <row r="694" ht="16" customHeight="1" s="55">
      <c r="A694" s="86" t="inlineStr">
        <is>
          <t>Automated Identification of Diabetic Retinopathy Using Deep Learning.</t>
        </is>
      </c>
      <c r="B694" s="86" t="inlineStr">
        <is>
          <t>Gargeya, Rishab</t>
        </is>
      </c>
      <c r="C694" s="86" t="n">
        <v>2017</v>
      </c>
      <c r="D694" s="5" t="inlineStr">
        <is>
          <t>Outcome not related to interest</t>
        </is>
      </c>
      <c r="E694" s="86" t="n"/>
      <c r="F694" s="86" t="n"/>
      <c r="G694" s="86" t="n"/>
      <c r="H694" s="5" t="n"/>
    </row>
    <row r="695" ht="16" customHeight="1" s="55">
      <c r="A695" s="86" t="inlineStr">
        <is>
          <t>Automatic recognition of severity level for diagnosis of diabetic retinopathy using deep visual features.</t>
        </is>
      </c>
      <c r="B695" s="86" t="inlineStr">
        <is>
          <t>Abbas, Qaisar</t>
        </is>
      </c>
      <c r="C695" s="86" t="n">
        <v>2017</v>
      </c>
      <c r="D695" s="5" t="inlineStr">
        <is>
          <t>Outcome not related to interest</t>
        </is>
      </c>
      <c r="E695" s="86" t="n"/>
      <c r="F695" s="86" t="n"/>
      <c r="G695" s="86" t="n"/>
      <c r="H695" s="5" t="n"/>
    </row>
    <row r="696" ht="16" customHeight="1" s="55">
      <c r="A696" s="86" t="inlineStr">
        <is>
          <t>Automated Diabetic Retinopathy Image Assessment Software: Diagnostic Accuracy and Cost-Effectiveness Compared with Human Graders.</t>
        </is>
      </c>
      <c r="B696" s="86" t="inlineStr">
        <is>
          <t>Tufail, Adnan</t>
        </is>
      </c>
      <c r="C696" s="86" t="n">
        <v>2017</v>
      </c>
      <c r="D696" s="5" t="inlineStr">
        <is>
          <t>Outcome not related to interest</t>
        </is>
      </c>
      <c r="E696" s="86" t="n"/>
      <c r="F696" s="86" t="n"/>
      <c r="G696" s="86" t="n"/>
      <c r="H696" s="5" t="n"/>
    </row>
    <row r="697" ht="16" customHeight="1" s="55">
      <c r="A697" s="86" t="inlineStr">
        <is>
          <t>Deep Convolutional Neural Network-Based Early Automated Detection of Diabetic Retinopathy Using Fundus Image.</t>
        </is>
      </c>
      <c r="B697" s="86" t="inlineStr">
        <is>
          <t>Xu, Kele</t>
        </is>
      </c>
      <c r="C697" s="86" t="n">
        <v>2017</v>
      </c>
      <c r="D697" s="86" t="inlineStr">
        <is>
          <t>Insufficient to constrct confusion matrix</t>
        </is>
      </c>
      <c r="E697" s="86" t="n"/>
      <c r="F697" s="86" t="n"/>
      <c r="G697" s="86" t="n"/>
      <c r="H697" s="86" t="n"/>
    </row>
    <row r="698" ht="16" customHeight="1" s="55">
      <c r="A698" s="86" t="inlineStr">
        <is>
          <t>Automatic non-proliferative diabetic retinopathy screening system based on color fundus image.</t>
        </is>
      </c>
      <c r="B698" s="86" t="inlineStr">
        <is>
          <t>Xiao, Zhitao</t>
        </is>
      </c>
      <c r="C698" s="86" t="n">
        <v>2017</v>
      </c>
      <c r="D698" s="86" t="inlineStr">
        <is>
          <t>Not deep learning</t>
        </is>
      </c>
      <c r="E698" s="86" t="n"/>
      <c r="F698" s="86" t="n"/>
      <c r="G698" s="86" t="n"/>
      <c r="H698" s="86" t="n"/>
    </row>
    <row r="699" ht="16" customHeight="1" s="55">
      <c r="A699" s="86" t="inlineStr">
        <is>
          <t>Deep learning-based Diabetic Retinopathy assessment on embedded system.</t>
        </is>
      </c>
      <c r="B699" s="86" t="inlineStr">
        <is>
          <t>Ardiyanto, Igi</t>
        </is>
      </c>
      <c r="C699" s="86" t="n">
        <v>2017</v>
      </c>
      <c r="D699" s="5" t="inlineStr">
        <is>
          <t>Outcome not related to interest</t>
        </is>
      </c>
      <c r="E699" s="86" t="n"/>
      <c r="F699" s="86" t="n"/>
      <c r="G699" s="86" t="n"/>
      <c r="H699" s="5" t="n"/>
    </row>
    <row r="700" ht="16" customHeight="1" s="55">
      <c r="A700" s="86" t="inlineStr">
        <is>
          <t>Deep-learning-based automatic computer-aided diagnosis system for diabetic retinopathy.</t>
        </is>
      </c>
      <c r="B700" s="86" t="inlineStr">
        <is>
          <t>Mansour, Romany F</t>
        </is>
      </c>
      <c r="C700" s="86" t="n">
        <v>2017</v>
      </c>
      <c r="D700" s="5" t="inlineStr">
        <is>
          <t>Outcome not related to interest</t>
        </is>
      </c>
      <c r="E700" s="86" t="n"/>
      <c r="F700" s="86" t="n"/>
      <c r="G700" s="86" t="n"/>
      <c r="H700" s="5" t="n"/>
    </row>
    <row r="701" ht="16" customHeight="1" s="55">
      <c r="A701" s="86" t="inlineStr">
        <is>
          <t>Non-proliferative diabetic retinopathy symptoms detection and classification using neural network.</t>
        </is>
      </c>
      <c r="B701" s="86" t="inlineStr">
        <is>
          <t>Al-Jarrah, Mohammad A</t>
        </is>
      </c>
      <c r="C701" s="86" t="n">
        <v>2017</v>
      </c>
      <c r="D701" s="5" t="inlineStr">
        <is>
          <t>Outcome not related to interest</t>
        </is>
      </c>
      <c r="E701" s="86" t="n"/>
      <c r="F701" s="86" t="n"/>
      <c r="G701" s="86" t="n"/>
      <c r="H701" s="5" t="n"/>
    </row>
    <row r="702" ht="16" customHeight="1" s="55">
      <c r="A702" s="86" t="inlineStr">
        <is>
          <t>Development of a Deep Learning Algorithm for Automatic Diagnosis of Diabetic Retinopathy.</t>
        </is>
      </c>
      <c r="B702" s="86" t="inlineStr">
        <is>
          <t>Raju, Manoj</t>
        </is>
      </c>
      <c r="C702" s="86" t="n">
        <v>2017</v>
      </c>
      <c r="D702" s="5" t="inlineStr">
        <is>
          <t>Outcome not related to interest</t>
        </is>
      </c>
      <c r="E702" s="86" t="n"/>
      <c r="F702" s="86" t="n"/>
      <c r="G702" s="86" t="n"/>
      <c r="H702" s="5" t="n"/>
    </row>
    <row r="703" ht="16" customHeight="1" s="55">
      <c r="A703" s="86" t="inlineStr">
        <is>
          <t>Leveraging uncertainty information from deep neural networks for disease detection.</t>
        </is>
      </c>
      <c r="B703" s="86" t="inlineStr">
        <is>
          <t>Leibig, Christian</t>
        </is>
      </c>
      <c r="C703" s="86" t="n">
        <v>2017</v>
      </c>
      <c r="D703" s="86" t="inlineStr">
        <is>
          <t>Insufficient to constrct confusion matrix</t>
        </is>
      </c>
      <c r="E703" s="86" t="n"/>
      <c r="F703" s="86" t="n"/>
      <c r="G703" s="86" t="n"/>
      <c r="H703" s="86" t="n"/>
    </row>
    <row r="704" ht="16" customHeight="1" s="55">
      <c r="A704" s="86" t="inlineStr">
        <is>
          <t>Development and Validation of a Deep Learning System for Diabetic Retinopathy and Related Eye Diseases Using Retinal Images From Multiethnic Populations With Diabetes.</t>
        </is>
      </c>
      <c r="B704" s="86" t="inlineStr">
        <is>
          <t>Ting, Daniel Shu Wei</t>
        </is>
      </c>
      <c r="C704" s="86" t="n">
        <v>2017</v>
      </c>
      <c r="D704" s="86" t="n">
        <v>33</v>
      </c>
      <c r="E704" s="86" t="n"/>
      <c r="F704" s="86" t="n"/>
      <c r="G704" s="86" t="n"/>
      <c r="H704" s="86" t="n"/>
    </row>
    <row r="705" ht="16" customHeight="1" s="55">
      <c r="A705" s="86" t="inlineStr">
        <is>
          <t>A deep learning algorithm for detecting common eye diseases based on fundus photography</t>
        </is>
      </c>
      <c r="B705" s="86" t="inlineStr">
        <is>
          <t>He, M.</t>
        </is>
      </c>
      <c r="C705" s="86" t="n">
        <v>2017</v>
      </c>
      <c r="D705" s="5" t="inlineStr">
        <is>
          <t>Outcome not related to interest</t>
        </is>
      </c>
      <c r="E705" s="86" t="n"/>
      <c r="F705" s="86" t="n"/>
      <c r="G705" s="86" t="n"/>
      <c r="H705" s="5" t="n"/>
    </row>
    <row r="706" ht="16" customHeight="1" s="55">
      <c r="A706" s="86" t="inlineStr">
        <is>
          <t>Validation of a deep learning algorithm for referable diabetic retinopathy: A pilot study</t>
        </is>
      </c>
      <c r="B706" s="86" t="inlineStr">
        <is>
          <t>Keel, S.</t>
        </is>
      </c>
      <c r="C706" s="86" t="n">
        <v>2017</v>
      </c>
      <c r="D706" s="5" t="inlineStr">
        <is>
          <t>Outcome not related to interest</t>
        </is>
      </c>
      <c r="E706" s="86" t="n"/>
      <c r="F706" s="86" t="n"/>
      <c r="G706" s="86" t="n"/>
      <c r="H706" s="5" t="n"/>
    </row>
    <row r="707" ht="16" customHeight="1" s="55">
      <c r="A707" s="86" t="inlineStr">
        <is>
          <t>Deep learning to screen for referable diabetic retinopathy</t>
        </is>
      </c>
      <c r="B707" s="86" t="inlineStr">
        <is>
          <t>De Boever, P.</t>
        </is>
      </c>
      <c r="C707" s="86" t="n">
        <v>2017</v>
      </c>
      <c r="D707" s="5" t="inlineStr">
        <is>
          <t>Outcome not related to interest</t>
        </is>
      </c>
      <c r="E707" s="86" t="n"/>
      <c r="F707" s="86" t="n"/>
      <c r="G707" s="86" t="n"/>
      <c r="H707" s="5" t="n"/>
    </row>
    <row r="708" ht="16" customHeight="1" s="55">
      <c r="A708" s="86" t="inlineStr">
        <is>
          <t>Deep learning system for screening of diabetic retinopathy, glaucoma and age-related macular degeneration using retinal photographs: The deep eye study</t>
        </is>
      </c>
      <c r="B708" s="86" t="inlineStr">
        <is>
          <t>Lim, G.</t>
        </is>
      </c>
      <c r="C708" s="86" t="n">
        <v>2017</v>
      </c>
      <c r="D708" s="5" t="inlineStr">
        <is>
          <t>Outcome not related to interest</t>
        </is>
      </c>
      <c r="E708" s="86" t="n"/>
      <c r="F708" s="86" t="n"/>
      <c r="G708" s="86" t="n"/>
      <c r="H708" s="5" t="n"/>
    </row>
    <row r="709" ht="16" customHeight="1" s="55">
      <c r="A709" s="86" t="inlineStr">
        <is>
          <t>Opening the black box: Visualization of deep neural network for detection of disease in retinal fundus photographs</t>
        </is>
      </c>
      <c r="B709" s="86" t="inlineStr">
        <is>
          <t>Huang, L.C.</t>
        </is>
      </c>
      <c r="C709" s="86" t="n">
        <v>2017</v>
      </c>
      <c r="D709" s="5" t="inlineStr">
        <is>
          <t>Outcome not related to interest</t>
        </is>
      </c>
      <c r="E709" s="86" t="n"/>
      <c r="F709" s="86" t="n"/>
      <c r="G709" s="86" t="n"/>
      <c r="H709" s="5" t="n"/>
    </row>
    <row r="710" ht="16" customHeight="1" s="55">
      <c r="A710" s="86" t="inlineStr">
        <is>
          <t>A deep learning approach for automatic identification of referral-warranted diabetic retinopathy</t>
        </is>
      </c>
      <c r="B710" s="86" t="inlineStr">
        <is>
          <t>Leng, T.</t>
        </is>
      </c>
      <c r="C710" s="86" t="n">
        <v>2017</v>
      </c>
      <c r="D710" s="86" t="inlineStr">
        <is>
          <t>Insufficient to constrct confusion matrix</t>
        </is>
      </c>
      <c r="E710" s="86" t="n"/>
      <c r="F710" s="86" t="n"/>
      <c r="G710" s="86" t="n"/>
      <c r="H710" s="86" t="n"/>
    </row>
    <row r="711" ht="16" customHeight="1" s="55">
      <c r="A711" s="86" t="inlineStr">
        <is>
          <t>Validation of EyeArt automated diabetic retinopathy screening system on large cohort of mydriatic and non mydriatic telescreening data from EyePACS</t>
        </is>
      </c>
      <c r="B711" s="86" t="inlineStr">
        <is>
          <t>Solanki, K.</t>
        </is>
      </c>
      <c r="C711" s="86" t="n">
        <v>2017</v>
      </c>
      <c r="D711" s="5" t="inlineStr">
        <is>
          <t>Outcome not related to interest</t>
        </is>
      </c>
      <c r="E711" s="86" t="n"/>
      <c r="F711" s="86" t="n"/>
      <c r="G711" s="86" t="n"/>
      <c r="H711" s="5" t="n"/>
    </row>
    <row r="712" ht="16" customHeight="1" s="55">
      <c r="A712" s="86" t="inlineStr">
        <is>
          <t>Holoentropy enabled-decision tree for automatic classification of diabetic retinopathy using retinal fundus images</t>
        </is>
      </c>
      <c r="B712" s="86" t="inlineStr">
        <is>
          <t>Mane, V.M.</t>
        </is>
      </c>
      <c r="C712" s="86" t="n">
        <v>2017</v>
      </c>
      <c r="D712" s="5" t="inlineStr">
        <is>
          <t>Outcome not related to interest</t>
        </is>
      </c>
      <c r="E712" s="86" t="n"/>
      <c r="F712" s="86" t="n"/>
      <c r="G712" s="86" t="n"/>
      <c r="H712" s="5" t="n"/>
    </row>
    <row r="713" ht="16" customHeight="1" s="55">
      <c r="A713" s="86" t="inlineStr">
        <is>
          <t>Validity, usefulness and cost of RETeval system for diabetic retinopathy screening</t>
        </is>
      </c>
      <c r="B713" s="86" t="inlineStr">
        <is>
          <t>Al-Otaibi, H.</t>
        </is>
      </c>
      <c r="C713" s="86" t="n">
        <v>2017</v>
      </c>
      <c r="D713" s="86" t="inlineStr">
        <is>
          <t>Not deep learning</t>
        </is>
      </c>
      <c r="E713" s="86" t="n"/>
      <c r="F713" s="86" t="n"/>
      <c r="G713" s="86" t="n"/>
      <c r="H713" s="86" t="n"/>
    </row>
    <row r="714" ht="16" customHeight="1" s="55">
      <c r="A714" s="86" t="inlineStr">
        <is>
          <t>Diabetic retinopathy screening system: A validation analysis with multiple fundus image databases</t>
        </is>
      </c>
      <c r="B714" s="86" t="inlineStr">
        <is>
          <t>Annie Grace Vimala, G.S.</t>
        </is>
      </c>
      <c r="C714" s="86" t="n">
        <v>2017</v>
      </c>
      <c r="D714" s="5" t="inlineStr">
        <is>
          <t>Outcome not related to interest</t>
        </is>
      </c>
      <c r="E714" s="86" t="n"/>
      <c r="F714" s="86" t="n"/>
      <c r="G714" s="86" t="n"/>
      <c r="H714" s="5" t="n"/>
    </row>
    <row r="715" ht="16" customHeight="1" s="55">
      <c r="A715" s="86" t="inlineStr">
        <is>
          <t>Deep learning based automated detection and grading of diabetic retinopathy for screening programme</t>
        </is>
      </c>
      <c r="B715" s="86" t="inlineStr">
        <is>
          <t xml:space="preserve">ChiCTR-SON-17010692, </t>
        </is>
      </c>
      <c r="C715" s="86" t="n">
        <v>2017</v>
      </c>
      <c r="D715" s="5" t="inlineStr">
        <is>
          <t>Outcome not related to interest</t>
        </is>
      </c>
    </row>
    <row r="716" ht="16" customHeight="1" s="55">
      <c r="A716" s="86" t="inlineStr">
        <is>
          <t>An observational study to assess if automated diabetic retinopathy image assessment software can replace one or more steps of manual imaging grading and to determine their cost-effectiveness.</t>
        </is>
      </c>
      <c r="B716" s="86" t="inlineStr">
        <is>
          <t>Tufail, Adnan</t>
        </is>
      </c>
      <c r="C716" s="86" t="n">
        <v>2016</v>
      </c>
      <c r="D716" s="5" t="inlineStr">
        <is>
          <t>Outcome not related to interest</t>
        </is>
      </c>
      <c r="E716" s="86" t="n"/>
      <c r="F716" s="86" t="n"/>
      <c r="G716" s="86" t="n"/>
      <c r="H716" s="5" t="n"/>
    </row>
    <row r="717" ht="16" customHeight="1" s="55">
      <c r="A717" s="86" t="inlineStr">
        <is>
          <t>Development and Validation of a Deep Learning Algorithm for Detection of Diabetic Retinopathy in Retinal Fundus Photographs.</t>
        </is>
      </c>
      <c r="B717" s="86" t="inlineStr">
        <is>
          <t>Gulshan, Varun</t>
        </is>
      </c>
      <c r="C717" s="86" t="n">
        <v>2016</v>
      </c>
      <c r="D717" s="5" t="inlineStr">
        <is>
          <t>Outcome not related to interest</t>
        </is>
      </c>
      <c r="E717" s="86" t="n"/>
      <c r="F717" s="86" t="n"/>
      <c r="G717" s="86" t="n"/>
      <c r="H717" s="5" t="n"/>
    </row>
    <row r="718" ht="16" customHeight="1" s="55">
      <c r="A718" s="86" t="inlineStr">
        <is>
          <t>Improved Automated Detection of Diabetic Retinopathy on a Publicly Available Dataset Through Integration of Deep Learning.</t>
        </is>
      </c>
      <c r="B718" s="86" t="inlineStr">
        <is>
          <t>Abrmoff, Michael David</t>
        </is>
      </c>
      <c r="C718" s="86" t="n">
        <v>2016</v>
      </c>
      <c r="D718" s="5" t="inlineStr">
        <is>
          <t>Outcome not related to interest</t>
        </is>
      </c>
      <c r="E718" s="86" t="n"/>
      <c r="F718" s="86" t="n"/>
      <c r="G718" s="86" t="n"/>
      <c r="H718" s="5" t="n"/>
    </row>
    <row r="719" ht="16" customHeight="1" s="55">
      <c r="A719" s="86" t="inlineStr">
        <is>
          <t>Deep learning approach for diabetic retinopathy screening</t>
        </is>
      </c>
      <c r="B719" s="86" t="inlineStr">
        <is>
          <t>Colas, E.</t>
        </is>
      </c>
      <c r="C719" s="86" t="n">
        <v>2016</v>
      </c>
      <c r="D719" s="5" t="inlineStr">
        <is>
          <t>Outcome not related to interest</t>
        </is>
      </c>
      <c r="E719" s="86" t="n"/>
      <c r="F719" s="86" t="n"/>
      <c r="G719" s="86" t="n"/>
      <c r="H719" s="5" t="n"/>
    </row>
    <row r="720" ht="16" customHeight="1" s="55">
      <c r="A720" s="86" t="inlineStr">
        <is>
          <t>Automated diabetic retinopathy image assessment softwares: Diagnostic accuracy and cost-effectiveness compared to human graders</t>
        </is>
      </c>
      <c r="B720" s="86" t="inlineStr">
        <is>
          <t>Egan, C.</t>
        </is>
      </c>
      <c r="C720" s="86" t="n">
        <v>2016</v>
      </c>
      <c r="D720" s="86" t="inlineStr">
        <is>
          <t>Repeated article</t>
        </is>
      </c>
      <c r="E720" s="86" t="n"/>
      <c r="F720" s="86" t="n"/>
      <c r="G720" s="86" t="n"/>
      <c r="H720" s="86" t="n"/>
    </row>
    <row r="721" ht="16" customHeight="1" s="55">
      <c r="A721" s="86" t="inlineStr">
        <is>
          <t>Teleretinal screening in Mexico: Automating diabetic retinopathy screening at a comprehensive diabetes care clinic in Monterrey, Mexico</t>
        </is>
      </c>
      <c r="B721" s="86" t="inlineStr">
        <is>
          <t>Zamora, G.</t>
        </is>
      </c>
      <c r="C721" s="86" t="n">
        <v>2016</v>
      </c>
      <c r="D721" s="5" t="inlineStr">
        <is>
          <t>Outcome not related to interest</t>
        </is>
      </c>
      <c r="E721" s="86" t="n"/>
      <c r="F721" s="86" t="n"/>
      <c r="G721" s="86" t="n"/>
      <c r="H721" s="5" t="n"/>
    </row>
    <row r="722" ht="16" customHeight="1" s="55">
      <c r="A722" s="86" t="inlineStr">
        <is>
          <t>Diabetic retinopathy mass screening using an automatic telemedicine system</t>
        </is>
      </c>
      <c r="B722" s="86" t="inlineStr">
        <is>
          <t>Bergua, A.</t>
        </is>
      </c>
      <c r="C722" s="86" t="n">
        <v>2016</v>
      </c>
      <c r="D722" s="5" t="inlineStr">
        <is>
          <t>Outcome not related to interest</t>
        </is>
      </c>
      <c r="E722" s="86" t="n"/>
      <c r="F722" s="86" t="n"/>
      <c r="G722" s="86" t="n"/>
      <c r="H722" s="5" t="n"/>
    </row>
    <row r="723" ht="16" customHeight="1" s="55">
      <c r="A723" s="86" t="inlineStr">
        <is>
          <t>Real world, large-scale study of safety and effectiveness of a fully-automated diabetic retinopathy screening system</t>
        </is>
      </c>
      <c r="B723" s="86" t="inlineStr">
        <is>
          <t>Solanki, K.</t>
        </is>
      </c>
      <c r="C723" s="86" t="n">
        <v>2016</v>
      </c>
      <c r="D723" s="5" t="inlineStr">
        <is>
          <t>Outcome not related to interest</t>
        </is>
      </c>
      <c r="E723" s="86" t="n"/>
      <c r="F723" s="86" t="n"/>
      <c r="G723" s="86" t="n"/>
      <c r="H723" s="5" t="n"/>
    </row>
    <row r="724" ht="16" customHeight="1" s="55">
      <c r="A724" s="86" t="inlineStr">
        <is>
          <t>Comparing the accuracy of automated retinal analysis software to manual reading for Diabetic Retinopathy detection in DM type 1</t>
        </is>
      </c>
      <c r="B724" s="86" t="inlineStr">
        <is>
          <t>Kommana, S.S.</t>
        </is>
      </c>
      <c r="C724" s="86" t="n">
        <v>2016</v>
      </c>
      <c r="D724" s="86" t="inlineStr">
        <is>
          <t>Insufficient to constrct confusion matrix</t>
        </is>
      </c>
      <c r="E724" s="86" t="n"/>
      <c r="F724" s="86" t="n"/>
      <c r="G724" s="86" t="n"/>
      <c r="H724" s="86" t="n"/>
    </row>
    <row r="725" ht="16" customHeight="1" s="55">
      <c r="A725" s="86" t="inlineStr">
        <is>
          <t>Automated image analysis for Diabetic Retinopathy Screening with iPhone-based fundus camera</t>
        </is>
      </c>
      <c r="B725" s="86" t="inlineStr">
        <is>
          <t>Bhat, S.</t>
        </is>
      </c>
      <c r="C725" s="86" t="n">
        <v>2016</v>
      </c>
      <c r="D725" s="86" t="inlineStr">
        <is>
          <t>Not deep learning</t>
        </is>
      </c>
      <c r="E725" s="86" t="n"/>
      <c r="F725" s="86" t="n"/>
      <c r="G725" s="86" t="n"/>
      <c r="H725" s="86" t="n"/>
    </row>
    <row r="726" ht="16" customHeight="1" s="55">
      <c r="A726" s="86" t="inlineStr">
        <is>
          <t>Automated diabetic retinopathy screening: Large-scale study on consecutive patient visits in a primary care setting</t>
        </is>
      </c>
      <c r="B726" s="86" t="inlineStr">
        <is>
          <t>Solanki, K.</t>
        </is>
      </c>
      <c r="C726" s="86" t="n">
        <v>2016</v>
      </c>
      <c r="D726" s="5" t="inlineStr">
        <is>
          <t>Outcome not related to interest</t>
        </is>
      </c>
      <c r="E726" s="86" t="n"/>
      <c r="F726" s="86" t="n"/>
      <c r="G726" s="86" t="n"/>
      <c r="H726" s="5" t="n"/>
    </row>
    <row r="727" ht="16" customHeight="1" s="55">
      <c r="A727" s="86" t="inlineStr">
        <is>
          <t>Validation of automated diabetic retinopathy screening with the IDx-DR device in the Hoorn Diabetes Care System</t>
        </is>
      </c>
      <c r="B727" s="86" t="inlineStr">
        <is>
          <t>Van Der Heijden, A.A.W.</t>
        </is>
      </c>
      <c r="C727" s="86" t="n">
        <v>2016</v>
      </c>
      <c r="D727" s="5" t="inlineStr">
        <is>
          <t>Outcome not related to interest</t>
        </is>
      </c>
      <c r="E727" s="86" t="n"/>
      <c r="F727" s="86" t="n"/>
      <c r="G727" s="86" t="n"/>
      <c r="H727" s="5" t="n"/>
    </row>
    <row r="728" ht="16" customHeight="1" s="55">
      <c r="A728" s="86" t="inlineStr">
        <is>
          <t>A Multi-center Study to Evaluate Performance of an Automated Device for the Detection of Diabetic Retinopathy</t>
        </is>
      </c>
      <c r="B728" s="86" t="n"/>
      <c r="C728" s="86" t="n">
        <v>2016</v>
      </c>
      <c r="D728" s="5" t="inlineStr">
        <is>
          <t>Outcome not related to interest</t>
        </is>
      </c>
    </row>
    <row r="729" ht="16" customHeight="1" s="55">
      <c r="A729" s="86" t="inlineStr">
        <is>
          <t>Automated screening of diabetic retinopathy is safe and effective: A large-scale study on 55,074 diabetic patients</t>
        </is>
      </c>
      <c r="B729" s="86" t="inlineStr">
        <is>
          <t>Solanki, K.M.</t>
        </is>
      </c>
      <c r="C729" s="86" t="n">
        <v>2015</v>
      </c>
      <c r="D729" s="5" t="inlineStr">
        <is>
          <t>Outcome not related to interest</t>
        </is>
      </c>
      <c r="E729" s="86" t="n"/>
      <c r="F729" s="86" t="n"/>
      <c r="G729" s="86" t="n"/>
    </row>
    <row r="730" ht="16" customHeight="1" s="55">
      <c r="A730" s="86" t="inlineStr">
        <is>
          <t>Diabetic retinopathy severity grading using digital image processing algorithms</t>
        </is>
      </c>
      <c r="B730" s="86" t="inlineStr">
        <is>
          <t>Valverde, C.</t>
        </is>
      </c>
      <c r="C730" s="86" t="n">
        <v>2015</v>
      </c>
      <c r="D730" s="5" t="inlineStr">
        <is>
          <t>Outcome not related to interest</t>
        </is>
      </c>
      <c r="E730" s="86" t="n"/>
      <c r="F730" s="86" t="n"/>
      <c r="G730" s="86" t="n"/>
    </row>
    <row r="731" ht="16" customHeight="1" s="55">
      <c r="A731" s="86" t="inlineStr">
        <is>
          <t>Fully-automated diabetic retinopathy screening using cellphone-based cameras</t>
        </is>
      </c>
      <c r="B731" s="86" t="inlineStr">
        <is>
          <t>Bhat, S.</t>
        </is>
      </c>
      <c r="C731" s="86" t="n">
        <v>2015</v>
      </c>
      <c r="D731" s="5" t="inlineStr">
        <is>
          <t>Outcome not related to interest</t>
        </is>
      </c>
      <c r="E731" s="86" t="n"/>
      <c r="F731" s="86" t="n"/>
      <c r="G731" s="86" t="n"/>
    </row>
    <row r="732" ht="16" customHeight="1" s="55">
      <c r="A732" s="86" t="inlineStr">
        <is>
          <t>EyeArt: Automated, high-throughput, image analysis for diabetic retinopathy screening</t>
        </is>
      </c>
      <c r="B732" s="86" t="inlineStr">
        <is>
          <t>Solanki, K.</t>
        </is>
      </c>
      <c r="C732" s="86" t="n">
        <v>2015</v>
      </c>
      <c r="D732" s="5" t="inlineStr">
        <is>
          <t>Outcome not related to interest</t>
        </is>
      </c>
      <c r="E732" s="86" t="n"/>
      <c r="F732" s="86" t="n"/>
      <c r="G732" s="86" t="n"/>
    </row>
    <row r="733" ht="16" customHeight="1" s="55">
      <c r="A733" s="86" t="inlineStr">
        <is>
          <t>Cloud-based imaging program for diabetic retinopathy screening and monitoring</t>
        </is>
      </c>
      <c r="B733" s="86" t="inlineStr">
        <is>
          <t>Tan, P.C.</t>
        </is>
      </c>
      <c r="C733" s="86" t="n">
        <v>2015</v>
      </c>
      <c r="D733" s="5" t="inlineStr">
        <is>
          <t>Outcome not related to interest</t>
        </is>
      </c>
      <c r="E733" s="86" t="n"/>
      <c r="F733" s="86" t="n"/>
      <c r="G733" s="86" t="n"/>
    </row>
    <row r="734" ht="16" customHeight="1" s="55">
      <c r="A734" s="86" t="inlineStr">
        <is>
          <t>Identifying diabetic eye disease: Comparison of clinical examination by ophthalmologists to automated detection from retinal color images</t>
        </is>
      </c>
      <c r="B734" s="86" t="inlineStr">
        <is>
          <t>Maguire, M.G.</t>
        </is>
      </c>
      <c r="C734" s="86" t="n">
        <v>2015</v>
      </c>
      <c r="D734" s="5" t="inlineStr">
        <is>
          <t>Outcome not related to interest</t>
        </is>
      </c>
      <c r="E734" s="86" t="n"/>
      <c r="F734" s="86" t="n"/>
      <c r="G734" s="86" t="n"/>
    </row>
    <row r="735" ht="16" customHeight="1" s="55">
      <c r="A735" s="86" t="inlineStr">
        <is>
          <t>Automated high-throughput screening of diabetic retinopathy is safe and effective</t>
        </is>
      </c>
      <c r="B735" s="86" t="inlineStr">
        <is>
          <t>Solanki, K.</t>
        </is>
      </c>
      <c r="C735" s="86" t="n">
        <v>2015</v>
      </c>
      <c r="D735" s="5" t="inlineStr">
        <is>
          <t>Outcome not related to interest</t>
        </is>
      </c>
      <c r="E735" s="86" t="n"/>
      <c r="F735" s="86" t="n"/>
      <c r="G735" s="86" t="n"/>
    </row>
    <row r="736" ht="16" customHeight="1" s="55">
      <c r="A736" s="86" t="inlineStr">
        <is>
          <t>Comparison of screening for diabetic retinopathy between clinical examination by ophthalmologists and automated detection from retinal color images</t>
        </is>
      </c>
      <c r="B736" s="86" t="inlineStr">
        <is>
          <t>Abramoff, M.</t>
        </is>
      </c>
      <c r="C736" s="86" t="n">
        <v>2015</v>
      </c>
      <c r="D736" s="86" t="n">
        <v>34</v>
      </c>
      <c r="E736" s="86" t="n"/>
      <c r="F736" s="86" t="n"/>
      <c r="G736" s="86" t="n"/>
    </row>
    <row r="737" ht="16" customHeight="1" s="55">
      <c r="A737" s="86" t="inlineStr">
        <is>
          <t>Real-world workflow effects of automated diabetic retinopathy screening in a primary diabetes care setting with the IDx-DR device</t>
        </is>
      </c>
      <c r="B737" s="86" t="inlineStr">
        <is>
          <t>Nijpels, G.</t>
        </is>
      </c>
      <c r="C737" s="86" t="n">
        <v>2015</v>
      </c>
      <c r="D737" s="86" t="inlineStr">
        <is>
          <t>Insufficient to constrct confusion matrix</t>
        </is>
      </c>
      <c r="E737" s="86" t="n"/>
      <c r="F737" s="86" t="n"/>
      <c r="G737" s="86" t="n"/>
    </row>
    <row r="738" ht="16" customHeight="1" s="55">
      <c r="A738" s="86" t="inlineStr">
        <is>
          <t>EyeArt: Advanced image analysis tools for Diabetic retinopathy screening and telemeDicine applications</t>
        </is>
      </c>
      <c r="B738" s="86" t="inlineStr">
        <is>
          <t>Solanki, K.</t>
        </is>
      </c>
      <c r="C738" s="86" t="n">
        <v>2014</v>
      </c>
      <c r="D738" s="5" t="inlineStr">
        <is>
          <t>Outcome not related to interest</t>
        </is>
      </c>
      <c r="E738" s="86" t="n"/>
      <c r="F738" s="86" t="n"/>
      <c r="G738" s="86" t="n"/>
    </row>
    <row r="739" ht="16" customHeight="1" s="55">
      <c r="A739" s="86" t="inlineStr">
        <is>
          <t>An automated retinal imaging method for the early diagnosis of diabetic retinopathy.</t>
        </is>
      </c>
      <c r="B739" s="86" t="inlineStr">
        <is>
          <t>Franklin, S Wilfred</t>
        </is>
      </c>
      <c r="C739" s="86" t="n">
        <v>2013</v>
      </c>
      <c r="D739" s="5" t="inlineStr">
        <is>
          <t>Outcome not related to interest</t>
        </is>
      </c>
      <c r="E739" s="86" t="n"/>
      <c r="F739" s="86" t="n"/>
      <c r="G739" s="86" t="n"/>
    </row>
    <row r="740" ht="16" customHeight="1" s="55">
      <c r="A740" s="86" t="inlineStr">
        <is>
          <t>Phase 0 Observational Study of a Computer-based Screening Algorithm for Detection of Diabetic Retinopathy</t>
        </is>
      </c>
      <c r="B740" s="86" t="n"/>
      <c r="C740" s="86" t="n">
        <v>2012</v>
      </c>
      <c r="D740" s="5" t="inlineStr">
        <is>
          <t>Outcome not related to interest</t>
        </is>
      </c>
      <c r="E740" s="86" t="n"/>
      <c r="F740" s="86" t="n"/>
    </row>
    <row r="741" ht="16" customHeight="1" s="55">
      <c r="A741" s="86" t="inlineStr">
        <is>
          <t>Diabetic Retinopathy Assessment through Multitask Learning Approach on Heterogeneous Fundus Image Datasets.</t>
        </is>
      </c>
      <c r="B741" s="86" t="inlineStr">
        <is>
          <t>Wu, Hongkang</t>
        </is>
      </c>
      <c r="C741" s="86" t="n"/>
      <c r="D741" s="5" t="inlineStr">
        <is>
          <t>Outcome not related to interest</t>
        </is>
      </c>
      <c r="E741" s="86" t="n"/>
      <c r="F741" s="86" t="n"/>
    </row>
    <row r="742" ht="16" customHeight="1" s="55">
      <c r="A742" s="86" t="inlineStr">
        <is>
          <t>F2UE-NET: An Uncertainty-Driven Dynamic Expert Network for Long-Tail Retinal Disease Classification</t>
        </is>
      </c>
      <c r="B742" s="86" t="inlineStr">
        <is>
          <t>J. Zhao; T. Lin; M. Wang; L. Sun; H. Chen; D. Zhang; H. Fu</t>
        </is>
      </c>
      <c r="C742" s="86" t="n">
        <v>2025</v>
      </c>
      <c r="D742" s="5" t="inlineStr">
        <is>
          <t>Outcome not related to interest</t>
        </is>
      </c>
      <c r="E742" s="86" t="n"/>
      <c r="F742" s="86" t="n"/>
    </row>
    <row r="743" ht="16" customHeight="1" s="55">
      <c r="A743" s="86" t="inlineStr">
        <is>
          <t>Graph-Aware Multimodal Deep Learning for Classification of Diabetic Retinopathy Images</t>
        </is>
      </c>
      <c r="B743" s="86" t="inlineStr">
        <is>
          <t>A. Zedadra; O. Zedadra; M. Y. Salah-Salah; A. Guerrieri</t>
        </is>
      </c>
      <c r="C743" s="86" t="n">
        <v>2025</v>
      </c>
      <c r="D743" s="5" t="inlineStr">
        <is>
          <t>Outcome not related to interest</t>
        </is>
      </c>
      <c r="E743" s="86" t="n"/>
      <c r="F743" s="86" t="n"/>
    </row>
    <row r="744" ht="16" customHeight="1" s="55">
      <c r="A744" s="86" t="inlineStr">
        <is>
          <t>DiffMIC-v2: Medical Image Classification via Improved Diffusion Network</t>
        </is>
      </c>
      <c r="B744" s="86" t="inlineStr">
        <is>
          <t>Y. Yang; H. Fu; A. I. Aviles-Rivero; Z. Xing; L. Zhu</t>
        </is>
      </c>
      <c r="C744" s="86" t="n">
        <v>2025</v>
      </c>
      <c r="D744" s="5" t="inlineStr">
        <is>
          <t>Outcome not related to interest</t>
        </is>
      </c>
      <c r="E744" s="86" t="n"/>
      <c r="F744" s="86" t="n"/>
    </row>
    <row r="745" ht="16" customHeight="1" s="55">
      <c r="A745" s="86" t="inlineStr">
        <is>
          <t>An Automated Diagnosis of Diabetic Retinopathy Grading Using DenseNet169</t>
        </is>
      </c>
      <c r="B745" s="86" t="inlineStr">
        <is>
          <t>C. C. Yang; N. Li; K. D. K. Bensah; S. U. D. Khokhar; M. Mahrukh</t>
        </is>
      </c>
      <c r="C745" s="86" t="n">
        <v>2025</v>
      </c>
      <c r="D745" s="5" t="inlineStr">
        <is>
          <t>Outcome not related to interest</t>
        </is>
      </c>
      <c r="E745" s="86" t="n"/>
      <c r="F745" s="86" t="n"/>
    </row>
    <row r="746" ht="16" customHeight="1" s="55">
      <c r="A746" s="86" t="inlineStr">
        <is>
          <t>Prompt-Driven Latent Domain Generalization for Medical Image Classification</t>
        </is>
      </c>
      <c r="B746" s="86" t="inlineStr">
        <is>
          <t>S. Yan; Z. Yu; C. Liu; L. Ju; D. Mahapatra; B. Betz-Stablein; V. Mar; M. Janda; P. Soyer; Z. Ge</t>
        </is>
      </c>
      <c r="C746" s="86" t="n">
        <v>2025</v>
      </c>
      <c r="D746" s="5" t="inlineStr">
        <is>
          <t>Outcome not related to interest</t>
        </is>
      </c>
      <c r="E746" s="86" t="n"/>
      <c r="F746" s="86" t="n"/>
    </row>
    <row r="747" ht="16" customHeight="1" s="55">
      <c r="A747" s="86" t="inlineStr">
        <is>
          <t>Concept-Based Lesion Aware Transformer for Interpretable Retinal Disease Diagnosis</t>
        </is>
      </c>
      <c r="B747" s="86" t="inlineStr">
        <is>
          <t>C. Wen; M. Ye; H. Li; T. Chen; X. Xiao</t>
        </is>
      </c>
      <c r="C747" s="86" t="n">
        <v>2025</v>
      </c>
      <c r="D747" s="5" t="inlineStr">
        <is>
          <t>Outcome not related to interest</t>
        </is>
      </c>
      <c r="E747" s="86" t="n"/>
      <c r="F747" s="86" t="n"/>
    </row>
    <row r="748" ht="16" customHeight="1" s="55">
      <c r="A748" s="86" t="inlineStr">
        <is>
          <t>CAD-ViT: Coordinate Attention-Enhanced Vision Transformer with Dilated Feature Fusion for Diabetic Retinopathy Staging</t>
        </is>
      </c>
      <c r="B748" s="86" t="inlineStr">
        <is>
          <t>Y. Wang; X. Gou; W. Li</t>
        </is>
      </c>
      <c r="C748" s="86" t="n">
        <v>2025</v>
      </c>
      <c r="D748" s="5" t="inlineStr">
        <is>
          <t>Outcome not related to interest</t>
        </is>
      </c>
      <c r="E748" s="86" t="n"/>
      <c r="F748" s="86" t="n"/>
    </row>
    <row r="749" ht="16" customHeight="1" s="55">
      <c r="A749" s="86" t="inlineStr">
        <is>
          <t>Progressive Mining and Dynamic Distillation of Hierarchical Prototypes for Disease Classification and Localisation</t>
        </is>
      </c>
      <c r="B749" s="86" t="inlineStr">
        <is>
          <t>C. Wang; F. Liu; Y. Chen; C. F. Kwok; M. Elliott; C. Pena-Solorzano; D. J. McCarthy; H. Frazer; G. Carneiro</t>
        </is>
      </c>
      <c r="C749" s="86" t="n">
        <v>2025</v>
      </c>
      <c r="D749" s="5" t="inlineStr">
        <is>
          <t>Outcome not related to interest</t>
        </is>
      </c>
      <c r="E749" s="86" t="n"/>
      <c r="F749" s="86" t="n"/>
    </row>
    <row r="750" ht="16" customHeight="1" s="55">
      <c r="A750" s="86" t="inlineStr">
        <is>
          <t>A low-cost AI- Powered System for Early Detection of Diabetic Retinopathy and Ocular diseases in resource Limited Settings</t>
        </is>
      </c>
      <c r="B750" s="86" t="inlineStr">
        <is>
          <t>H. Vohra; M. K. Hasan; S. N. H. S. Abdullah; S. Islam; A. H. A. Rahman; S. N. Bhojake; D. Bhobal; A. Gandhi; M. Garg; C. Dhasarathan</t>
        </is>
      </c>
      <c r="C750" s="86" t="n">
        <v>2025</v>
      </c>
      <c r="D750" s="5" t="inlineStr">
        <is>
          <t>Outcome not related to interest</t>
        </is>
      </c>
      <c r="E750" s="86" t="n"/>
      <c r="F750" s="86" t="n"/>
    </row>
    <row r="751" ht="16" customHeight="1" s="55">
      <c r="A751" s="86" t="inlineStr">
        <is>
          <t>Transforming Ophthalmology: A CNN-Based Mechanism for Diabetic Retinopathy Screening</t>
        </is>
      </c>
      <c r="B751" s="86" t="inlineStr">
        <is>
          <t>D. N. Vinod; N. S. Varshini; M. Shukriya; G. S. Manusha</t>
        </is>
      </c>
      <c r="C751" s="86" t="n">
        <v>2025</v>
      </c>
      <c r="D751" s="5" t="inlineStr">
        <is>
          <t>Outcome not related to interest</t>
        </is>
      </c>
      <c r="E751" s="86" t="n"/>
      <c r="F751" s="86" t="n"/>
    </row>
    <row r="752" ht="16" customHeight="1" s="55">
      <c r="A752" s="86" t="inlineStr">
        <is>
          <t>Context-Aware Optimal Transport Learning for Retinal Fundus Image Enhancement</t>
        </is>
      </c>
      <c r="B752" s="86" t="inlineStr">
        <is>
          <t>V. K. Vasa; P. Qiu; W. Zhu; Y. Xiong; O. Dumitrascu; Y. Wang</t>
        </is>
      </c>
      <c r="C752" s="86" t="n">
        <v>2025</v>
      </c>
      <c r="D752" s="5" t="inlineStr">
        <is>
          <t>Outcome not related to interest</t>
        </is>
      </c>
      <c r="E752" s="86" t="n"/>
      <c r="F752" s="86" t="n"/>
    </row>
    <row r="753" ht="16" customHeight="1" s="55">
      <c r="A753" s="86" t="inlineStr">
        <is>
          <t>Hybrid Feature Engineering and Sampling Strategies for Enhanced Diabetic Retinopathy Classification</t>
        </is>
      </c>
      <c r="B753" s="86" t="inlineStr">
        <is>
          <t>C. Vanlalnunpuia; Lalhmingliana; V. D. A. Kumar; R. Vanlalawmpuia; D. L. Khiangte; A. K. Khan</t>
        </is>
      </c>
      <c r="C753" s="86" t="n">
        <v>2025</v>
      </c>
      <c r="D753" s="5" t="inlineStr">
        <is>
          <t>Outcome not related to interest</t>
        </is>
      </c>
      <c r="E753" s="86" t="n"/>
      <c r="F753" s="86" t="n"/>
    </row>
    <row r="754" ht="16" customHeight="1" s="55">
      <c r="A754" s="86" t="inlineStr">
        <is>
          <t>Improving Classification Accuracy For Diabetic Retinopathy With Deep Learning</t>
        </is>
      </c>
      <c r="B754" s="86" t="inlineStr">
        <is>
          <t>A. Vaish; V. Chandrakar</t>
        </is>
      </c>
      <c r="C754" s="86" t="n">
        <v>2025</v>
      </c>
      <c r="D754" s="5" t="inlineStr">
        <is>
          <t>Outcome not related to interest</t>
        </is>
      </c>
      <c r="E754" s="86" t="n"/>
      <c r="F754" s="86" t="n"/>
    </row>
    <row r="755" ht="16" customHeight="1" s="55">
      <c r="A755" s="86" t="inlineStr">
        <is>
          <t>Diagnosing Diabetic Retinopathy from Retinal Fundus Images Using Internet of Things and AI Deep Learning</t>
        </is>
      </c>
      <c r="B755" s="86" t="inlineStr">
        <is>
          <t>K. V. B; R. S</t>
        </is>
      </c>
      <c r="C755" s="86" t="n">
        <v>2025</v>
      </c>
      <c r="D755" s="5" t="inlineStr">
        <is>
          <t>Outcome not related to interest</t>
        </is>
      </c>
      <c r="E755" s="86" t="n"/>
      <c r="F755" s="86" t="n"/>
    </row>
    <row r="756" ht="16" customHeight="1" s="55">
      <c r="A756" s="86" t="inlineStr">
        <is>
          <t>A Deep Learning Approach for Classifying Retinal Diseases and Diabetic Retinopathy Stages to Enhance Early Detection in Diagnosis</t>
        </is>
      </c>
      <c r="B756" s="86" t="inlineStr">
        <is>
          <t>S. T. Tisha; S. C. Tista; M. N. Hoq</t>
        </is>
      </c>
      <c r="C756" s="86" t="n">
        <v>2025</v>
      </c>
      <c r="D756" s="5" t="inlineStr">
        <is>
          <t>Outcome not related to interest</t>
        </is>
      </c>
      <c r="E756" s="86" t="n"/>
      <c r="F756" s="86" t="n"/>
    </row>
    <row r="757" ht="16" customHeight="1" s="55">
      <c r="A757" s="86" t="inlineStr">
        <is>
          <t>Deep Learning for Diabetic Retinopathy Detection Using Preprocessed Fundus Images and Inception-v3</t>
        </is>
      </c>
      <c r="B757" s="86" t="inlineStr">
        <is>
          <t>A. H. Tirmare; N. S. Patil; H. A. Tirmare</t>
        </is>
      </c>
      <c r="C757" s="86" t="n">
        <v>2025</v>
      </c>
      <c r="D757" s="86" t="inlineStr">
        <is>
          <t>Review</t>
        </is>
      </c>
      <c r="E757" s="86" t="n"/>
      <c r="F757" s="86" t="n"/>
    </row>
    <row r="758" ht="16" customHeight="1" s="55">
      <c r="A758" s="86" t="inlineStr">
        <is>
          <t>Fundus Disease Detection Using Deep Learning</t>
        </is>
      </c>
      <c r="B758" s="86" t="inlineStr">
        <is>
          <t>N. Sheikh; T. Kulkarni; O. Swami; S. Deshmukh; A. Rindhe</t>
        </is>
      </c>
      <c r="C758" s="86" t="n">
        <v>2025</v>
      </c>
      <c r="D758" s="5" t="inlineStr">
        <is>
          <t>Outcome not related to interest</t>
        </is>
      </c>
      <c r="E758" s="86" t="n"/>
      <c r="F758" s="86" t="n"/>
    </row>
    <row r="759" ht="16" customHeight="1" s="55">
      <c r="A759" s="86" t="inlineStr">
        <is>
          <t>AI-Driven Eye Disease Detection: A VGG19-Based Approach to Retinal Image Classification</t>
        </is>
      </c>
      <c r="B759" s="86" t="inlineStr">
        <is>
          <t>A. Sharma; S. Gupta</t>
        </is>
      </c>
      <c r="C759" s="86" t="n">
        <v>2025</v>
      </c>
      <c r="D759" s="5" t="inlineStr">
        <is>
          <t>Outcome not related to interest</t>
        </is>
      </c>
      <c r="E759" s="86" t="n"/>
      <c r="F759" s="86" t="n"/>
    </row>
    <row r="760" ht="16" customHeight="1" s="55">
      <c r="A760" s="86" t="inlineStr">
        <is>
          <t>Leveraging CNNs for Early Detection and Staging of Diabetic Retinopathy</t>
        </is>
      </c>
      <c r="B760" s="86" t="inlineStr">
        <is>
          <t>K. Shah; M. Gupta; S. Mishra; S. Oberoi; R. Agrawal; U. A. Jogalekar</t>
        </is>
      </c>
      <c r="C760" s="86" t="n">
        <v>2025</v>
      </c>
      <c r="D760" s="5" t="inlineStr">
        <is>
          <t>Outcome not related to interest</t>
        </is>
      </c>
      <c r="E760" s="86" t="n"/>
      <c r="F760" s="86" t="n"/>
    </row>
    <row r="761" ht="16" customHeight="1" s="55">
      <c r="A761" s="86" t="inlineStr">
        <is>
          <t>Robust Multimodal Retinal Image Registration in Diabetic Retinopathy Using a Lightweight Neural Network and Improved RANSAC Algorithm</t>
        </is>
      </c>
      <c r="B761" s="86" t="inlineStr">
        <is>
          <t>M. Santarossa; R. Koch; M. Tavakoli</t>
        </is>
      </c>
      <c r="C761" s="86" t="n">
        <v>2025</v>
      </c>
      <c r="D761" s="5" t="inlineStr">
        <is>
          <t>Outcome not related to interest</t>
        </is>
      </c>
      <c r="E761" s="86" t="n"/>
      <c r="F761" s="86" t="n"/>
    </row>
    <row r="762" ht="16" customHeight="1" s="55">
      <c r="A762" s="86" t="inlineStr">
        <is>
          <t>Leveraging Retinal Images for Detection and Classification of Diabetic Retinopathy Using DenseNet121 and ResNet50</t>
        </is>
      </c>
      <c r="B762" s="86" t="inlineStr">
        <is>
          <t>R. S. B; N. N</t>
        </is>
      </c>
      <c r="C762" s="86" t="n">
        <v>2025</v>
      </c>
      <c r="D762" s="5" t="inlineStr">
        <is>
          <t>Outcome not related to interest</t>
        </is>
      </c>
      <c r="E762" s="86" t="n"/>
      <c r="F762" s="86" t="n"/>
    </row>
    <row r="763" ht="16" customHeight="1" s="55">
      <c r="A763" s="86" t="inlineStr">
        <is>
          <t>Eye Disease Detection and Classification using Deep Learning: A Review</t>
        </is>
      </c>
      <c r="B763" s="86" t="inlineStr">
        <is>
          <t>N. K. Romeo; M. Chhabra; S. Chaturvedi</t>
        </is>
      </c>
      <c r="C763" s="86" t="n">
        <v>2025</v>
      </c>
      <c r="D763" s="86" t="inlineStr">
        <is>
          <t>Review</t>
        </is>
      </c>
      <c r="E763" s="86" t="n"/>
      <c r="F763" s="86" t="n"/>
    </row>
    <row r="764" ht="16" customHeight="1" s="55">
      <c r="A764" s="86" t="inlineStr">
        <is>
          <t>Multiple Disease Prediction from Retinal Images Using Deep Learning Algorithm</t>
        </is>
      </c>
      <c r="B764" s="86" t="inlineStr">
        <is>
          <t>B. Rishikesh; K. Karthikayani</t>
        </is>
      </c>
      <c r="C764" s="86" t="n">
        <v>2025</v>
      </c>
      <c r="D764" s="5" t="inlineStr">
        <is>
          <t>Outcome not related to interest</t>
        </is>
      </c>
      <c r="E764" s="86" t="n"/>
      <c r="F764" s="86" t="n"/>
    </row>
    <row r="765" ht="16" customHeight="1" s="55">
      <c r="A765" s="86" t="inlineStr">
        <is>
          <t>Enhanced Early Detection of Diabetic Retinopathy Based on Transfer Learning using DenseNet121</t>
        </is>
      </c>
      <c r="B765" s="86" t="inlineStr">
        <is>
          <t>F. Retima; S. Benharzallah; L. Kahloul; O. Kazar</t>
        </is>
      </c>
      <c r="C765" s="86" t="n">
        <v>2025</v>
      </c>
      <c r="D765" s="5" t="inlineStr">
        <is>
          <t>Outcome not related to interest</t>
        </is>
      </c>
      <c r="E765" s="86" t="n"/>
      <c r="F765" s="86" t="n"/>
    </row>
    <row r="766" ht="16" customHeight="1" s="55">
      <c r="A766" s="86" t="inlineStr">
        <is>
          <t>Automated Retinal Disease Classification Using Fine-Tuned ResNet50: A Deep Learning Approach for Early Diagnosis</t>
        </is>
      </c>
      <c r="B766" s="86" t="inlineStr">
        <is>
          <t>R. Rani; S. Gupta</t>
        </is>
      </c>
      <c r="C766" s="86" t="n">
        <v>2025</v>
      </c>
      <c r="D766" s="5" t="inlineStr">
        <is>
          <t>Outcome not related to interest</t>
        </is>
      </c>
      <c r="E766" s="86" t="n"/>
      <c r="F766" s="86" t="n"/>
    </row>
    <row r="767" ht="16" customHeight="1" s="55">
      <c r="A767" s="86" t="inlineStr">
        <is>
          <t>Diabetic Retinopathy Image Classification using Quasi Cross UNet Discrete Transform with Gold Rush Optimizer</t>
        </is>
      </c>
      <c r="B767" s="86" t="inlineStr">
        <is>
          <t>M. S. Ramkumar; R. N; M. Kannaiyan; M. Kanan; S. Shankar; J. Giri</t>
        </is>
      </c>
      <c r="C767" s="86" t="n">
        <v>2025</v>
      </c>
      <c r="D767" s="5" t="inlineStr">
        <is>
          <t>Outcome not related to interest</t>
        </is>
      </c>
      <c r="E767" s="86" t="n"/>
      <c r="F767" s="86" t="n"/>
    </row>
    <row r="768" ht="16" customHeight="1" s="55">
      <c r="A768" s="86" t="inlineStr">
        <is>
          <t>Early Detection and Classification of Eye Diseases Using Deep Learning Techniques</t>
        </is>
      </c>
      <c r="B768" s="86" t="inlineStr">
        <is>
          <t>L. Rahunathan; D. Sivabalaselvamani; A. K. S; M. B; S. N</t>
        </is>
      </c>
      <c r="C768" s="86" t="n">
        <v>2025</v>
      </c>
      <c r="D768" s="5" t="inlineStr">
        <is>
          <t>Outcome not related to interest</t>
        </is>
      </c>
      <c r="E768" s="86" t="n"/>
      <c r="F768" s="86" t="n"/>
    </row>
    <row r="769" ht="16" customHeight="1" s="55">
      <c r="A769" s="86" t="inlineStr">
        <is>
          <t>Ret-Detect: Deep Learning-Driven Automated Detection of Retinal Diseases</t>
        </is>
      </c>
      <c r="B769" s="86" t="inlineStr">
        <is>
          <t>M. M. Rahman; A. Roy; D. Z. Karim</t>
        </is>
      </c>
      <c r="C769" s="86" t="n">
        <v>2025</v>
      </c>
      <c r="D769" s="5" t="inlineStr">
        <is>
          <t>Outcome not related to interest</t>
        </is>
      </c>
      <c r="E769" s="86" t="n"/>
      <c r="F769" s="86" t="n"/>
    </row>
    <row r="770" ht="16" customHeight="1" s="55">
      <c r="A770" s="86" t="inlineStr">
        <is>
          <t>Comprehensive Deep Learning Framework For Diabetic Retinopathy</t>
        </is>
      </c>
      <c r="B770" s="86" t="inlineStr">
        <is>
          <t>A. Poojari; B. S. S; K. S; S. S. Hegde; B. V. S; K. K. H</t>
        </is>
      </c>
      <c r="C770" s="86" t="n">
        <v>2025</v>
      </c>
      <c r="D770" s="5" t="inlineStr">
        <is>
          <t>Outcome not related to interest</t>
        </is>
      </c>
      <c r="E770" s="86" t="n"/>
      <c r="F770" s="86" t="n"/>
    </row>
    <row r="771" ht="16" customHeight="1" s="55">
      <c r="A771" s="86" t="inlineStr">
        <is>
          <t>Learn to Learn: A Mirror Meta-learning Method for Retinal Disease Diagnosis on fundus images</t>
        </is>
      </c>
      <c r="B771" s="86" t="inlineStr">
        <is>
          <t>H. Peng; J. Li; W. Cheng; L. Zhao; Y. Guan; Z. Li; L. Li; X. Xu; Y. P. Huang</t>
        </is>
      </c>
      <c r="C771" s="86" t="n">
        <v>2025</v>
      </c>
      <c r="D771" s="5" t="inlineStr">
        <is>
          <t>Outcome not related to interest</t>
        </is>
      </c>
      <c r="E771" s="86" t="n"/>
      <c r="F771" s="86" t="n"/>
    </row>
    <row r="772" ht="16" customHeight="1" s="55">
      <c r="A772" s="86" t="inlineStr">
        <is>
          <t>Attention-Enhanced Prototypical Networks for Few-Shot Microaneurysm Detection in Diabetic Retinopathy Images</t>
        </is>
      </c>
      <c r="B772" s="86" t="inlineStr">
        <is>
          <t>S. Pendhari; R. Kewalya; F. Rizvi; M. S. Khan; N. Pendhari</t>
        </is>
      </c>
      <c r="C772" s="86" t="n">
        <v>2025</v>
      </c>
      <c r="D772" s="5" t="inlineStr">
        <is>
          <t>Outcome not related to interest</t>
        </is>
      </c>
      <c r="E772" s="86" t="n"/>
      <c r="F772" s="86" t="n"/>
    </row>
    <row r="773" ht="16" customHeight="1" s="55">
      <c r="A773" s="86" t="inlineStr">
        <is>
          <t>DR Classification for Consumer Electronics Based Smart Healthcare</t>
        </is>
      </c>
      <c r="B773" s="86" t="inlineStr">
        <is>
          <t>P. Paikrao; R. K. Mishra; M. Prokysek; A. Mukherjee; J. K. Pradhan; D. G. Bhalke; L. K. Wadhwa</t>
        </is>
      </c>
      <c r="C773" s="86" t="n">
        <v>2025</v>
      </c>
      <c r="D773" s="5" t="inlineStr">
        <is>
          <t>Outcome not related to interest</t>
        </is>
      </c>
      <c r="E773" s="86" t="n"/>
      <c r="F773" s="86" t="n"/>
    </row>
    <row r="774" ht="16" customHeight="1" s="55">
      <c r="A774" s="86" t="inlineStr">
        <is>
          <t>Explainable Deep Learning Models for Clinical Decision Support in Diabetic Retinopathy Detection</t>
        </is>
      </c>
      <c r="B774" s="86" t="inlineStr">
        <is>
          <t>S. T. P; M. S; A. K. S; J. B. P</t>
        </is>
      </c>
      <c r="C774" s="86" t="n">
        <v>2025</v>
      </c>
      <c r="D774" s="5" t="inlineStr">
        <is>
          <t>Outcome not related to interest</t>
        </is>
      </c>
      <c r="E774" s="86" t="n"/>
      <c r="F774" s="86" t="n"/>
    </row>
    <row r="775" ht="16" customHeight="1" s="55">
      <c r="A775" s="86" t="inlineStr">
        <is>
          <t>EffNet-SVM: A Hybrid Model for Diabetic Retinopathy Classification Using Retinal Fundus Images</t>
        </is>
      </c>
      <c r="B775" s="86" t="inlineStr">
        <is>
          <t>K. V. Naveen; B. N. Anoop; K. S. Siju; M. K. Kar; V. Venugopal</t>
        </is>
      </c>
      <c r="C775" s="86" t="n">
        <v>2025</v>
      </c>
      <c r="D775" s="5" t="inlineStr">
        <is>
          <t>Outcome not related to interest</t>
        </is>
      </c>
      <c r="E775" s="86" t="n"/>
      <c r="F775" s="86" t="n"/>
    </row>
    <row r="776" ht="16" customHeight="1" s="55">
      <c r="A776" s="86" t="inlineStr">
        <is>
          <t>Predicting Sevearity of Type 2 Diabetic Retinopathy Using Retinal Fundus Images with new DeepLearning Architectures from the Inception and Resnet Families</t>
        </is>
      </c>
      <c r="B776" s="86" t="inlineStr">
        <is>
          <t>R. Nandanapu; G. K; V. S. S. Reddy</t>
        </is>
      </c>
      <c r="C776" s="86" t="n">
        <v>2025</v>
      </c>
      <c r="D776" s="5" t="inlineStr">
        <is>
          <t>Outcome not related to interest</t>
        </is>
      </c>
      <c r="E776" s="86" t="n"/>
      <c r="F776" s="86" t="n"/>
    </row>
    <row r="777" ht="16" customHeight="1" s="55">
      <c r="A777" s="86" t="inlineStr">
        <is>
          <t>Randomization-Driven Hybrid Deep Learning for Diabetic Retinopathy Detection</t>
        </is>
      </c>
      <c r="B777" s="86" t="inlineStr">
        <is>
          <t>A. M. Mutawa; G. R. Hemalakshmi; N. B. Prakash; M. Murugappan</t>
        </is>
      </c>
      <c r="C777" s="86" t="n">
        <v>2025</v>
      </c>
      <c r="D777" s="5" t="inlineStr">
        <is>
          <t>Outcome not related to interest</t>
        </is>
      </c>
      <c r="E777" s="86" t="n"/>
      <c r="F777" s="86" t="n"/>
    </row>
    <row r="778" ht="16" customHeight="1" s="55">
      <c r="A778" s="86" t="inlineStr">
        <is>
          <t>Early Eye Disease Detection Using Machine Learning</t>
        </is>
      </c>
      <c r="B778" s="86" t="inlineStr">
        <is>
          <t>A. Mishra; N. Choubey; P. Jumde; A. Samiya; A. Garg; A. Kale</t>
        </is>
      </c>
      <c r="C778" s="86" t="n">
        <v>2025</v>
      </c>
      <c r="D778" s="5" t="inlineStr">
        <is>
          <t>Outcome not related to interest</t>
        </is>
      </c>
      <c r="E778" s="86" t="n"/>
      <c r="F778" s="86" t="n"/>
    </row>
    <row r="779" ht="16" customHeight="1" s="55">
      <c r="A779" s="86" t="inlineStr">
        <is>
          <t>Hybrid Deep Learning and Random Forest-Based EyeSmart Framework for Enhanced Retinal Disease Detection</t>
        </is>
      </c>
      <c r="B779" s="86" t="inlineStr">
        <is>
          <t>S. Mehta; A. Rathour</t>
        </is>
      </c>
      <c r="C779" s="86" t="n">
        <v>2025</v>
      </c>
      <c r="D779" s="5" t="inlineStr">
        <is>
          <t>Outcome not related to interest</t>
        </is>
      </c>
      <c r="E779" s="86" t="n"/>
      <c r="F779" s="86" t="n"/>
    </row>
    <row r="780" ht="16" customHeight="1" s="55">
      <c r="A780" s="86" t="inlineStr">
        <is>
          <t>Enhancing Sensitivity and Specificity in Diabetic Retinopathy Detection Using CNN-LSTM Models</t>
        </is>
      </c>
      <c r="B780" s="86" t="inlineStr">
        <is>
          <t>S. Mehta; R. Bhardwaj</t>
        </is>
      </c>
      <c r="C780" s="86" t="n">
        <v>2025</v>
      </c>
      <c r="D780" s="5" t="inlineStr">
        <is>
          <t>Outcome not related to interest</t>
        </is>
      </c>
      <c r="E780" s="86" t="n"/>
      <c r="F780" s="86" t="n"/>
    </row>
    <row r="781" ht="16" customHeight="1" s="55">
      <c r="A781" s="86" t="inlineStr">
        <is>
          <t>Empirical Evaluation of Retinal Disease Identification Based on Deep Learning Assisted Image Classification Strategy</t>
        </is>
      </c>
      <c r="B781" s="86" t="inlineStr">
        <is>
          <t>N. Meenakshisundaram; G. S</t>
        </is>
      </c>
      <c r="C781" s="86" t="n">
        <v>2025</v>
      </c>
      <c r="D781" s="5" t="inlineStr">
        <is>
          <t>Outcome not related to interest</t>
        </is>
      </c>
      <c r="E781" s="86" t="n"/>
      <c r="F781" s="86" t="n"/>
    </row>
    <row r="782" ht="16" customHeight="1" s="55">
      <c r="A782" s="86" t="inlineStr">
        <is>
          <t>ConDiSR: Contrastive Disentanglement and Style Regularization for Single Domain Generalization</t>
        </is>
      </c>
      <c r="B782" s="86" t="inlineStr">
        <is>
          <t>A. Matsun; N. Saeed; F. A. Maani; M. Yaqub</t>
        </is>
      </c>
      <c r="C782" s="86" t="n">
        <v>2025</v>
      </c>
      <c r="D782" s="5" t="inlineStr">
        <is>
          <t>Outcome not related to interest</t>
        </is>
      </c>
      <c r="E782" s="86" t="n"/>
      <c r="F782" s="86" t="n"/>
    </row>
    <row r="783" ht="16" customHeight="1" s="55">
      <c r="A783" s="86" t="inlineStr">
        <is>
          <t>A Comprehensive Federated Learning Framework for Diabetic Retinopathy Grading and Lesion Segmentation</t>
        </is>
      </c>
      <c r="B783" s="86" t="inlineStr">
        <is>
          <t>J. Mao; X. Ma; Y. Bi; R. Zhang</t>
        </is>
      </c>
      <c r="C783" s="86" t="n">
        <v>2025</v>
      </c>
      <c r="D783" s="5" t="inlineStr">
        <is>
          <t>Outcome not related to interest</t>
        </is>
      </c>
      <c r="E783" s="86" t="n"/>
      <c r="F783" s="86" t="n"/>
    </row>
    <row r="784" ht="16" customHeight="1" s="55">
      <c r="A784" s="86" t="inlineStr">
        <is>
          <t>Adaptive Multiscale Attention Networks (ASMA-Net) for Enhanced Diabetic Retinopathy</t>
        </is>
      </c>
      <c r="B784" s="86" t="inlineStr">
        <is>
          <t>B. B. Mallik; S. Das; A. Mukherjee; S. Banerjee; A. Gupta</t>
        </is>
      </c>
      <c r="C784" s="86" t="n">
        <v>2025</v>
      </c>
      <c r="D784" s="5" t="inlineStr">
        <is>
          <t>Outcome not related to interest</t>
        </is>
      </c>
      <c r="E784" s="86" t="n"/>
      <c r="F784" s="86" t="n"/>
    </row>
    <row r="785" ht="16" customHeight="1" s="55">
      <c r="A785" s="86" t="inlineStr">
        <is>
          <t>C2x-FNet: Cascaded Dense Block With Twofold Cross-Feature Enhancement Module for Diabetic Retinopathy Grading</t>
        </is>
      </c>
      <c r="B785" s="86" t="inlineStr">
        <is>
          <t>S. Madarapu; S. Ari; K. Mahapatra</t>
        </is>
      </c>
      <c r="C785" s="86" t="n">
        <v>2025</v>
      </c>
      <c r="D785" s="5" t="inlineStr">
        <is>
          <t>Outcome not related to interest</t>
        </is>
      </c>
      <c r="E785" s="86" t="n"/>
      <c r="F785" s="86" t="n"/>
    </row>
    <row r="786" ht="16" customHeight="1" s="55">
      <c r="A786" s="86" t="inlineStr">
        <is>
          <t>Grade-Skewed Domain Adaptation via Asymmetric Bi-Classifier Discrepancy Minimization for Diabetic Retinopathy Grading</t>
        </is>
      </c>
      <c r="B786" s="86" t="inlineStr">
        <is>
          <t>Y. Ma; Y. Gu; S. Guo; X. Qin; S. Wen; N. Shi; W. Dai; Y. Chen</t>
        </is>
      </c>
      <c r="C786" s="86" t="n">
        <v>2025</v>
      </c>
      <c r="D786" s="5" t="inlineStr">
        <is>
          <t>Outcome not related to interest</t>
        </is>
      </c>
      <c r="E786" s="86" t="n"/>
      <c r="F786" s="86" t="n"/>
    </row>
    <row r="787" ht="16" customHeight="1" s="55">
      <c r="A787" s="86" t="inlineStr">
        <is>
          <t>A Hybrid Deep Learning Approach for Early Detection of Diabetic Retinopathy</t>
        </is>
      </c>
      <c r="B787" s="86" t="inlineStr">
        <is>
          <t>M. M. V; J. S; R. M. S; K. G. D</t>
        </is>
      </c>
      <c r="C787" s="86" t="n">
        <v>2025</v>
      </c>
      <c r="D787" s="5" t="inlineStr">
        <is>
          <t>Outcome not related to interest</t>
        </is>
      </c>
      <c r="E787" s="86" t="n"/>
      <c r="F787" s="86" t="n"/>
    </row>
    <row r="788" ht="16" customHeight="1" s="55">
      <c r="A788" s="86" t="inlineStr">
        <is>
          <t>Image Classification in Medical Diagnosis for Diabetic Retinopathy-Deep Learning</t>
        </is>
      </c>
      <c r="B788" s="86" t="inlineStr">
        <is>
          <t>P. M. B; S. U; S. S; S. P</t>
        </is>
      </c>
      <c r="C788" s="86" t="n">
        <v>2025</v>
      </c>
      <c r="D788" s="5" t="inlineStr">
        <is>
          <t>Outcome not related to interest</t>
        </is>
      </c>
      <c r="E788" s="86" t="n"/>
      <c r="F788" s="86" t="n"/>
    </row>
    <row r="789" ht="16" customHeight="1" s="55">
      <c r="A789" s="86" t="inlineStr">
        <is>
          <t>A Lesion-Fusion Neural Network for Multi-View Diabetic Retinopathy Grading</t>
        </is>
      </c>
      <c r="B789" s="86" t="inlineStr">
        <is>
          <t>X. Luo; Q. Xu; Z. Wang; C. Huang; C. Liu; X. Jin; J. Zhang</t>
        </is>
      </c>
      <c r="C789" s="86" t="n">
        <v>2025</v>
      </c>
      <c r="D789" s="5" t="inlineStr">
        <is>
          <t>Outcome not related to interest</t>
        </is>
      </c>
      <c r="E789" s="86" t="n"/>
      <c r="F789" s="86" t="n"/>
    </row>
    <row r="790" ht="16" customHeight="1" s="55">
      <c r="A790" s="86" t="inlineStr">
        <is>
          <t>Label-Aware Dual Graph Neural Networks for Multi-Label Fundus Image Classification</t>
        </is>
      </c>
      <c r="B790" s="86" t="inlineStr">
        <is>
          <t>Y. Liu; X. Peng; X. Wei; L. Geng; F. Zhang; Z. Xiao; J. C. W. Lin</t>
        </is>
      </c>
      <c r="C790" s="86" t="n">
        <v>2025</v>
      </c>
      <c r="D790" s="5" t="inlineStr">
        <is>
          <t>Outcome not related to interest</t>
        </is>
      </c>
      <c r="E790" s="86" t="n"/>
      <c r="F790" s="86" t="n"/>
    </row>
    <row r="791" ht="16" customHeight="1" s="55">
      <c r="A791" s="86" t="inlineStr">
        <is>
          <t>Diagnosis of Multiple Fundus Disorders Amidst a Scarcity of Medical Experts via Self-Supervised Machine Learning</t>
        </is>
      </c>
      <c r="B791" s="86" t="inlineStr">
        <is>
          <t>Y. Liu; M. Kang; S. Gao; C. Zhang; Y. Liu; S. Li; Y. Qi; A. Nathan; W. Xu; C. Tang; E. Occhipinti; M. Yusufu; N. Wang; W. Bai; L. Occhipinti</t>
        </is>
      </c>
      <c r="C791" s="86" t="n">
        <v>2025</v>
      </c>
      <c r="D791" s="5" t="inlineStr">
        <is>
          <t>Outcome not related to interest</t>
        </is>
      </c>
      <c r="E791" s="86" t="n"/>
      <c r="F791" s="86" t="n"/>
    </row>
    <row r="792" ht="16" customHeight="1" s="55">
      <c r="A792" s="86" t="inlineStr">
        <is>
          <t>Cross-Scale Fuzzy Holistic Attention Network for Diabetic Retinopathy Grading From Fundus Images</t>
        </is>
      </c>
      <c r="B792" s="86" t="inlineStr">
        <is>
          <t>Z. Lin; Z. He; X. Wang; W. Su; J. Tan; Y. Deng; S. Xie</t>
        </is>
      </c>
      <c r="C792" s="86" t="n">
        <v>2025</v>
      </c>
      <c r="D792" s="5" t="inlineStr">
        <is>
          <t>Outcome not related to interest</t>
        </is>
      </c>
      <c r="E792" s="86" t="n"/>
      <c r="F792" s="86" t="n"/>
    </row>
    <row r="793" ht="16" customHeight="1" s="55">
      <c r="A793" s="86" t="inlineStr">
        <is>
          <t>KMoCoL: k-Positive Momentum Contrastive Learning for Imbalanced Diabetic Retinopathy Grading</t>
        </is>
      </c>
      <c r="B793" s="86" t="inlineStr">
        <is>
          <t>L. Li; X. Liu; X. Hou; L. Chen; Y. Zhou; S. Fu</t>
        </is>
      </c>
      <c r="C793" s="86" t="n">
        <v>2025</v>
      </c>
      <c r="D793" s="5" t="inlineStr">
        <is>
          <t>Outcome not related to interest</t>
        </is>
      </c>
      <c r="E793" s="86" t="n"/>
      <c r="F793" s="86" t="n"/>
    </row>
    <row r="794" ht="16" customHeight="1" s="55">
      <c r="A794" s="86" t="inlineStr">
        <is>
          <t>Retinal Disease Classification: Binary and Multiclass Perspectives</t>
        </is>
      </c>
      <c r="B794" s="86" t="inlineStr">
        <is>
          <t>R. N. Lanjewar; U. Pacharaney</t>
        </is>
      </c>
      <c r="C794" s="86" t="n">
        <v>2025</v>
      </c>
      <c r="D794" s="5" t="inlineStr">
        <is>
          <t>Outcome not related to interest</t>
        </is>
      </c>
      <c r="E794" s="86" t="n"/>
      <c r="F794" s="86" t="n"/>
    </row>
    <row r="795" ht="16" customHeight="1" s="55">
      <c r="A795" s="86" t="inlineStr">
        <is>
          <t>Efficient Diabetic Retinopathy Detection Using CNNs and Transfer Learning for Feature Extraction and Classification</t>
        </is>
      </c>
      <c r="B795" s="86" t="inlineStr">
        <is>
          <t>V. T. R. P. Kumar; T. Maddineni; D. Satyanarayana; R. J. Prabhu; K. Karthik; K. B. Raju</t>
        </is>
      </c>
      <c r="C795" s="86" t="n">
        <v>2025</v>
      </c>
      <c r="D795" s="5" t="inlineStr">
        <is>
          <t>Outcome not related to interest</t>
        </is>
      </c>
      <c r="E795" s="86" t="n"/>
      <c r="F795" s="86" t="n"/>
    </row>
    <row r="796" ht="16" customHeight="1" s="55">
      <c r="A796" s="86" t="inlineStr">
        <is>
          <t>Diabetic Retinopathy Diagnosis with Deep Learning for Early Detection and Staging</t>
        </is>
      </c>
      <c r="B796" s="86" t="inlineStr">
        <is>
          <t>S. S. Kumar; S. A. Lakshmi; M. Bhuwaneshwari; G. Prakasha; P. R. Raksha; S. Rastogi</t>
        </is>
      </c>
      <c r="C796" s="86" t="n">
        <v>2025</v>
      </c>
      <c r="D796" s="5" t="inlineStr">
        <is>
          <t>Outcome not related to interest</t>
        </is>
      </c>
      <c r="E796" s="86" t="n"/>
      <c r="F796" s="86" t="n"/>
    </row>
    <row r="797" ht="16" customHeight="1" s="55">
      <c r="A797" s="86" t="inlineStr">
        <is>
          <t>RETINOSCAN: Retinal Image-Based Diabetic Retinopathy Detection</t>
        </is>
      </c>
      <c r="B797" s="86" t="inlineStr">
        <is>
          <t>N. Krishna; V. A. A. D; R. K. G; S. N; B. R. P</t>
        </is>
      </c>
      <c r="C797" s="86" t="n">
        <v>2025</v>
      </c>
      <c r="D797" s="5" t="inlineStr">
        <is>
          <t>Outcome not related to interest</t>
        </is>
      </c>
      <c r="E797" s="86" t="n"/>
      <c r="F797" s="86" t="n"/>
    </row>
    <row r="798" ht="16" customHeight="1" s="55">
      <c r="A798" s="86" t="inlineStr">
        <is>
          <t>Hybrid Deep Learning Model with ResNet50 and SVM for Diabetic Retinopathy Classification</t>
        </is>
      </c>
      <c r="B798" s="86" t="inlineStr">
        <is>
          <t>S. Kollem; B. Preethi; G. K. Kumar; R. S. Prasad; K. Praneeth; S. Peddakrishna</t>
        </is>
      </c>
      <c r="C798" s="86" t="n">
        <v>2025</v>
      </c>
      <c r="D798" s="5" t="inlineStr">
        <is>
          <t>Outcome not related to interest</t>
        </is>
      </c>
      <c r="E798" s="86" t="n"/>
      <c r="F798" s="86" t="n"/>
    </row>
    <row r="799" ht="16" customHeight="1" s="55">
      <c r="A799" s="86" t="inlineStr">
        <is>
          <t>Enhanced EfficientNetB3 Framework for Accurate Multi-Class Eye Disease Classification Using Deep Learning</t>
        </is>
      </c>
      <c r="B799" s="86" t="inlineStr">
        <is>
          <t>P. Kaushik; P. Sharma</t>
        </is>
      </c>
      <c r="C799" s="86" t="n">
        <v>2025</v>
      </c>
      <c r="D799" s="5" t="inlineStr">
        <is>
          <t>Outcome not related to interest</t>
        </is>
      </c>
      <c r="E799" s="86" t="n"/>
      <c r="F799" s="86" t="n"/>
    </row>
    <row r="800" ht="16" customHeight="1" s="55">
      <c r="A800" s="86" t="inlineStr">
        <is>
          <t>Automated Retinal Disease Classification: Leveraging Convolutional Neural Networks for Early Diagnosis</t>
        </is>
      </c>
      <c r="B800" s="86" t="inlineStr">
        <is>
          <t>V. Kant; N. Yamsani; C. Singh</t>
        </is>
      </c>
      <c r="C800" s="86" t="n">
        <v>2025</v>
      </c>
      <c r="D800" s="5" t="inlineStr">
        <is>
          <t>Outcome not related to interest</t>
        </is>
      </c>
      <c r="E800" s="86" t="n"/>
      <c r="F800" s="86" t="n"/>
    </row>
    <row r="801" ht="16" customHeight="1" s="55">
      <c r="A801" s="86" t="inlineStr">
        <is>
          <t>Grading of Retinal Images Using CNN and its Variants</t>
        </is>
      </c>
      <c r="B801" s="86" t="inlineStr">
        <is>
          <t>K. S. Kalaivani; R. Sanjay; S. M. Thissyakkanna</t>
        </is>
      </c>
      <c r="C801" s="86" t="n">
        <v>2025</v>
      </c>
      <c r="D801" s="5" t="inlineStr">
        <is>
          <t>Outcome not related to interest</t>
        </is>
      </c>
      <c r="E801" s="86" t="n"/>
      <c r="F801" s="86" t="n"/>
    </row>
    <row r="802" ht="16" customHeight="1" s="55">
      <c r="A802" s="86" t="inlineStr">
        <is>
          <t>Diabetic Retinopathy Detection Using InceptionV3: A Deep Learning Approach for Automated Diagnosis</t>
        </is>
      </c>
      <c r="B802" s="86" t="inlineStr">
        <is>
          <t>E. Jain; A. Rathour</t>
        </is>
      </c>
      <c r="C802" s="86" t="n">
        <v>2025</v>
      </c>
      <c r="D802" s="5" t="inlineStr">
        <is>
          <t>Outcome not related to interest</t>
        </is>
      </c>
      <c r="E802" s="86" t="n"/>
      <c r="F802" s="86" t="n"/>
    </row>
    <row r="803" ht="16" customHeight="1" s="55">
      <c r="A803" s="86" t="inlineStr">
        <is>
          <t>Co-Pseudo Labeling and Active Selection for Fundus Single-Positive Multi-Label Learning</t>
        </is>
      </c>
      <c r="B803" s="86" t="inlineStr">
        <is>
          <t>T. Hu; W. Zhang; J. Guo; H. Li</t>
        </is>
      </c>
      <c r="C803" s="86" t="n">
        <v>2025</v>
      </c>
      <c r="D803" s="5" t="inlineStr">
        <is>
          <t>Outcome not related to interest</t>
        </is>
      </c>
      <c r="E803" s="86" t="n"/>
      <c r="F803" s="86" t="n"/>
    </row>
    <row r="804" ht="16" customHeight="1" s="55">
      <c r="A804" s="86" t="inlineStr">
        <is>
          <t>A Reference-Free Quality Enhancement Framework for Low-Quality Fundus Images</t>
        </is>
      </c>
      <c r="B804" s="86" t="inlineStr">
        <is>
          <t>Q. Hou; Y. Wang; L. Lan; P. Cao; J. Yang; X. Liu; M. Wang; Y. C. Tham; O. R. Zaiane</t>
        </is>
      </c>
      <c r="C804" s="86" t="n">
        <v>2025</v>
      </c>
      <c r="D804" s="5" t="inlineStr">
        <is>
          <t>Outcome not related to interest</t>
        </is>
      </c>
      <c r="E804" s="86" t="n"/>
      <c r="F804" s="86" t="n"/>
    </row>
    <row r="805" ht="16" customHeight="1" s="55">
      <c r="A805" s="86" t="inlineStr">
        <is>
          <t>QMix: Quality-aware Learning with Mixed Noise for Robust Retinal Disease Diagnosis</t>
        </is>
      </c>
      <c r="B805" s="86" t="inlineStr">
        <is>
          <t>J. Hou; J. Xu; R. Feng; H. Chen</t>
        </is>
      </c>
      <c r="C805" s="86" t="n">
        <v>2025</v>
      </c>
      <c r="D805" s="5" t="inlineStr">
        <is>
          <t>Outcome not related to interest</t>
        </is>
      </c>
      <c r="E805" s="86" t="n"/>
      <c r="F805" s="86" t="n"/>
    </row>
    <row r="806" ht="16" customHeight="1" s="55">
      <c r="A806" s="86" t="inlineStr">
        <is>
          <t>Early Diabetic Retinopathy Cyber-Physical Detection System Using Attention-Guided Deep CNN Fusion</t>
        </is>
      </c>
      <c r="B806" s="86" t="inlineStr">
        <is>
          <t>M. S. Hossain; M. Shorfuzzaman</t>
        </is>
      </c>
      <c r="C806" s="86" t="n">
        <v>2025</v>
      </c>
      <c r="D806" s="5" t="inlineStr">
        <is>
          <t>Outcome not related to interest</t>
        </is>
      </c>
      <c r="E806" s="86" t="n"/>
      <c r="F806" s="86" t="n"/>
    </row>
    <row r="807" ht="16" customHeight="1" s="55">
      <c r="A807" s="86" t="inlineStr">
        <is>
          <t>Detection of Diabetic Retinopathy Using a Multi-Decision Inception-ResNet-Blended Hybrid Model</t>
        </is>
      </c>
      <c r="B807" s="86" t="inlineStr">
        <is>
          <t>S. K. Henge; N. R. Viraati; M. Alhussein; A. S. Kushwaha; K. Aurangzeb; R. Singh</t>
        </is>
      </c>
      <c r="C807" s="86" t="n">
        <v>2025</v>
      </c>
      <c r="D807" s="5" t="inlineStr">
        <is>
          <t>Outcome not related to interest</t>
        </is>
      </c>
      <c r="E807" s="86" t="n"/>
      <c r="F807" s="86" t="n"/>
    </row>
    <row r="808" ht="16" customHeight="1" s="55">
      <c r="A808" s="86" t="inlineStr">
        <is>
          <t>Automated Enhanced Handheld Fundus Photography via Unpaired Learning</t>
        </is>
      </c>
      <c r="B808" s="86" t="inlineStr">
        <is>
          <t>Y. Gu; J. Yang; Y. Wang; M. Ye; X. Li; X. Li; N. Li; J. Zhang; Y. Zhao; Z. Yu; B. Dong</t>
        </is>
      </c>
      <c r="C808" s="86" t="n">
        <v>2025</v>
      </c>
      <c r="D808" s="5" t="inlineStr">
        <is>
          <t>Outcome not related to interest</t>
        </is>
      </c>
      <c r="E808" s="86" t="n"/>
      <c r="F808" s="86" t="n"/>
    </row>
    <row r="809" ht="16" customHeight="1" s="55">
      <c r="A809" s="86" t="inlineStr">
        <is>
          <t>Retinal Disease Detection and Diagnosis Using Hybrid ResNet-RNN Algorithm</t>
        </is>
      </c>
      <c r="B809" s="86" t="inlineStr">
        <is>
          <t>S. R. Gnanamalar; S. V. Prasanth; K. Sanjay; N. Sanjay; S. Varnika</t>
        </is>
      </c>
      <c r="C809" s="86" t="n">
        <v>2025</v>
      </c>
      <c r="D809" s="5" t="inlineStr">
        <is>
          <t>Outcome not related to interest</t>
        </is>
      </c>
      <c r="E809" s="86" t="n"/>
      <c r="F809" s="86" t="n"/>
    </row>
    <row r="810" ht="16" customHeight="1" s="55">
      <c r="A810" s="86" t="inlineStr">
        <is>
          <t>Retinal Disease Detection for Low Resource Devices Through Pruned and Quantized CNNs</t>
        </is>
      </c>
      <c r="B810" s="86" t="inlineStr">
        <is>
          <t>H. Gavel; C. Azad</t>
        </is>
      </c>
      <c r="C810" s="86" t="n">
        <v>2025</v>
      </c>
      <c r="D810" s="5" t="inlineStr">
        <is>
          <t>Outcome not related to interest</t>
        </is>
      </c>
      <c r="E810" s="86" t="n"/>
      <c r="F810" s="86" t="n"/>
    </row>
    <row r="811" ht="16" customHeight="1" s="55">
      <c r="A811" s="86" t="inlineStr">
        <is>
          <t>Deep Learning Model for Diabetic Retinopathy Detection Using MobileNet Architecture</t>
        </is>
      </c>
      <c r="B811" s="86" t="inlineStr">
        <is>
          <t>V. Ganesalingam; V. Ravi; D. Jayasundara</t>
        </is>
      </c>
      <c r="C811" s="86" t="n">
        <v>2025</v>
      </c>
      <c r="D811" s="5" t="inlineStr">
        <is>
          <t>Outcome not related to interest</t>
        </is>
      </c>
      <c r="E811" s="86" t="n"/>
      <c r="F811" s="86" t="n"/>
    </row>
    <row r="812" ht="16" customHeight="1" s="55">
      <c r="A812" s="86" t="inlineStr">
        <is>
          <t>Retinal Fundus Image Classification Using Generative Adversarial Networks</t>
        </is>
      </c>
      <c r="B812" s="86" t="inlineStr">
        <is>
          <t>M. Dutta; M. A. A. Khan; M. M. F. Rabbi; M. A. Rahman; M. M. Islam</t>
        </is>
      </c>
      <c r="C812" s="86" t="n">
        <v>2025</v>
      </c>
      <c r="D812" s="5" t="inlineStr">
        <is>
          <t>Outcome not related to interest</t>
        </is>
      </c>
      <c r="E812" s="86" t="n"/>
      <c r="F812" s="86" t="n"/>
    </row>
    <row r="813" ht="16" customHeight="1" s="55">
      <c r="A813" s="86" t="inlineStr">
        <is>
          <t>TPOT: Topology Preserving Optimal Transport in Retinal Fundus Image Enhancement</t>
        </is>
      </c>
      <c r="B813" s="86" t="inlineStr">
        <is>
          <t>X. Dong; W. Zhu; X. Li; G. Sun; Y. Su; O. M. Dumitrascu; Y. Wang</t>
        </is>
      </c>
      <c r="C813" s="86" t="n">
        <v>2025</v>
      </c>
      <c r="D813" s="5" t="inlineStr">
        <is>
          <t>Outcome not related to interest</t>
        </is>
      </c>
      <c r="E813" s="86" t="n"/>
      <c r="F813" s="86" t="n"/>
    </row>
    <row r="814" ht="16" customHeight="1" s="55">
      <c r="A814" s="86" t="inlineStr">
        <is>
          <t>Deep Learning-Based Diabetic Retinopathy Detection: A Pretrained Model Approach with Performance Analysis</t>
        </is>
      </c>
      <c r="B814" s="86" t="inlineStr">
        <is>
          <t>A. B. Dombale; P. P. Ghadekar</t>
        </is>
      </c>
      <c r="C814" s="86" t="n">
        <v>2025</v>
      </c>
      <c r="D814" s="5" t="inlineStr">
        <is>
          <t>Outcome not related to interest</t>
        </is>
      </c>
      <c r="E814" s="86" t="n"/>
      <c r="F814" s="86" t="n"/>
    </row>
    <row r="815" ht="16" customHeight="1" s="55">
      <c r="A815" s="86" t="inlineStr">
        <is>
          <t>A Transparent Diagnosis Model for Diabetic Retinopathy Using Explainable AI</t>
        </is>
      </c>
      <c r="B815" s="86" t="inlineStr">
        <is>
          <t>A. Deo; P. Gupta; A. S. Rajput; D. Sil; C. Chandorikar; M. Pawar</t>
        </is>
      </c>
      <c r="C815" s="86" t="n">
        <v>2025</v>
      </c>
      <c r="D815" s="5" t="inlineStr">
        <is>
          <t>Outcome not related to interest</t>
        </is>
      </c>
      <c r="E815" s="86" t="n"/>
      <c r="F815" s="86" t="n"/>
    </row>
    <row r="816" ht="16" customHeight="1" s="55">
      <c r="A816" s="86" t="inlineStr">
        <is>
          <t>Parallel Multi-Path Network for Ocular Disease Detection Inspired by Visual Cognition Mechanism</t>
        </is>
      </c>
      <c r="B816" s="86" t="inlineStr">
        <is>
          <t>T. Deng; Y. Huang; C. Yang</t>
        </is>
      </c>
      <c r="C816" s="86" t="n">
        <v>2025</v>
      </c>
      <c r="D816" s="5" t="inlineStr">
        <is>
          <t>Outcome not related to interest</t>
        </is>
      </c>
      <c r="E816" s="86" t="n"/>
      <c r="F816" s="86" t="n"/>
    </row>
    <row r="817" ht="16" customHeight="1" s="55">
      <c r="A817" s="86" t="inlineStr">
        <is>
          <t>Retinal-ESRGAN: A Hybrid GAN Model Approach for Retinal Image Super-Resolution Coupled With Reduced Training Time and Computational Resources for Improved Diagnostic Accuracy</t>
        </is>
      </c>
      <c r="B817" s="86" t="inlineStr">
        <is>
          <t>K. Deepthi; A. K. Shastry</t>
        </is>
      </c>
      <c r="C817" s="86" t="n">
        <v>2025</v>
      </c>
      <c r="D817" s="5" t="inlineStr">
        <is>
          <t>Outcome not related to interest</t>
        </is>
      </c>
      <c r="E817" s="86" t="n"/>
      <c r="F817" s="86" t="n"/>
    </row>
    <row r="818" ht="16" customHeight="1" s="55">
      <c r="A818" s="86" t="inlineStr">
        <is>
          <t>Rare and Common Types of Retinal Disease Recognition Using Ensemble Deep Learning</t>
        </is>
      </c>
      <c r="B818" s="86" t="inlineStr">
        <is>
          <t>J. Debnath; A. S. U. K. Pranta; A. B. Mohiuddin; A. Hossain; A. Sakib; M. M. Shanto; S. Forhad; A. Al-Sakib; R. Haque; S. Rahman</t>
        </is>
      </c>
      <c r="C818" s="86" t="n">
        <v>2025</v>
      </c>
      <c r="D818" s="5" t="inlineStr">
        <is>
          <t>Outcome not related to interest</t>
        </is>
      </c>
      <c r="E818" s="86" t="n"/>
      <c r="F818" s="86" t="n"/>
    </row>
    <row r="819" ht="16" customHeight="1" s="55">
      <c r="A819" s="86" t="inlineStr">
        <is>
          <t>Robust Exudate Segmentation in Retinal Fundus Images using the combination of Efficient-Net and U-Net Model</t>
        </is>
      </c>
      <c r="B819" s="86" t="inlineStr">
        <is>
          <t>D. Deb; R. Murugan</t>
        </is>
      </c>
      <c r="C819" s="86" t="n">
        <v>2025</v>
      </c>
      <c r="D819" s="5" t="inlineStr">
        <is>
          <t>Outcome not related to interest</t>
        </is>
      </c>
      <c r="E819" s="86" t="n"/>
      <c r="F819" s="86" t="n"/>
    </row>
    <row r="820" ht="16" customHeight="1" s="55">
      <c r="A820" s="86" t="inlineStr">
        <is>
          <t>Divergent Domains, Convergent Grading: Enhancing Generalization in Diabetic Retinopathy Grading</t>
        </is>
      </c>
      <c r="B820" s="86" t="inlineStr">
        <is>
          <t>S. Chokuwa; M. H. Khan</t>
        </is>
      </c>
      <c r="C820" s="86" t="n">
        <v>2025</v>
      </c>
      <c r="D820" s="5" t="inlineStr">
        <is>
          <t>Outcome not related to interest</t>
        </is>
      </c>
      <c r="E820" s="86" t="n"/>
      <c r="F820" s="86" t="n"/>
    </row>
    <row r="821" ht="16" customHeight="1" s="55">
      <c r="A821" s="86" t="inlineStr">
        <is>
          <t>Adversarial Exposure Attack on Diabetic Retinopathy Imagery Grading</t>
        </is>
      </c>
      <c r="B821" s="86" t="inlineStr">
        <is>
          <t>Y. Cheng; Q. Guo; F. Juefei-Xu; H. Fu; S. W. Lin; W. Lin</t>
        </is>
      </c>
      <c r="C821" s="86" t="n">
        <v>2025</v>
      </c>
      <c r="D821" s="5" t="inlineStr">
        <is>
          <t>Outcome not related to interest</t>
        </is>
      </c>
      <c r="E821" s="86" t="n"/>
      <c r="F821" s="86" t="n"/>
    </row>
    <row r="822" ht="16" customHeight="1" s="55">
      <c r="A822" s="86" t="inlineStr">
        <is>
          <t>Early Detection of Diabetic Retinopathy Using a Fine-Tuned VGG19 Convolutional Neural Network</t>
        </is>
      </c>
      <c r="B822" s="86" t="inlineStr">
        <is>
          <t>Bhoomika; G. Verma</t>
        </is>
      </c>
      <c r="C822" s="86" t="n">
        <v>2025</v>
      </c>
      <c r="D822" s="5" t="inlineStr">
        <is>
          <t>Outcome not related to interest</t>
        </is>
      </c>
      <c r="E822" s="86" t="n"/>
      <c r="F822" s="86" t="n"/>
    </row>
    <row r="823" ht="16" customHeight="1" s="55">
      <c r="A823" s="86" t="inlineStr">
        <is>
          <t>STMFNet: Spatial Texture Multi-Scale Feature Fusion Attention Network for Diabetic Retinopathy Classification</t>
        </is>
      </c>
      <c r="B823" s="86" t="inlineStr">
        <is>
          <t>M. I. Bappi; M. M. A. B. Atique; K. Kim</t>
        </is>
      </c>
      <c r="C823" s="86" t="n">
        <v>2025</v>
      </c>
      <c r="D823" s="5" t="inlineStr">
        <is>
          <t>Outcome not related to interest</t>
        </is>
      </c>
      <c r="E823" s="86" t="n"/>
      <c r="F823" s="86" t="n"/>
    </row>
    <row r="824" ht="16" customHeight="1" s="55">
      <c r="A824" s="86" t="inlineStr">
        <is>
          <t>ViT-MAD: A novel generative-AI based architecture for diabetic retinopathy detection</t>
        </is>
      </c>
      <c r="B824" s="86" t="inlineStr">
        <is>
          <t>V. Bansal; M. Malhotra</t>
        </is>
      </c>
      <c r="C824" s="86" t="n">
        <v>2025</v>
      </c>
      <c r="D824" s="5" t="inlineStr">
        <is>
          <t>Outcome not related to interest</t>
        </is>
      </c>
      <c r="E824" s="86" t="n"/>
      <c r="F824" s="86" t="n"/>
    </row>
    <row r="825" ht="16" customHeight="1" s="55">
      <c r="A825" s="86" t="inlineStr">
        <is>
          <t>Improvising Early Detection of Diabetes through Deep Learning on Retinal Fundus images</t>
        </is>
      </c>
      <c r="B825" s="86" t="inlineStr">
        <is>
          <t>K. Balaji; M. S. Ganesh; D. Murali; K. Pachiappan; P. Iyyanar; N. Jayakumar</t>
        </is>
      </c>
      <c r="C825" s="86" t="n">
        <v>2025</v>
      </c>
      <c r="D825" s="5" t="inlineStr">
        <is>
          <t>Outcome not related to interest</t>
        </is>
      </c>
      <c r="E825" s="86" t="n"/>
      <c r="F825" s="86" t="n"/>
    </row>
    <row r="826" ht="16" customHeight="1" s="55">
      <c r="A826" s="86" t="inlineStr">
        <is>
          <t>Deep Learning for Diabetic Retinopathy: A SqueezeNet-Based Approach with Data Augmentation for Enhanced Detection</t>
        </is>
      </c>
      <c r="B826" s="86" t="inlineStr">
        <is>
          <t>K. B. R; N. S; H. B. Bandela; K. K. R. Penubaka; P. R. K. K. Reddy; P. L. Supriya</t>
        </is>
      </c>
      <c r="C826" s="86" t="n">
        <v>2025</v>
      </c>
      <c r="D826" s="5" t="inlineStr">
        <is>
          <t>Outcome not related to interest</t>
        </is>
      </c>
      <c r="E826" s="86" t="n"/>
      <c r="F826" s="86" t="n"/>
    </row>
    <row r="827" ht="16" customHeight="1" s="55">
      <c r="A827" s="86" t="inlineStr">
        <is>
          <t>Improved Retinopathy Detection Using ResNet-50 Optimized AI Deep Learning Models</t>
        </is>
      </c>
      <c r="B827" s="86" t="inlineStr">
        <is>
          <t>N. Appavu</t>
        </is>
      </c>
      <c r="C827" s="86" t="n">
        <v>2025</v>
      </c>
      <c r="D827" s="5" t="inlineStr">
        <is>
          <t>Outcome not related to interest</t>
        </is>
      </c>
      <c r="E827" s="86" t="n"/>
      <c r="F827" s="86" t="n"/>
    </row>
    <row r="828" ht="16" customHeight="1" s="55">
      <c r="A828" s="86" t="inlineStr">
        <is>
          <t>Deep Learning&amp;#x2010;Based Image Segmentation for Early Detection of Diabetic Retinopathy and Other Retinal Disorders</t>
        </is>
      </c>
      <c r="B828" s="86" t="inlineStr">
        <is>
          <t>B. Ankur; B. Rita</t>
        </is>
      </c>
      <c r="C828" s="86" t="n">
        <v>2025</v>
      </c>
      <c r="D828" s="5" t="inlineStr">
        <is>
          <t>Outcome not related to interest</t>
        </is>
      </c>
      <c r="E828" s="86" t="n"/>
      <c r="F828" s="86" t="n"/>
    </row>
    <row r="829" ht="16" customHeight="1" s="55">
      <c r="A829" s="86" t="inlineStr">
        <is>
          <t>Diabetic Retinopathy From Retinal Imaging</t>
        </is>
      </c>
      <c r="B829" s="86" t="inlineStr">
        <is>
          <t>D. M. Anfaal; S. Rajadurai; V. Akash; V. S. Narayanan; S. D. Bharathi; C. Sandhya</t>
        </is>
      </c>
      <c r="C829" s="86" t="n">
        <v>2025</v>
      </c>
      <c r="D829" s="5" t="inlineStr">
        <is>
          <t>Outcome not related to interest</t>
        </is>
      </c>
      <c r="E829" s="86" t="n"/>
      <c r="F829" s="86" t="n"/>
    </row>
    <row r="830" ht="16" customHeight="1" s="55">
      <c r="A830" s="86" t="inlineStr">
        <is>
          <t>Enhanced Diabetic Retinopathy Detection: An Explainable Semi-Supervised Approach Using Contrastive Learning R</t>
        </is>
      </c>
      <c r="B830" s="86" t="inlineStr">
        <is>
          <t>R. Ali; F. G. Khan; Z. U. Rehman; D. Kwak; F. Ali</t>
        </is>
      </c>
      <c r="C830" s="86" t="n">
        <v>2025</v>
      </c>
      <c r="D830" s="86" t="inlineStr">
        <is>
          <t>Repeated article</t>
        </is>
      </c>
      <c r="E830" s="86" t="n"/>
      <c r="F830" s="86" t="n"/>
    </row>
    <row r="831" ht="16" customHeight="1" s="55">
      <c r="A831" s="86" t="inlineStr">
        <is>
          <t>Vision Transformer for Diabetic Retinopathy Diagnosis: A Deep Learning Approach Beyond CNN</t>
        </is>
      </c>
      <c r="B831" s="86" t="inlineStr">
        <is>
          <t>K. A. Al-Tayeb; A. Jarndal; T. Bonny</t>
        </is>
      </c>
      <c r="C831" s="86" t="n">
        <v>2025</v>
      </c>
      <c r="D831" s="5" t="inlineStr">
        <is>
          <t>Outcome not related to interest</t>
        </is>
      </c>
      <c r="E831" s="86" t="n"/>
      <c r="F831" s="86" t="n"/>
    </row>
    <row r="832" ht="16" customHeight="1" s="55">
      <c r="A832" s="86" t="inlineStr">
        <is>
          <t>Decoding Machine Learning Algorithms for DR Detection</t>
        </is>
      </c>
      <c r="B832" s="86" t="inlineStr">
        <is>
          <t>J. Ahuja; V. Sharma; R. Gupta; P. Kapoor; S. Arora</t>
        </is>
      </c>
      <c r="C832" s="86" t="n">
        <v>2025</v>
      </c>
      <c r="D832" s="5" t="inlineStr">
        <is>
          <t>Outcome not related to interest</t>
        </is>
      </c>
      <c r="E832" s="86" t="n"/>
      <c r="F832" s="86" t="n"/>
    </row>
    <row r="833" ht="16" customHeight="1" s="55">
      <c r="A833" s="86" t="inlineStr">
        <is>
          <t>Leveraging Neural Networks for Accurate Diagnosis of Eye Diseases in Retinal Fundus Images</t>
        </is>
      </c>
      <c r="B833" s="86" t="inlineStr">
        <is>
          <t>N. Abishek; R. T. Moorthy; K. Ashok; S. Kamalraj</t>
        </is>
      </c>
      <c r="C833" s="86" t="n">
        <v>2025</v>
      </c>
      <c r="D833" s="5" t="inlineStr">
        <is>
          <t>Outcome not related to interest</t>
        </is>
      </c>
      <c r="E833" s="86" t="n"/>
      <c r="F833" s="86" t="n"/>
    </row>
    <row r="834" ht="16" customHeight="1" s="55">
      <c r="A834" s="86" t="inlineStr">
        <is>
          <t>A Hybrid Approach for Diabetic Retinopathy Classification Using EfficientNetB5 and ResNet50 Models</t>
        </is>
      </c>
      <c r="B834" s="86" t="inlineStr">
        <is>
          <t>A. A; S. L. P; T. L. P; J. M</t>
        </is>
      </c>
      <c r="C834" s="86" t="n">
        <v>2025</v>
      </c>
      <c r="D834" s="5" t="inlineStr">
        <is>
          <t>Outcome not related to interest</t>
        </is>
      </c>
      <c r="E834" s="86" t="n"/>
      <c r="F834" s="86" t="n"/>
    </row>
    <row r="835" ht="16" customHeight="1" s="55">
      <c r="A835" s="86" t="inlineStr">
        <is>
          <t>6 EfficientNetB3-DTL: Classification of Diabetic Retinopathy Images using Modified EfficientNetB3 with Deep Transfer Learning</t>
        </is>
      </c>
      <c r="B835" s="86" t="n"/>
      <c r="C835" s="86" t="n">
        <v>2025</v>
      </c>
      <c r="D835" s="5" t="inlineStr">
        <is>
          <t>Outcome not related to interest</t>
        </is>
      </c>
      <c r="E835" s="86" t="n"/>
      <c r="F835" s="86" t="n"/>
    </row>
    <row r="836" ht="16" customHeight="1" s="55">
      <c r="A836" s="86" t="inlineStr">
        <is>
          <t>High-Accuracy Classification of Eye Diseases with Pre-Trained Deep Neural Networks</t>
        </is>
      </c>
      <c r="B836" s="86" t="inlineStr">
        <is>
          <t>F. Zhu; K. Wu</t>
        </is>
      </c>
      <c r="C836" s="86" t="n">
        <v>2024</v>
      </c>
      <c r="D836" s="5" t="inlineStr">
        <is>
          <t>Outcome not related to interest</t>
        </is>
      </c>
      <c r="E836" s="86" t="n"/>
      <c r="F836" s="86" t="n"/>
    </row>
    <row r="837" ht="16" customHeight="1" s="55">
      <c r="A837" s="86" t="inlineStr">
        <is>
          <t>Semantic-Oriented Visual Prompt Learning for Diabetic Retinopathy Grading on Fundus Images</t>
        </is>
      </c>
      <c r="B837" s="86" t="inlineStr">
        <is>
          <t>Y. Zhang; X. Ma; K. Huang; M. Li; P. A. Heng</t>
        </is>
      </c>
      <c r="C837" s="86" t="n">
        <v>2024</v>
      </c>
      <c r="D837" s="5" t="inlineStr">
        <is>
          <t>Outcome not related to interest</t>
        </is>
      </c>
      <c r="E837" s="86" t="n"/>
      <c r="F837" s="86" t="n"/>
    </row>
    <row r="838" ht="16" customHeight="1" s="55">
      <c r="A838" s="86" t="inlineStr">
        <is>
          <t>A Novel Artificial-Intelligence-Based Approach for Automatic Assessment of Retinal Disease Images Using Multi-View Deep-Broad Learning Network</t>
        </is>
      </c>
      <c r="B838" s="86" t="inlineStr">
        <is>
          <t>A. Zhang; X. Qian; C. Xu; J. Zhang</t>
        </is>
      </c>
      <c r="C838" s="86" t="n">
        <v>2024</v>
      </c>
      <c r="D838" s="5" t="inlineStr">
        <is>
          <t>Outcome not related to interest</t>
        </is>
      </c>
      <c r="E838" s="86" t="n"/>
      <c r="F838" s="86" t="n"/>
    </row>
    <row r="839" ht="16" customHeight="1" s="55">
      <c r="A839" s="86" t="inlineStr">
        <is>
          <t>Interpretable Diabetic Retinopathy Diagnosis Based on Biomarker Activation Map</t>
        </is>
      </c>
      <c r="B839" s="86" t="inlineStr">
        <is>
          <t>P. Zang; T. T. Hormel; J. Wang; Y. Guo; S. T. Bailey; C. J. Flaxel; D. Huang; T. S. Hwang; Y. Jia</t>
        </is>
      </c>
      <c r="C839" s="86" t="n">
        <v>2024</v>
      </c>
      <c r="D839" s="5" t="inlineStr">
        <is>
          <t>Outcome not related to interest</t>
        </is>
      </c>
      <c r="E839" s="86" t="n"/>
      <c r="F839" s="86" t="n"/>
    </row>
    <row r="840" ht="16" customHeight="1" s="55">
      <c r="A840" s="86" t="inlineStr">
        <is>
          <t>An Eye Disease Image Diagnosis Method Based on a Hybrid Machine Learning and Deep Learning Model</t>
        </is>
      </c>
      <c r="B840" s="86" t="inlineStr">
        <is>
          <t>H. Yu</t>
        </is>
      </c>
      <c r="C840" s="86" t="n">
        <v>2024</v>
      </c>
      <c r="D840" s="5" t="inlineStr">
        <is>
          <t>Outcome not related to interest</t>
        </is>
      </c>
      <c r="E840" s="86" t="n"/>
      <c r="F840" s="86" t="n"/>
    </row>
    <row r="841" ht="16" customHeight="1" s="55">
      <c r="A841" s="86" t="inlineStr">
        <is>
          <t>Compound Scaling Encoder-Decoder (CoSED) Network for Diabetic Retinopathy Related Bio-Marker Detection</t>
        </is>
      </c>
      <c r="B841" s="86" t="inlineStr">
        <is>
          <t>D. Yi; P. Baltov; Y. Hua; S. Philip; P. K. Sharma</t>
        </is>
      </c>
      <c r="C841" s="86" t="n">
        <v>2024</v>
      </c>
      <c r="D841" s="5" t="inlineStr">
        <is>
          <t>Outcome not related to interest</t>
        </is>
      </c>
      <c r="E841" s="86" t="n"/>
      <c r="F841" s="86" t="n"/>
    </row>
    <row r="842" ht="16" customHeight="1" s="55">
      <c r="A842" s="86" t="inlineStr">
        <is>
          <t>Automated Hypertensive Retinopathy Detection Method Using Deep Learning</t>
        </is>
      </c>
      <c r="B842" s="86" t="inlineStr">
        <is>
          <t>N. S. Yashwanth; K. Anvesh; P. Varshitha; Y. V. Prasad</t>
        </is>
      </c>
      <c r="C842" s="86" t="n">
        <v>2024</v>
      </c>
      <c r="D842" s="5" t="inlineStr">
        <is>
          <t>Outcome not related to interest</t>
        </is>
      </c>
      <c r="E842" s="86" t="n"/>
      <c r="F842" s="86" t="n"/>
    </row>
    <row r="843" ht="16" customHeight="1" s="55">
      <c r="A843" s="86" t="inlineStr">
        <is>
          <t>EyeSmart A Deep Learning and Random Forest Approach for Multi-Disease Retinal Analysis</t>
        </is>
      </c>
      <c r="B843" s="86" t="inlineStr">
        <is>
          <t>Yashu; A. Singh</t>
        </is>
      </c>
      <c r="C843" s="86" t="n">
        <v>2024</v>
      </c>
      <c r="D843" s="5" t="inlineStr">
        <is>
          <t>Outcome not related to interest</t>
        </is>
      </c>
      <c r="E843" s="86" t="n"/>
      <c r="F843" s="86" t="n"/>
    </row>
    <row r="844" ht="16" customHeight="1" s="55">
      <c r="A844" s="86" t="inlineStr">
        <is>
          <t>A Novel Transformer Model With Multiple Instance Learning for Diabetic Retinopathy Classification</t>
        </is>
      </c>
      <c r="B844" s="86" t="inlineStr">
        <is>
          <t>Y. Yang; Z. Cai; S. Qiu; P. Xu</t>
        </is>
      </c>
      <c r="C844" s="86" t="n">
        <v>2024</v>
      </c>
      <c r="D844" s="5" t="inlineStr">
        <is>
          <t>Outcome not related to interest</t>
        </is>
      </c>
      <c r="E844" s="86" t="n"/>
      <c r="F844" s="86" t="n"/>
    </row>
    <row r="845" ht="16" customHeight="1" s="55">
      <c r="A845" s="86" t="inlineStr">
        <is>
          <t>HRS-Net: A Hybrid Multi-Scale Network Model Based on Convolution and Transformers for Multi-Class Retinal Disease Classification</t>
        </is>
      </c>
      <c r="B845" s="86" t="inlineStr">
        <is>
          <t>H. Yang; L. Chen; J. Cao; J. Wang</t>
        </is>
      </c>
      <c r="C845" s="86" t="n">
        <v>2024</v>
      </c>
      <c r="D845" s="5" t="inlineStr">
        <is>
          <t>Outcome not related to interest</t>
        </is>
      </c>
      <c r="E845" s="86" t="n"/>
      <c r="F845" s="86" t="n"/>
    </row>
    <row r="846" ht="16" customHeight="1" s="55">
      <c r="A846" s="86" t="inlineStr">
        <is>
          <t>Diabetic Retinopathy Prediction Using DenseNet 201 with Swish as Activation Function</t>
        </is>
      </c>
      <c r="B846" s="86" t="inlineStr">
        <is>
          <t>C. C. Yang; M. Mahrukh; K. Delanyo; K. Bensah; S. U. D. Khokhar</t>
        </is>
      </c>
      <c r="C846" s="86" t="n">
        <v>2024</v>
      </c>
      <c r="D846" s="5" t="inlineStr">
        <is>
          <t>Outcome not related to interest</t>
        </is>
      </c>
      <c r="E846" s="86" t="n"/>
      <c r="F846" s="86" t="n"/>
    </row>
    <row r="847" ht="16" customHeight="1" s="55">
      <c r="A847" s="86" t="inlineStr">
        <is>
          <t>An Optimized Hybrid Deep Learning and IoT-Enabled Health System in Retina Image Analysis for Blindness Detection</t>
        </is>
      </c>
      <c r="B847" s="86" t="inlineStr">
        <is>
          <t>J. Yamini; T. Kanimozhi; A. Jenefa; K. Bagyalakshmi; K. Aarthi; P. Dhivya</t>
        </is>
      </c>
      <c r="C847" s="86" t="n">
        <v>2024</v>
      </c>
      <c r="D847" s="5" t="inlineStr">
        <is>
          <t>Outcome not related to interest</t>
        </is>
      </c>
      <c r="E847" s="86" t="n"/>
      <c r="F847" s="86" t="n"/>
    </row>
    <row r="848" ht="16" customHeight="1" s="55">
      <c r="A848" s="86" t="inlineStr">
        <is>
          <t>Attention-Enhanced Ensemble Learning for Diabetic Retinopathy Classification with Interpretability</t>
        </is>
      </c>
      <c r="B848" s="86" t="inlineStr">
        <is>
          <t>K. Wu; J. Peng; X. Feng; Z. Chen; H. N. Monday; G. U. Nneji</t>
        </is>
      </c>
      <c r="C848" s="86" t="n">
        <v>2024</v>
      </c>
      <c r="D848" s="5" t="inlineStr">
        <is>
          <t>Outcome not related to interest</t>
        </is>
      </c>
      <c r="E848" s="86" t="n"/>
      <c r="F848" s="86" t="n"/>
    </row>
    <row r="849" ht="16" customHeight="1" s="55">
      <c r="A849" s="86" t="inlineStr">
        <is>
          <t>Research on Retinal Screening and Recognition Algorithm Based on Deep Convolutional Network</t>
        </is>
      </c>
      <c r="B849" s="86" t="inlineStr">
        <is>
          <t>L. Wei</t>
        </is>
      </c>
      <c r="C849" s="86" t="n">
        <v>2024</v>
      </c>
      <c r="D849" s="5" t="inlineStr">
        <is>
          <t>Outcome not related to interest</t>
        </is>
      </c>
      <c r="E849" s="86" t="n"/>
      <c r="F849" s="86" t="n"/>
    </row>
    <row r="850" ht="16" customHeight="1" s="55">
      <c r="A850" s="86" t="inlineStr">
        <is>
          <t>Multi-Branching Temporal Convolutional Network With Tensor Data Completion for Diabetic Retinopathy Prediction</t>
        </is>
      </c>
      <c r="B850" s="86" t="inlineStr">
        <is>
          <t>Z. Wang; S. Chen; T. Liu; B. Yao</t>
        </is>
      </c>
      <c r="C850" s="86" t="n">
        <v>2024</v>
      </c>
      <c r="D850" s="5" t="inlineStr">
        <is>
          <t>Outcome not related to interest</t>
        </is>
      </c>
      <c r="E850" s="86" t="n"/>
      <c r="F850" s="86" t="n"/>
    </row>
    <row r="851" ht="16" customHeight="1" s="55">
      <c r="A851" s="86" t="inlineStr">
        <is>
          <t>Hybrid Explainable Framework for Diabetic Retinopathy Classification from Fundus Images</t>
        </is>
      </c>
      <c r="B851" s="86" t="inlineStr">
        <is>
          <t>E. N. Volkov; A. N. Averkin</t>
        </is>
      </c>
      <c r="C851" s="86" t="n">
        <v>2024</v>
      </c>
      <c r="D851" s="5" t="inlineStr">
        <is>
          <t>Outcome not related to interest</t>
        </is>
      </c>
      <c r="E851" s="86" t="n"/>
      <c r="F851" s="86" t="n"/>
    </row>
    <row r="852" ht="16" customHeight="1" s="55">
      <c r="A852" s="86" t="inlineStr">
        <is>
          <t>Diabetic Retinopathy Classification by Enhanced Image Filtration Techniques Using Deep Learning</t>
        </is>
      </c>
      <c r="B852" s="86" t="inlineStr">
        <is>
          <t>C. S. Vishwanath; K. L. Divya; A. Vamsika; B. S. Murali; B. Dinesh</t>
        </is>
      </c>
      <c r="C852" s="86" t="n">
        <v>2024</v>
      </c>
      <c r="D852" s="5" t="inlineStr">
        <is>
          <t>Outcome not related to interest</t>
        </is>
      </c>
      <c r="E852" s="86" t="n"/>
      <c r="F852" s="86" t="n"/>
    </row>
    <row r="853" ht="16" customHeight="1" s="55">
      <c r="A853" s="86" t="inlineStr">
        <is>
          <t>Hybrid Convolutional Neural Network and Support Vector Machine Approaches for Enhanced Retinal Disease Classification</t>
        </is>
      </c>
      <c r="B853" s="86" t="inlineStr">
        <is>
          <t>Vishal; S. Mehta; S. Khurana</t>
        </is>
      </c>
      <c r="C853" s="86" t="n">
        <v>2024</v>
      </c>
      <c r="D853" s="5" t="inlineStr">
        <is>
          <t>Outcome not related to interest</t>
        </is>
      </c>
      <c r="E853" s="86" t="n"/>
      <c r="F853" s="86" t="n"/>
    </row>
    <row r="854" ht="16" customHeight="1" s="55">
      <c r="A854" s="86" t="inlineStr">
        <is>
          <t>Diagnosis of Diabetic Retinopathy Via Classification of Fundus Images Using Deep Learning Methods</t>
        </is>
      </c>
      <c r="B854" s="86" t="inlineStr">
        <is>
          <t>S. Vinothini; S. R; V. S</t>
        </is>
      </c>
      <c r="C854" s="86" t="n">
        <v>2024</v>
      </c>
      <c r="D854" s="5" t="inlineStr">
        <is>
          <t>Outcome not related to interest</t>
        </is>
      </c>
      <c r="E854" s="86" t="n"/>
      <c r="F854" s="86" t="n"/>
    </row>
    <row r="855" ht="16" customHeight="1" s="55">
      <c r="A855" s="86" t="inlineStr">
        <is>
          <t>Visionary AI Enhancing Diabetic Retinopathy Detection through Image Processing</t>
        </is>
      </c>
      <c r="B855" s="86" t="inlineStr">
        <is>
          <t>P. Vinayagam; S. Santhiya; S. N. Kumar; V. D. Kumar</t>
        </is>
      </c>
      <c r="C855" s="86" t="n">
        <v>2024</v>
      </c>
      <c r="D855" s="5" t="inlineStr">
        <is>
          <t>Outcome not related to interest</t>
        </is>
      </c>
      <c r="E855" s="86" t="n"/>
      <c r="F855" s="86" t="n"/>
    </row>
    <row r="856" ht="16" customHeight="1" s="55">
      <c r="A856" s="86" t="inlineStr">
        <is>
          <t>WENN-4: Weighted Ensemble for Enhanced Diabetic Retinopathy Detection</t>
        </is>
      </c>
      <c r="B856" s="86" t="inlineStr">
        <is>
          <t>A. K. Vikram; A. Roy; B. S. Gyanchandani; A. Oza; S. Kumar</t>
        </is>
      </c>
      <c r="C856" s="86" t="n">
        <v>2024</v>
      </c>
      <c r="D856" s="5" t="inlineStr">
        <is>
          <t>Outcome not related to interest</t>
        </is>
      </c>
      <c r="E856" s="86" t="n"/>
      <c r="F856" s="86" t="n"/>
    </row>
    <row r="857" ht="16" customHeight="1" s="55">
      <c r="A857" s="86" t="inlineStr">
        <is>
          <t>Advanced Deep Learning Approaches for Early Detection of Diabetic Retinopathy in Retinal Images</t>
        </is>
      </c>
      <c r="B857" s="86" t="inlineStr">
        <is>
          <t>D. Vetrithangam; G. Pinki; A. Fathima; N. K. Pegada; V. Devi; A. Mukherjee</t>
        </is>
      </c>
      <c r="C857" s="86" t="n">
        <v>2024</v>
      </c>
      <c r="D857" s="5" t="inlineStr">
        <is>
          <t>Outcome not related to interest</t>
        </is>
      </c>
      <c r="E857" s="86" t="n"/>
      <c r="F857" s="86" t="n"/>
    </row>
    <row r="858" ht="16" customHeight="1" s="55">
      <c r="A858" s="86" t="inlineStr">
        <is>
          <t>Efficient Retinal Disease Detection with ResNet-18: A Deep Learning Approach</t>
        </is>
      </c>
      <c r="B858" s="86" t="inlineStr">
        <is>
          <t>G. Verma</t>
        </is>
      </c>
      <c r="C858" s="86" t="n">
        <v>2024</v>
      </c>
      <c r="D858" s="5" t="inlineStr">
        <is>
          <t>Outcome not related to interest</t>
        </is>
      </c>
      <c r="E858" s="86" t="n"/>
      <c r="F858" s="86" t="n"/>
    </row>
    <row r="859" ht="16" customHeight="1" s="55">
      <c r="A859" s="86" t="inlineStr">
        <is>
          <t>Retinal Image Analysis for Disease Classification using Convolutional Neural Networks</t>
        </is>
      </c>
      <c r="B859" s="86" t="inlineStr">
        <is>
          <t>G. Verma</t>
        </is>
      </c>
      <c r="C859" s="86" t="n">
        <v>2024</v>
      </c>
      <c r="D859" s="5" t="inlineStr">
        <is>
          <t>Outcome not related to interest</t>
        </is>
      </c>
      <c r="E859" s="86" t="n"/>
      <c r="F859" s="86" t="n"/>
    </row>
    <row r="860" ht="16" customHeight="1" s="55">
      <c r="A860" s="86" t="inlineStr">
        <is>
          <t>Eye Disease Classification Enhanced by EfficientNetB3: A Deep Learning Approach</t>
        </is>
      </c>
      <c r="B860" s="86" t="inlineStr">
        <is>
          <t>G. Verma</t>
        </is>
      </c>
      <c r="C860" s="86" t="n">
        <v>2024</v>
      </c>
      <c r="D860" s="5" t="inlineStr">
        <is>
          <t>Outcome not related to interest</t>
        </is>
      </c>
      <c r="E860" s="86" t="n"/>
      <c r="F860" s="86" t="n"/>
    </row>
    <row r="861" ht="16" customHeight="1" s="55">
      <c r="A861" s="86" t="inlineStr">
        <is>
          <t>Precision Detection of Diabetic Retinopathy via EfficientNetB3: A Deep Learning Approach</t>
        </is>
      </c>
      <c r="B861" s="86" t="inlineStr">
        <is>
          <t>G. Verma</t>
        </is>
      </c>
      <c r="C861" s="86" t="n">
        <v>2024</v>
      </c>
      <c r="D861" s="5" t="inlineStr">
        <is>
          <t>Outcome not related to interest</t>
        </is>
      </c>
      <c r="E861" s="86" t="n"/>
      <c r="F861" s="86" t="n"/>
    </row>
    <row r="862" ht="16" customHeight="1" s="55">
      <c r="A862" s="86" t="inlineStr">
        <is>
          <t>An Efficient Framework Classification for Diabetic Retinopathy Using MobileNetV2</t>
        </is>
      </c>
      <c r="B862" s="86" t="inlineStr">
        <is>
          <t>J. Venugopal; K. Kathirvelu</t>
        </is>
      </c>
      <c r="C862" s="86" t="n">
        <v>2024</v>
      </c>
      <c r="D862" s="5" t="inlineStr">
        <is>
          <t>Outcome not related to interest</t>
        </is>
      </c>
      <c r="E862" s="86" t="n"/>
      <c r="F862" s="86" t="n"/>
    </row>
    <row r="863" ht="16" customHeight="1" s="55">
      <c r="A863" s="86" t="inlineStr">
        <is>
          <t>Diabetic Retinopathy Identification From Retinal Images With The Use Of A Deep Learning-Based Transfer Training Framework</t>
        </is>
      </c>
      <c r="B863" s="86" t="inlineStr">
        <is>
          <t>J. Venugopal; K. Kathirvelu</t>
        </is>
      </c>
      <c r="C863" s="86" t="n">
        <v>2024</v>
      </c>
      <c r="D863" s="5" t="inlineStr">
        <is>
          <t>Outcome not related to interest</t>
        </is>
      </c>
      <c r="E863" s="86" t="n"/>
      <c r="F863" s="86" t="n"/>
    </row>
    <row r="864" ht="16" customHeight="1" s="55">
      <c r="A864" s="86" t="inlineStr">
        <is>
          <t>Transforming Ophthalmic Diagnosis: A Deep Learning Approach for Accurate Eye Disease Classification</t>
        </is>
      </c>
      <c r="B864" s="86" t="inlineStr">
        <is>
          <t>C. Venkatachalam; K. Manivannan; P. Shah; S. Venkatachalam; R. S. Kumar</t>
        </is>
      </c>
      <c r="C864" s="86" t="n">
        <v>2024</v>
      </c>
      <c r="D864" s="5" t="inlineStr">
        <is>
          <t>Outcome not related to interest</t>
        </is>
      </c>
      <c r="E864" s="86" t="n"/>
      <c r="F864" s="86" t="n"/>
    </row>
    <row r="865" ht="16" customHeight="1" s="55">
      <c r="A865" s="86" t="inlineStr">
        <is>
          <t>OcuVision:CNN powered Analysis of Retinal images for Disease Diagnosis</t>
        </is>
      </c>
      <c r="B865" s="86" t="inlineStr">
        <is>
          <t>Y. Vemparala; N. Manne; S. Katapally; D. J; R. Kolikipogu</t>
        </is>
      </c>
      <c r="C865" s="86" t="n">
        <v>2024</v>
      </c>
      <c r="D865" s="5" t="inlineStr">
        <is>
          <t>Outcome not related to interest</t>
        </is>
      </c>
      <c r="E865" s="86" t="n"/>
      <c r="F865" s="86" t="n"/>
    </row>
    <row r="866" ht="16" customHeight="1" s="55">
      <c r="A866" s="86" t="inlineStr">
        <is>
          <t>Classification of Diabetic Retinopathy Using Improved ResNet-50 Deep Learning Model</t>
        </is>
      </c>
      <c r="B866" s="86" t="inlineStr">
        <is>
          <t>A. Vaish; D. Singh; A. Garg; A. Tiwari; A. Rathore</t>
        </is>
      </c>
      <c r="C866" s="86" t="n">
        <v>2024</v>
      </c>
      <c r="D866" s="5" t="inlineStr">
        <is>
          <t>Outcome not related to interest</t>
        </is>
      </c>
      <c r="E866" s="86" t="n"/>
      <c r="F866" s="86" t="n"/>
    </row>
    <row r="867" ht="16" customHeight="1" s="55">
      <c r="A867" s="86" t="inlineStr">
        <is>
          <t>Early Detection of Diabetic Retinopathy and Glaucoma Using Machine Learning</t>
        </is>
      </c>
      <c r="B867" s="86" t="inlineStr">
        <is>
          <t>V. V. R. P; P. G. R. Pakkala; R. A. T; S. Shetty; A. Bhat; U. Abbas; A. Adhikari; S. Sharma; V. Nayak</t>
        </is>
      </c>
      <c r="C867" s="86" t="n">
        <v>2024</v>
      </c>
      <c r="D867" s="5" t="inlineStr">
        <is>
          <t>Outcome not related to interest</t>
        </is>
      </c>
      <c r="E867" s="86" t="n"/>
      <c r="F867" s="86" t="n"/>
    </row>
    <row r="868" ht="16" customHeight="1" s="55">
      <c r="A868" s="86" t="inlineStr">
        <is>
          <t>AI Based Fundus Image classification Using Bayesian Classifier</t>
        </is>
      </c>
      <c r="B868" s="86" t="inlineStr">
        <is>
          <t>A. Utikar; M. Bongulwar; C. Y. Patil</t>
        </is>
      </c>
      <c r="C868" s="86" t="n">
        <v>2024</v>
      </c>
      <c r="D868" s="5" t="inlineStr">
        <is>
          <t>Outcome not related to interest</t>
        </is>
      </c>
      <c r="E868" s="86" t="n"/>
      <c r="F868" s="86" t="n"/>
    </row>
    <row r="869" ht="16" customHeight="1" s="55">
      <c r="A869" s="86" t="inlineStr">
        <is>
          <t>Deep Learning Analysis for detection of Morphological Features of HR &amp; DR</t>
        </is>
      </c>
      <c r="B869" s="86" t="inlineStr">
        <is>
          <t>A. Utikar; M. Bongulwar; C. Y. Patil</t>
        </is>
      </c>
      <c r="C869" s="86" t="n">
        <v>2024</v>
      </c>
      <c r="D869" s="5" t="inlineStr">
        <is>
          <t>Outcome not related to interest</t>
        </is>
      </c>
      <c r="E869" s="86" t="n"/>
      <c r="F869" s="86" t="n"/>
    </row>
    <row r="870" ht="16" customHeight="1" s="55">
      <c r="A870" s="86" t="inlineStr">
        <is>
          <t>Early Diabetic Retinopathy Severity Level Detection Using EffUNets</t>
        </is>
      </c>
      <c r="B870" s="86" t="inlineStr">
        <is>
          <t>U. Tripathi; M. Singh; A. Mohan; S. K. Tripathy</t>
        </is>
      </c>
      <c r="C870" s="86" t="n">
        <v>2024</v>
      </c>
      <c r="D870" s="5" t="inlineStr">
        <is>
          <t>Outcome not related to interest</t>
        </is>
      </c>
      <c r="E870" s="86" t="n"/>
      <c r="F870" s="86" t="n"/>
    </row>
    <row r="871" ht="16" customHeight="1" s="55">
      <c r="A871" s="86" t="inlineStr">
        <is>
          <t>Enhancing Diabetic Retinopathy Classification: A Fusion of ResNet50 with Attention Mechanism</t>
        </is>
      </c>
      <c r="B871" s="86" t="inlineStr">
        <is>
          <t>M. Touati; L. Nana; F. Benzarti</t>
        </is>
      </c>
      <c r="C871" s="86" t="n">
        <v>2024</v>
      </c>
      <c r="D871" s="5" t="inlineStr">
        <is>
          <t>Outcome not related to interest</t>
        </is>
      </c>
      <c r="E871" s="86" t="n"/>
      <c r="F871" s="86" t="n"/>
    </row>
    <row r="872" ht="16" customHeight="1" s="55">
      <c r="A872" s="86" t="inlineStr">
        <is>
          <t>Exploring Deep Learning Methods for Diabetic Retinopathy Detection and Classification</t>
        </is>
      </c>
      <c r="B872" s="86" t="inlineStr">
        <is>
          <t>M. C. Tomy; C. Malathy</t>
        </is>
      </c>
      <c r="C872" s="86" t="n">
        <v>2024</v>
      </c>
      <c r="D872" s="5" t="inlineStr">
        <is>
          <t>Outcome not related to interest</t>
        </is>
      </c>
      <c r="E872" s="86" t="n"/>
      <c r="F872" s="86" t="n"/>
    </row>
    <row r="873" ht="16" customHeight="1" s="55">
      <c r="A873" s="86" t="inlineStr">
        <is>
          <t>Optimizing Diabetic Retinopathy Detection with Advanced SMOTE-based Data Augmentation</t>
        </is>
      </c>
      <c r="B873" s="86" t="inlineStr">
        <is>
          <t>M. C. Tomy; C. Malathy</t>
        </is>
      </c>
      <c r="C873" s="86" t="n">
        <v>2024</v>
      </c>
      <c r="D873" s="5" t="inlineStr">
        <is>
          <t>Outcome not related to interest</t>
        </is>
      </c>
      <c r="E873" s="86" t="n"/>
      <c r="F873" s="86" t="n"/>
    </row>
    <row r="874" ht="16" customHeight="1" s="55">
      <c r="A874" s="86" t="inlineStr">
        <is>
          <t>Ensemble Deep Learning for DR Identification: Integrating DenseNet121 and VGG19 Architectures</t>
        </is>
      </c>
      <c r="B874" s="86" t="inlineStr">
        <is>
          <t>S. Tiwari; A. Shukla</t>
        </is>
      </c>
      <c r="C874" s="86" t="n">
        <v>2024</v>
      </c>
      <c r="D874" s="5" t="inlineStr">
        <is>
          <t>Outcome not related to interest</t>
        </is>
      </c>
      <c r="E874" s="86" t="n"/>
      <c r="F874" s="86" t="n"/>
    </row>
    <row r="875" ht="16" customHeight="1" s="55">
      <c r="A875" s="86" t="inlineStr">
        <is>
          <t>Integrated Transfer Learning and Nature-Inspired Optimization for Enhanced Feature Extraction in Diabetic Retinopathy Image Analysis</t>
        </is>
      </c>
      <c r="B875" s="86" t="inlineStr">
        <is>
          <t>R. G. Tiwari; A. Kumar</t>
        </is>
      </c>
      <c r="C875" s="86" t="n">
        <v>2024</v>
      </c>
      <c r="D875" s="5" t="inlineStr">
        <is>
          <t>Outcome not related to interest</t>
        </is>
      </c>
      <c r="E875" s="86" t="n"/>
      <c r="F875" s="86" t="n"/>
    </row>
    <row r="876" ht="16" customHeight="1" s="55">
      <c r="A876" s="86" t="inlineStr">
        <is>
          <t>The Combination Between Deep Learning and Ensemble Stacking for a Fast and Accurate Detection of Diabetic Retinopathy Using Fundus Images</t>
        </is>
      </c>
      <c r="B876" s="86" t="inlineStr">
        <is>
          <t>A. Tibari; M. Ridouani</t>
        </is>
      </c>
      <c r="C876" s="86" t="n">
        <v>2024</v>
      </c>
      <c r="D876" s="5" t="inlineStr">
        <is>
          <t>Outcome not related to interest</t>
        </is>
      </c>
      <c r="E876" s="86" t="n"/>
      <c r="F876" s="86" t="n"/>
    </row>
    <row r="877" ht="16" customHeight="1" s="55">
      <c r="A877" s="86" t="inlineStr">
        <is>
          <t>Deep Learning Models for Diabetic Retinopathy Detection: A Comparative Study</t>
        </is>
      </c>
      <c r="B877" s="86" t="inlineStr">
        <is>
          <t>M. Thakuria; Y. Zhuang</t>
        </is>
      </c>
      <c r="C877" s="86" t="n">
        <v>2024</v>
      </c>
      <c r="D877" s="5" t="inlineStr">
        <is>
          <t>Outcome not related to interest</t>
        </is>
      </c>
      <c r="E877" s="86" t="n"/>
      <c r="F877" s="86" t="n"/>
    </row>
    <row r="878" ht="16" customHeight="1" s="55">
      <c r="A878" s="86" t="inlineStr">
        <is>
          <t>Diabetic Retinopathy Detection using Convolutional Neural Networks on Retinal Fundus Imaging</t>
        </is>
      </c>
      <c r="B878" s="86" t="inlineStr">
        <is>
          <t>S. M. Tedjojuwono</t>
        </is>
      </c>
      <c r="C878" s="86" t="n">
        <v>2024</v>
      </c>
      <c r="D878" s="5" t="inlineStr">
        <is>
          <t>Outcome not related to interest</t>
        </is>
      </c>
      <c r="E878" s="86" t="n"/>
      <c r="F878" s="86" t="n"/>
    </row>
    <row r="879" ht="16" customHeight="1" s="55">
      <c r="A879" s="86" t="inlineStr">
        <is>
          <t>Effective Diabetic Retinopathy Classification With Siamese Neural Network: A Strategy for Small Dataset Challenges</t>
        </is>
      </c>
      <c r="B879" s="86" t="inlineStr">
        <is>
          <t>M. Tariq; V. Palade; Y. Ma</t>
        </is>
      </c>
      <c r="C879" s="86" t="n">
        <v>2024</v>
      </c>
      <c r="D879" s="5" t="inlineStr">
        <is>
          <t>Outcome not related to interest</t>
        </is>
      </c>
      <c r="E879" s="86" t="n"/>
      <c r="F879" s="86" t="n"/>
    </row>
    <row r="880" ht="16" customHeight="1" s="55">
      <c r="A880" s="86" t="inlineStr">
        <is>
          <t>Automated Denoising of Diabetic Retinopathy Images for Enhanced Medical Diagnosis</t>
        </is>
      </c>
      <c r="B880" s="86" t="inlineStr">
        <is>
          <t>G. V. Suresh; G. P. N. P. Sri; K. S. Angidi; T. S. Dheeraj; G. N. V. Snehitha</t>
        </is>
      </c>
      <c r="C880" s="86" t="n">
        <v>2024</v>
      </c>
      <c r="D880" s="5" t="inlineStr">
        <is>
          <t>Outcome not related to interest</t>
        </is>
      </c>
      <c r="E880" s="86" t="n"/>
      <c r="F880" s="86" t="n"/>
    </row>
    <row r="881" ht="16" customHeight="1" s="55">
      <c r="A881" s="86" t="inlineStr">
        <is>
          <t>Comparative Analysis Of Deep Learning Architectures For The Classification Of Eye-Related Diseases</t>
        </is>
      </c>
      <c r="B881" s="86" t="inlineStr">
        <is>
          <t>M. A. Sultan; E. R. Kaburuan; F. Rasool; M. H. Suwito</t>
        </is>
      </c>
      <c r="C881" s="86" t="n">
        <v>2024</v>
      </c>
      <c r="D881" s="5" t="inlineStr">
        <is>
          <t>Outcome not related to interest</t>
        </is>
      </c>
      <c r="E881" s="86" t="n"/>
      <c r="F881" s="86" t="n"/>
    </row>
    <row r="882" ht="16" customHeight="1" s="55">
      <c r="A882" s="86" t="inlineStr">
        <is>
          <t>Improving Clinical Predictions with Multi-Modal Pre-training in Retinal Imaging</t>
        </is>
      </c>
      <c r="B882" s="86" t="inlineStr">
        <is>
          <t>E. Sükei; E. Rumetshofer; N. Schmidinger; A. Mayr; U. Schmidt-Erfurth; G. Klambauer; H. Bogunović</t>
        </is>
      </c>
      <c r="C882" s="86" t="n">
        <v>2024</v>
      </c>
      <c r="D882" s="5" t="inlineStr">
        <is>
          <t>Outcome not related to interest</t>
        </is>
      </c>
      <c r="E882" s="86" t="n"/>
      <c r="F882" s="86" t="n"/>
    </row>
    <row r="883" ht="16" customHeight="1" s="55">
      <c r="A883" s="86" t="inlineStr">
        <is>
          <t>Skill Adam Optimization based Deep Spiking Neural Network for Retinal Multi Disease Classification in Fundus Images</t>
        </is>
      </c>
      <c r="B883" s="86" t="inlineStr">
        <is>
          <t>N. M. Suganthi; M. Arun</t>
        </is>
      </c>
      <c r="C883" s="86" t="n">
        <v>2024</v>
      </c>
      <c r="D883" s="5" t="inlineStr">
        <is>
          <t>Outcome not related to interest</t>
        </is>
      </c>
      <c r="E883" s="86" t="n"/>
      <c r="F883" s="86" t="n"/>
    </row>
    <row r="884" ht="16" customHeight="1" s="55">
      <c r="A884" s="86" t="inlineStr">
        <is>
          <t>Deep Learning Framework Design for Diabetic Retinopathy Abnormalities Classification</t>
        </is>
      </c>
      <c r="B884" s="86" t="inlineStr">
        <is>
          <t>M. Sood; S. Jain; C. Bhardwaj</t>
        </is>
      </c>
      <c r="C884" s="86" t="n">
        <v>2024</v>
      </c>
      <c r="D884" s="5" t="inlineStr">
        <is>
          <t>Outcome not related to interest</t>
        </is>
      </c>
      <c r="E884" s="86" t="n"/>
      <c r="F884" s="86" t="n"/>
    </row>
    <row r="885" ht="16" customHeight="1" s="55">
      <c r="A885" s="86" t="inlineStr">
        <is>
          <t>Early Detection and Classification of Diabetic Retinopathy through Analysis of Retinal Medical Images Using Deep Learning</t>
        </is>
      </c>
      <c r="B885" s="86" t="inlineStr">
        <is>
          <t>Y. Siyah; K. Minaoui; F. Z. E. Biach; S. Saoudi</t>
        </is>
      </c>
      <c r="C885" s="86" t="n">
        <v>2024</v>
      </c>
      <c r="D885" s="5" t="inlineStr">
        <is>
          <t>Outcome not related to interest</t>
        </is>
      </c>
      <c r="E885" s="86" t="n"/>
      <c r="F885" s="86" t="n"/>
    </row>
    <row r="886" ht="16" customHeight="1" s="55">
      <c r="A886" s="86" t="inlineStr">
        <is>
          <t>A Dynamic Deep Learning Model for Detection and Stage Categorization of Diabetic Retinopathy on Retinal Images</t>
        </is>
      </c>
      <c r="B886" s="86" t="inlineStr">
        <is>
          <t>L. Sivayamini; C. Venkatesh; B. Chalivendula; G. H. P. Annadanam; A. Kanaganipalli; C. S. Mogili</t>
        </is>
      </c>
      <c r="C886" s="86" t="n">
        <v>2024</v>
      </c>
      <c r="D886" s="5" t="inlineStr">
        <is>
          <t>Outcome not related to interest</t>
        </is>
      </c>
      <c r="E886" s="86" t="n"/>
      <c r="F886" s="86" t="n"/>
    </row>
    <row r="887" ht="16" customHeight="1" s="55">
      <c r="A887" s="86" t="inlineStr">
        <is>
          <t>Diagnosis of Retinal Diseases with Fundus Images Using Deep Learning Method</t>
        </is>
      </c>
      <c r="B887" s="86" t="inlineStr">
        <is>
          <t>G. Sivapriya; P. Gowri; V. Praveen; P. Sendhuraharish; C. Vasanthakumar; S. Yogesh</t>
        </is>
      </c>
      <c r="C887" s="86" t="n">
        <v>2024</v>
      </c>
      <c r="D887" s="5" t="inlineStr">
        <is>
          <t>Outcome not related to interest</t>
        </is>
      </c>
      <c r="E887" s="86" t="n"/>
      <c r="F887" s="86" t="n"/>
    </row>
    <row r="888" ht="16" customHeight="1" s="55">
      <c r="A888" s="86" t="inlineStr">
        <is>
          <t>Vision Transformer Approaches for Diabetic Retinopathy</t>
        </is>
      </c>
      <c r="B888" s="86" t="inlineStr">
        <is>
          <t>S. Sivakumar; P. L. Kumar; G. N. Reddy; B. Anandaraj; T. R. Kumar; P. Palanisamy</t>
        </is>
      </c>
      <c r="C888" s="86" t="n">
        <v>2024</v>
      </c>
      <c r="D888" s="5" t="inlineStr">
        <is>
          <t>Outcome not related to interest</t>
        </is>
      </c>
      <c r="E888" s="86" t="n"/>
      <c r="F888" s="86" t="n"/>
    </row>
    <row r="889" ht="16" customHeight="1" s="55">
      <c r="A889" s="86" t="inlineStr">
        <is>
          <t>Vision AI: Enhancing Ophthalmic Care with Advanced Detection Technologies</t>
        </is>
      </c>
      <c r="B889" s="86" t="inlineStr">
        <is>
          <t>S. M. K. S. Siriwardana; S. N. W. Gunasekara; W. U. Piyumantha; S. P. Thilakaratne; D. R. Wijendra; D. I. d. Silva</t>
        </is>
      </c>
      <c r="C889" s="86" t="n">
        <v>2024</v>
      </c>
      <c r="D889" s="5" t="inlineStr">
        <is>
          <t>Outcome not related to interest</t>
        </is>
      </c>
      <c r="E889" s="86" t="n"/>
      <c r="F889" s="86" t="n"/>
    </row>
    <row r="890" ht="16" customHeight="1" s="55">
      <c r="A890" s="86" t="inlineStr">
        <is>
          <t>Diabetic Retinopathy Diagnosis using VGG-19 Deep Learning Model</t>
        </is>
      </c>
      <c r="B890" s="86" t="inlineStr">
        <is>
          <t>S. Singla; R. Gupta</t>
        </is>
      </c>
      <c r="C890" s="86" t="n">
        <v>2024</v>
      </c>
      <c r="D890" s="5" t="inlineStr">
        <is>
          <t>Outcome not related to interest</t>
        </is>
      </c>
      <c r="E890" s="86" t="n"/>
      <c r="F890" s="86" t="n"/>
    </row>
    <row r="891" ht="16" customHeight="1" s="55">
      <c r="A891" s="86" t="inlineStr">
        <is>
          <t>Optimizing Ocular Disease Detection: A Deep Learning Approach with VGG19 and InceptionV3</t>
        </is>
      </c>
      <c r="B891" s="86" t="inlineStr">
        <is>
          <t>P. Singh; T. Hasija; K. R. Ramkumar</t>
        </is>
      </c>
      <c r="C891" s="86" t="n">
        <v>2024</v>
      </c>
      <c r="D891" s="5" t="inlineStr">
        <is>
          <t>Outcome not related to interest</t>
        </is>
      </c>
      <c r="E891" s="86" t="n"/>
      <c r="F891" s="86" t="n"/>
    </row>
    <row r="892" ht="16" customHeight="1" s="55">
      <c r="A892" s="86" t="inlineStr">
        <is>
          <t>Enhanced Diagnostic Performance in Ophthalmology: A Comparative Assessment of VGG19 and EfficientNetB3</t>
        </is>
      </c>
      <c r="B892" s="86" t="inlineStr">
        <is>
          <t>P. Singh; T. Hasija; K. Ramkumar</t>
        </is>
      </c>
      <c r="C892" s="86" t="n">
        <v>2024</v>
      </c>
      <c r="D892" s="5" t="inlineStr">
        <is>
          <t>Outcome not related to interest</t>
        </is>
      </c>
      <c r="E892" s="86" t="n"/>
      <c r="F892" s="86" t="n"/>
    </row>
    <row r="893" ht="16" customHeight="1" s="55">
      <c r="A893" s="86" t="inlineStr">
        <is>
          <t>Enhanced Diagnosis of Diabetic Retinopathy Utilizing Convolutional Neural Networks: A Deep Learning Approach</t>
        </is>
      </c>
      <c r="B893" s="86" t="inlineStr">
        <is>
          <t>N. Singh; R. Srivastava; H. F. Mahdi; S. Sati; P. Joshi; A. Sar; D. Singh; T. Choudhury</t>
        </is>
      </c>
      <c r="C893" s="86" t="n">
        <v>2024</v>
      </c>
      <c r="D893" s="5" t="inlineStr">
        <is>
          <t>Outcome not related to interest</t>
        </is>
      </c>
      <c r="E893" s="86" t="n"/>
      <c r="F893" s="86" t="n"/>
    </row>
    <row r="894" ht="16" customHeight="1" s="55">
      <c r="A894" s="86" t="inlineStr">
        <is>
          <t>Early Detection of Diabetic Retinopathy Using Enhanced Transfer Learning Techniques</t>
        </is>
      </c>
      <c r="B894" s="86" t="inlineStr">
        <is>
          <t>N. Singh; N. Singh; D. Mishra</t>
        </is>
      </c>
      <c r="C894" s="86" t="n">
        <v>2024</v>
      </c>
      <c r="D894" s="5" t="inlineStr">
        <is>
          <t>Outcome not related to interest</t>
        </is>
      </c>
      <c r="E894" s="86" t="n"/>
      <c r="F894" s="86" t="n"/>
    </row>
    <row r="895" ht="16" customHeight="1" s="55">
      <c r="A895" s="86" t="inlineStr">
        <is>
          <t>Exploiting EfficientNetB3, InceptionV3, and DenseNet121 for Enhanced Eye Disease Classification</t>
        </is>
      </c>
      <c r="B895" s="86" t="inlineStr">
        <is>
          <t>K. Singh; H. Pant; J. George; K. Kumari; N. Yadav</t>
        </is>
      </c>
      <c r="C895" s="86" t="n">
        <v>2024</v>
      </c>
      <c r="D895" s="5" t="inlineStr">
        <is>
          <t>Outcome not related to interest</t>
        </is>
      </c>
      <c r="E895" s="86" t="n"/>
      <c r="F895" s="86" t="n"/>
    </row>
    <row r="896" ht="16" customHeight="1" s="55">
      <c r="A896" s="86" t="inlineStr">
        <is>
          <t>Data-Sparse Deep Learning for Studying Diabetic Retinopathy Lesions</t>
        </is>
      </c>
      <c r="B896" s="86" t="inlineStr">
        <is>
          <t>D. Singh; N. Bisht; D. C. Dobhal; J. Pant; S. Dhanik</t>
        </is>
      </c>
      <c r="C896" s="86" t="n">
        <v>2024</v>
      </c>
      <c r="D896" s="5" t="inlineStr">
        <is>
          <t>Outcome not related to interest</t>
        </is>
      </c>
      <c r="E896" s="86" t="n"/>
      <c r="F896" s="86" t="n"/>
    </row>
    <row r="897" ht="16" customHeight="1" s="55">
      <c r="A897" s="86" t="inlineStr">
        <is>
          <t>MobileNetV2-SVM Hybrid Model Classification of Diabetic Retinopathy effected Human Eye</t>
        </is>
      </c>
      <c r="B897" s="86" t="inlineStr">
        <is>
          <t>A. R. Singh; G. Singh; N. Saluja; L. Garg</t>
        </is>
      </c>
      <c r="C897" s="86" t="n">
        <v>2024</v>
      </c>
      <c r="D897" s="5" t="inlineStr">
        <is>
          <t>Outcome not related to interest</t>
        </is>
      </c>
      <c r="E897" s="86" t="n"/>
      <c r="F897" s="86" t="n"/>
    </row>
    <row r="898" ht="16" customHeight="1" s="55">
      <c r="A898" s="86" t="inlineStr">
        <is>
          <t>A New Diabetic Retinopathy Classification Approach Based on Normalizer Free Network</t>
        </is>
      </c>
      <c r="B898" s="86" t="inlineStr">
        <is>
          <t>M. C. D. Silva; C. M. Silva; A. G. Matos; S. P. P. D. Silva; R. M. Sarmento; P. P. R. Filho; N. M. M. Nascimento; R. V. C. d. Santiago; C. A. Benevides; C. C. H. Cunha</t>
        </is>
      </c>
      <c r="C898" s="86" t="n">
        <v>2024</v>
      </c>
      <c r="D898" s="5" t="inlineStr">
        <is>
          <t>Outcome not related to interest</t>
        </is>
      </c>
      <c r="E898" s="86" t="n"/>
      <c r="F898" s="86" t="n"/>
    </row>
    <row r="899" ht="16" customHeight="1" s="55">
      <c r="A899" s="86" t="inlineStr">
        <is>
          <t>DenseNet 121 Framework For Automatic Feature Extraction Of Diabetic Retinopathy Images</t>
        </is>
      </c>
      <c r="B899" s="86" t="inlineStr">
        <is>
          <t>S. G. Siddarth; S. Chokkalingam</t>
        </is>
      </c>
      <c r="C899" s="86" t="n">
        <v>2024</v>
      </c>
      <c r="D899" s="5" t="inlineStr">
        <is>
          <t>Outcome not related to interest</t>
        </is>
      </c>
      <c r="E899" s="86" t="n"/>
      <c r="F899" s="86" t="n"/>
    </row>
    <row r="900" ht="16" customHeight="1" s="55">
      <c r="A900" s="86" t="inlineStr">
        <is>
          <t>Bio-inspired Heuristic Optimization-based Cascaded Network for Diabetic Retinopathy Screening</t>
        </is>
      </c>
      <c r="B900" s="86" t="inlineStr">
        <is>
          <t>E. A. Shuvo; W. Rahman; M. S. Hossain; M. T. Islam; M. S. Iqbal</t>
        </is>
      </c>
      <c r="C900" s="86" t="n">
        <v>2024</v>
      </c>
      <c r="D900" s="5" t="inlineStr">
        <is>
          <t>Outcome not related to interest</t>
        </is>
      </c>
      <c r="E900" s="86" t="n"/>
      <c r="F900" s="86" t="n"/>
    </row>
    <row r="901" ht="16" customHeight="1" s="55">
      <c r="A901" s="86" t="inlineStr">
        <is>
          <t>Leveraging the Capabilities of EfficientNetB3 to Classify Eye Diseases with Reliability</t>
        </is>
      </c>
      <c r="B901" s="86" t="inlineStr">
        <is>
          <t>P. Shourie; V. Anand; D. Upadhyay; V. Singh; S. Gupta</t>
        </is>
      </c>
      <c r="C901" s="86" t="n">
        <v>2024</v>
      </c>
      <c r="D901" s="5" t="inlineStr">
        <is>
          <t>Outcome not related to interest</t>
        </is>
      </c>
      <c r="E901" s="86" t="n"/>
      <c r="F901" s="86" t="n"/>
    </row>
    <row r="902" ht="16" customHeight="1" s="55">
      <c r="A902" s="86" t="inlineStr">
        <is>
          <t>An Explainable Artificial Intelligence Strategy for Transparent Deep Learning in the Classification of Eye Diseases</t>
        </is>
      </c>
      <c r="B902" s="86" t="inlineStr">
        <is>
          <t>E. H. Shipra; M. S. Rahman</t>
        </is>
      </c>
      <c r="C902" s="86" t="n">
        <v>2024</v>
      </c>
      <c r="D902" s="5" t="inlineStr">
        <is>
          <t>Outcome not related to interest</t>
        </is>
      </c>
      <c r="E902" s="86" t="n"/>
      <c r="F902" s="86" t="n"/>
    </row>
    <row r="903" ht="16" customHeight="1" s="55">
      <c r="A903" s="86" t="inlineStr">
        <is>
          <t>RetinAI: Beyond Retinal Challenges</t>
        </is>
      </c>
      <c r="B903" s="86" t="inlineStr">
        <is>
          <t>S. Shilaskar; R. Shah; S. Sawarkar; A. Samarth</t>
        </is>
      </c>
      <c r="C903" s="86" t="n">
        <v>2024</v>
      </c>
      <c r="D903" s="5" t="inlineStr">
        <is>
          <t>Outcome not related to interest</t>
        </is>
      </c>
      <c r="E903" s="86" t="n"/>
      <c r="F903" s="86" t="n"/>
    </row>
    <row r="904" ht="16" customHeight="1" s="55">
      <c r="A904" s="86" t="inlineStr">
        <is>
          <t>Unsupervised Registration Network for Fundus Image Mosaicking</t>
        </is>
      </c>
      <c r="B904" s="86" t="inlineStr">
        <is>
          <t>D. Shen; Y. Zhang; S. Zhang; M. Wu</t>
        </is>
      </c>
      <c r="C904" s="86" t="n">
        <v>2024</v>
      </c>
      <c r="D904" s="5" t="inlineStr">
        <is>
          <t>Outcome not related to interest</t>
        </is>
      </c>
      <c r="E904" s="86" t="n"/>
      <c r="F904" s="86" t="n"/>
    </row>
    <row r="905" ht="16" customHeight="1" s="55">
      <c r="A905" s="86" t="inlineStr">
        <is>
          <t>Prediction of Diabetic Eye Disease in Type 2 Diabetes Using Hybridization of Deep Neural Network-Based Approaches</t>
        </is>
      </c>
      <c r="B905" s="86" t="inlineStr">
        <is>
          <t>P. Sharma; A. K. Sandhu</t>
        </is>
      </c>
      <c r="C905" s="86" t="n">
        <v>2024</v>
      </c>
      <c r="D905" s="5" t="inlineStr">
        <is>
          <t>Outcome not related to interest</t>
        </is>
      </c>
      <c r="E905" s="86" t="n"/>
      <c r="F905" s="86" t="n"/>
    </row>
    <row r="906" ht="16" customHeight="1" s="55">
      <c r="A906" s="86" t="inlineStr">
        <is>
          <t>Analysis of Eye Disease classification by Fundus Images using Different Machine/Deep/Transfer Learning Techniques</t>
        </is>
      </c>
      <c r="B906" s="86" t="inlineStr">
        <is>
          <t>H. Sharma; J. Wasim; P. Sharma</t>
        </is>
      </c>
      <c r="C906" s="86" t="n">
        <v>2024</v>
      </c>
      <c r="D906" s="5" t="inlineStr">
        <is>
          <t>Outcome not related to interest</t>
        </is>
      </c>
      <c r="E906" s="86" t="n"/>
      <c r="F906" s="86" t="n"/>
    </row>
    <row r="907" ht="16" customHeight="1" s="55">
      <c r="A907" s="86" t="inlineStr">
        <is>
          <t>Multiclass Identification and Classification of Diabetic Retinopathy using Transfer Learning: A Comprehensive Approach for Enhanced Diagnostic</t>
        </is>
      </c>
      <c r="B907" s="86" t="inlineStr">
        <is>
          <t>G. Sharma; V. Anand; R. Chauhan; H. S. Pokhariya; S. Gupta; G. Sunil</t>
        </is>
      </c>
      <c r="C907" s="86" t="n">
        <v>2024</v>
      </c>
      <c r="D907" s="5" t="inlineStr">
        <is>
          <t>Outcome not related to interest</t>
        </is>
      </c>
      <c r="E907" s="86" t="n"/>
      <c r="F907" s="86" t="n"/>
    </row>
    <row r="908" ht="16" customHeight="1" s="55">
      <c r="A908" s="86" t="inlineStr">
        <is>
          <t>Deep Learning-Based Ocular Disease Screening: Comparative Performance of CNN and VGG19</t>
        </is>
      </c>
      <c r="B908" s="86" t="inlineStr">
        <is>
          <t>A. Sharma; S. Mittal</t>
        </is>
      </c>
      <c r="C908" s="86" t="n">
        <v>2024</v>
      </c>
      <c r="D908" s="5" t="inlineStr">
        <is>
          <t>Outcome not related to interest</t>
        </is>
      </c>
      <c r="E908" s="86" t="n"/>
      <c r="F908" s="86" t="n"/>
    </row>
    <row r="909" ht="16" customHeight="1" s="55">
      <c r="A909" s="86" t="inlineStr">
        <is>
          <t>Diabetic Retinopathy Detection</t>
        </is>
      </c>
      <c r="B909" s="86" t="inlineStr">
        <is>
          <t>S. Sharanya; A. V. Rai; S. Vedanth</t>
        </is>
      </c>
      <c r="C909" s="86" t="n">
        <v>2024</v>
      </c>
      <c r="D909" s="5" t="inlineStr">
        <is>
          <t>Outcome not related to interest</t>
        </is>
      </c>
      <c r="E909" s="86" t="n"/>
      <c r="F909" s="86" t="n"/>
    </row>
    <row r="910" ht="16" customHeight="1" s="55">
      <c r="A910" s="86" t="inlineStr">
        <is>
          <t>AI-Driven Early Prediction Of Eye Disorder</t>
        </is>
      </c>
      <c r="B910" s="86" t="inlineStr">
        <is>
          <t>S. Shailendra; A. Megha</t>
        </is>
      </c>
      <c r="C910" s="86" t="n">
        <v>2024</v>
      </c>
      <c r="D910" s="5" t="inlineStr">
        <is>
          <t>Outcome not related to interest</t>
        </is>
      </c>
      <c r="E910" s="86" t="n"/>
      <c r="F910" s="86" t="n"/>
    </row>
    <row r="911" ht="16" customHeight="1" s="55">
      <c r="A911" s="86" t="inlineStr">
        <is>
          <t>Developing a Transparent Diagnosis Model for Diabetic Retinopathy Using Explainable AI</t>
        </is>
      </c>
      <c r="B911" s="86" t="inlineStr">
        <is>
          <t>T. Shahzad; M. Saleem; M. S. Farooq; S. Abbas; M. A. Khan; K. Ouahada</t>
        </is>
      </c>
      <c r="C911" s="86" t="n">
        <v>2024</v>
      </c>
      <c r="D911" s="5" t="inlineStr">
        <is>
          <t>Outcome not related to interest</t>
        </is>
      </c>
      <c r="E911" s="86" t="n"/>
      <c r="F911" s="86" t="n"/>
    </row>
    <row r="912" ht="16" customHeight="1" s="55">
      <c r="A912" s="86" t="inlineStr">
        <is>
          <t>Hi-Le and HiTCLe: Ensemble Learning Approaches for Early Diabetes Detection Using Deep Learning and Explainable Artificial Intelligence</t>
        </is>
      </c>
      <c r="B912" s="86" t="inlineStr">
        <is>
          <t>I. Shaheen; N. Javaid; N. Alrajeh; Y. Asim; S. Aslam</t>
        </is>
      </c>
      <c r="C912" s="86" t="n">
        <v>2024</v>
      </c>
      <c r="D912" s="5" t="inlineStr">
        <is>
          <t>Outcome not related to interest</t>
        </is>
      </c>
      <c r="E912" s="86" t="n"/>
      <c r="F912" s="86" t="n"/>
    </row>
    <row r="913" ht="16" customHeight="1" s="55">
      <c r="A913" s="86" t="inlineStr">
        <is>
          <t>Diabetic Retinopathy Lesions Severity Identification Using a Hybrid Dense-Gated 3D-UNet</t>
        </is>
      </c>
      <c r="B913" s="86" t="inlineStr">
        <is>
          <t>S. B. Shaheema; V. P. Kolanchinathan; S. Rajalakshmi; G. G; S. B. Mohan; J. Jasper</t>
        </is>
      </c>
      <c r="C913" s="86" t="n">
        <v>2024</v>
      </c>
      <c r="D913" s="5" t="inlineStr">
        <is>
          <t>Outcome not related to interest</t>
        </is>
      </c>
      <c r="E913" s="86" t="n"/>
      <c r="F913" s="86" t="n"/>
    </row>
    <row r="914" ht="16" customHeight="1" s="55">
      <c r="A914" s="86" t="inlineStr">
        <is>
          <t>Predictive Analytics for Diabetes and Diabetic Retinopathy Using Deep Learning on Fundus Images</t>
        </is>
      </c>
      <c r="B914" s="86" t="inlineStr">
        <is>
          <t>K. Shah; Y. G. K; D. Sudha; J. S. K</t>
        </is>
      </c>
      <c r="C914" s="86" t="n">
        <v>2024</v>
      </c>
      <c r="D914" s="5" t="inlineStr">
        <is>
          <t>Outcome not related to interest</t>
        </is>
      </c>
      <c r="E914" s="86" t="n"/>
      <c r="F914" s="86" t="n"/>
    </row>
    <row r="915" ht="16" customHeight="1" s="55">
      <c r="A915" s="86" t="inlineStr">
        <is>
          <t>DualEye-FeatureNet: A Dual-Stream Feature Transfer Framework for Multi-Modal Ophthalmic Image Classification</t>
        </is>
      </c>
      <c r="B915" s="86" t="inlineStr">
        <is>
          <t>M. Shafiq; Q. Fan; F. H. Alghamedy; W. J. Obidallah</t>
        </is>
      </c>
      <c r="C915" s="86" t="n">
        <v>2024</v>
      </c>
      <c r="D915" s="5" t="inlineStr">
        <is>
          <t>Outcome not related to interest</t>
        </is>
      </c>
      <c r="E915" s="86" t="n"/>
      <c r="F915" s="86" t="n"/>
    </row>
    <row r="916" ht="16" customHeight="1" s="55">
      <c r="A916" s="86" t="inlineStr">
        <is>
          <t>Enhancing Diabetic Retinopathy Detection Through Transformer Based Knowledge Distillation and Explainable AI</t>
        </is>
      </c>
      <c r="B916" s="86" t="inlineStr">
        <is>
          <t>A. A. Shafi; M. H. Shawon; N. Shahid; R. Rahman; R. Khan</t>
        </is>
      </c>
      <c r="C916" s="86" t="n">
        <v>2024</v>
      </c>
      <c r="D916" s="5" t="inlineStr">
        <is>
          <t>Outcome not related to interest</t>
        </is>
      </c>
      <c r="E916" s="86" t="n"/>
      <c r="F916" s="86" t="n"/>
    </row>
    <row r="917" ht="16" customHeight="1" s="55">
      <c r="A917" s="86" t="inlineStr">
        <is>
          <t>Optic Vision: Modified U-Net Techniques for Detecting Diabetic Retinopathy through Segmentation of Exudates</t>
        </is>
      </c>
      <c r="B917" s="86" t="inlineStr">
        <is>
          <t>N. Sewal; I. Kashyap; C. Virmani</t>
        </is>
      </c>
      <c r="C917" s="86" t="n">
        <v>2024</v>
      </c>
      <c r="D917" s="5" t="inlineStr">
        <is>
          <t>Outcome not related to interest</t>
        </is>
      </c>
      <c r="E917" s="86" t="n"/>
      <c r="F917" s="86" t="n"/>
    </row>
    <row r="918" ht="16" customHeight="1" s="55">
      <c r="A918" s="86" t="inlineStr">
        <is>
          <t>Accuracy Improvement in Diabetic Retinopathy Detection Using Machine Learning</t>
        </is>
      </c>
      <c r="B918" s="86" t="inlineStr">
        <is>
          <t>A. Senthilselvi; V. Rajamenaga; J. P; P. Ashwath; P. Abarajitha; S. S. Pandi</t>
        </is>
      </c>
      <c r="C918" s="86" t="n">
        <v>2024</v>
      </c>
      <c r="D918" s="5" t="inlineStr">
        <is>
          <t>Outcome not related to interest</t>
        </is>
      </c>
      <c r="E918" s="86" t="n"/>
      <c r="F918" s="86" t="n"/>
    </row>
    <row r="919" ht="16" customHeight="1" s="55">
      <c r="A919" s="86" t="inlineStr">
        <is>
          <t>Diabetic Retinopathy Identification Using Optimized Deep CNN Classifier</t>
        </is>
      </c>
      <c r="B919" s="86" t="inlineStr">
        <is>
          <t>A. Senapati; H. K. Tripathy</t>
        </is>
      </c>
      <c r="C919" s="86" t="n">
        <v>2024</v>
      </c>
      <c r="D919" s="5" t="inlineStr">
        <is>
          <t>Outcome not related to interest</t>
        </is>
      </c>
      <c r="E919" s="86" t="n"/>
      <c r="F919" s="86" t="n"/>
    </row>
    <row r="920" ht="16" customHeight="1" s="55">
      <c r="A920" s="86" t="inlineStr">
        <is>
          <t>Enhancing Eye Health Diagnosis through Deep Transfer Learning: Unveiling Insights from Low Quality Fundus Images</t>
        </is>
      </c>
      <c r="B920" s="86" t="inlineStr">
        <is>
          <t>R. Sathishkumar; T. Karthikeyan; P. P. Kumar; C. Rengarajan; A. Tharagesh; M. Govindarajan</t>
        </is>
      </c>
      <c r="C920" s="86" t="n">
        <v>2024</v>
      </c>
      <c r="D920" s="5" t="inlineStr">
        <is>
          <t>Outcome not related to interest</t>
        </is>
      </c>
      <c r="E920" s="86" t="n"/>
      <c r="F920" s="86" t="n"/>
    </row>
    <row r="921" ht="16" customHeight="1" s="55">
      <c r="A921" s="86" t="inlineStr">
        <is>
          <t>Convolutional Vision Transformer Based Automatic Grading of Diabetic Retinopathy Images</t>
        </is>
      </c>
      <c r="B921" s="86" t="inlineStr">
        <is>
          <t>N. Sarnaik; A. Gautam; S. Kushwaha; R. Shanker</t>
        </is>
      </c>
      <c r="C921" s="86" t="n">
        <v>2024</v>
      </c>
      <c r="D921" s="5" t="inlineStr">
        <is>
          <t>Outcome not related to interest</t>
        </is>
      </c>
      <c r="E921" s="86" t="n"/>
      <c r="F921" s="86" t="n"/>
    </row>
    <row r="922" ht="16" customHeight="1" s="55">
      <c r="A922" s="86" t="inlineStr">
        <is>
          <t>Detection and Classification of Retinal Fundus in Diabetic Retinopathy using Modern Artificial Intelligence and Machine Learning Approaches</t>
        </is>
      </c>
      <c r="B922" s="86" t="inlineStr">
        <is>
          <t>D. K. Saritha; B. M. Devi; K. Valisammagari; D. Ganesh</t>
        </is>
      </c>
      <c r="C922" s="86" t="n">
        <v>2024</v>
      </c>
      <c r="D922" s="5" t="inlineStr">
        <is>
          <t>Outcome not related to interest</t>
        </is>
      </c>
      <c r="E922" s="86" t="n"/>
      <c r="F922" s="86" t="n"/>
    </row>
    <row r="923" ht="16" customHeight="1" s="55">
      <c r="A923" s="86" t="inlineStr">
        <is>
          <t>Enhanced Feature Representation of Retinal Fundus Images using Multi-Channel Fusion</t>
        </is>
      </c>
      <c r="B923" s="86" t="inlineStr">
        <is>
          <t>A. Santra; J. Krushi; A. S. Areeckal</t>
        </is>
      </c>
      <c r="C923" s="86" t="n">
        <v>2024</v>
      </c>
      <c r="D923" s="5" t="inlineStr">
        <is>
          <t>Outcome not related to interest</t>
        </is>
      </c>
      <c r="E923" s="86" t="n"/>
      <c r="F923" s="86" t="n"/>
    </row>
    <row r="924" ht="16" customHeight="1" s="55">
      <c r="A924" s="86" t="inlineStr">
        <is>
          <t>Deep-Attention Feature Fusion Network for Automated Diagnosis of Diabetic Retinopathy Using Fundus Photographs</t>
        </is>
      </c>
      <c r="B924" s="86" t="inlineStr">
        <is>
          <t>A. Saleem; M. Sulman; A. Maqsood; S. Bashir; S. Z. Gilani</t>
        </is>
      </c>
      <c r="C924" s="86" t="n">
        <v>2024</v>
      </c>
      <c r="D924" s="5" t="inlineStr">
        <is>
          <t>Outcome not related to interest</t>
        </is>
      </c>
      <c r="E924" s="86" t="n"/>
      <c r="F924" s="86" t="n"/>
    </row>
    <row r="925" ht="16" customHeight="1" s="55">
      <c r="A925" s="86" t="inlineStr">
        <is>
          <t>Enhancing Diabetic Retinopathy Detection: A Reliable Deep Learning Approach</t>
        </is>
      </c>
      <c r="B925" s="86" t="inlineStr">
        <is>
          <t>R. Salagar; P. Bevinamarad; A. Metri; A. Chanagond; A. Patil; V. Gouli</t>
        </is>
      </c>
      <c r="C925" s="86" t="n">
        <v>2024</v>
      </c>
      <c r="D925" s="5" t="inlineStr">
        <is>
          <t>Outcome not related to interest</t>
        </is>
      </c>
      <c r="E925" s="86" t="n"/>
      <c r="F925" s="86" t="n"/>
    </row>
    <row r="926" ht="16" customHeight="1" s="55">
      <c r="A926" s="86" t="inlineStr">
        <is>
          <t>IAOMDR: Improved Aquila Optimized Hybrid deep learning Model for Classification of Diabetic Retinopathy</t>
        </is>
      </c>
      <c r="B926" s="86" t="inlineStr">
        <is>
          <t>B. Saju; S. Barwal; V. Asha; S. Kumar; N. Tressa; T. N</t>
        </is>
      </c>
      <c r="C926" s="86" t="n">
        <v>2024</v>
      </c>
      <c r="D926" s="5" t="inlineStr">
        <is>
          <t>Outcome not related to interest</t>
        </is>
      </c>
      <c r="E926" s="86" t="n"/>
      <c r="F926" s="86" t="n"/>
    </row>
    <row r="927" ht="16" customHeight="1" s="55">
      <c r="A927" s="86" t="inlineStr">
        <is>
          <t>Improved AO based Classification Framework for Eye Diseases</t>
        </is>
      </c>
      <c r="B927" s="86" t="inlineStr">
        <is>
          <t>B. Saju; V. Asha; J. C. Mathew; S. Sangma; S. Ghosh; K. S</t>
        </is>
      </c>
      <c r="C927" s="86" t="n">
        <v>2024</v>
      </c>
      <c r="D927" s="5" t="inlineStr">
        <is>
          <t>Outcome not related to interest</t>
        </is>
      </c>
      <c r="E927" s="86" t="n"/>
      <c r="F927" s="86" t="n"/>
    </row>
    <row r="928" ht="16" customHeight="1" s="55">
      <c r="A928" s="86" t="inlineStr">
        <is>
          <t>Deep Learning Paradigms for Enhanced Diabetic Retinopathy Detection: An In-Depth Analysis of CNN-Based Techniques and Clinical Utility</t>
        </is>
      </c>
      <c r="B928" s="86" t="inlineStr">
        <is>
          <t>A. Saini; P. K. Sharma; G. Jain; A. Shrivastava; A. Rajput; Hardik</t>
        </is>
      </c>
      <c r="C928" s="86" t="n">
        <v>2024</v>
      </c>
      <c r="D928" s="5" t="inlineStr">
        <is>
          <t>Outcome not related to interest</t>
        </is>
      </c>
      <c r="E928" s="86" t="n"/>
      <c r="F928" s="86" t="n"/>
    </row>
    <row r="929" ht="16" customHeight="1" s="55">
      <c r="A929" s="86" t="inlineStr">
        <is>
          <t>EfficientNetB3-Based Model for High-Accuracy Retinal Disease Classification</t>
        </is>
      </c>
      <c r="B929" s="86" t="inlineStr">
        <is>
          <t>A. Saini</t>
        </is>
      </c>
      <c r="C929" s="86" t="n">
        <v>2024</v>
      </c>
      <c r="D929" s="5" t="inlineStr">
        <is>
          <t>Outcome not related to interest</t>
        </is>
      </c>
      <c r="E929" s="86" t="n"/>
      <c r="F929" s="86" t="n"/>
    </row>
    <row r="930" ht="16" customHeight="1" s="55">
      <c r="A930" s="86" t="inlineStr">
        <is>
          <t>Impact of Novel Pre-Processing Techniques on Retinal Images</t>
        </is>
      </c>
      <c r="B930" s="86" t="inlineStr">
        <is>
          <t>D. Sahu; M. Kaur</t>
        </is>
      </c>
      <c r="C930" s="86" t="n">
        <v>2024</v>
      </c>
      <c r="D930" s="5" t="inlineStr">
        <is>
          <t>Outcome not related to interest</t>
        </is>
      </c>
      <c r="E930" s="86" t="n"/>
      <c r="F930" s="86" t="n"/>
    </row>
    <row r="931" ht="16" customHeight="1" s="55">
      <c r="A931" s="86" t="inlineStr">
        <is>
          <t>Diabetic Retinopathy Diagnosis with Image Processing</t>
        </is>
      </c>
      <c r="B931" s="86" t="inlineStr">
        <is>
          <t>M. A. Şahin; Ö. F. Beyca</t>
        </is>
      </c>
      <c r="C931" s="86" t="n">
        <v>2024</v>
      </c>
      <c r="D931" s="5" t="inlineStr">
        <is>
          <t>Outcome not related to interest</t>
        </is>
      </c>
      <c r="E931" s="86" t="n"/>
      <c r="F931" s="86" t="n"/>
    </row>
    <row r="932" ht="16" customHeight="1" s="55">
      <c r="A932" s="86" t="inlineStr">
        <is>
          <t>CDBO_DenseNet: CAViaR Dung Beetle Optimization Enabled Deep Learning for Diabetic Retinopathy Classification</t>
        </is>
      </c>
      <c r="B932" s="86" t="inlineStr">
        <is>
          <t>V. Sagvekar; M. Joshi; M. Ramakrishnan; A. Dudani</t>
        </is>
      </c>
      <c r="C932" s="86" t="n">
        <v>2024</v>
      </c>
      <c r="D932" s="5" t="inlineStr">
        <is>
          <t>Outcome not related to interest</t>
        </is>
      </c>
      <c r="E932" s="86" t="n"/>
      <c r="F932" s="86" t="n"/>
    </row>
    <row r="933" ht="16" customHeight="1" s="55">
      <c r="A933" s="86" t="inlineStr">
        <is>
          <t>Identification of Diabetic Retinopathy by Transfer Learning Based Retinal Images</t>
        </is>
      </c>
      <c r="B933" s="86" t="inlineStr">
        <is>
          <t>S. R. Sagili; C. Goswami; V. C. Bharathi; S. Ananthi; K. Rani; R. Sathya</t>
        </is>
      </c>
      <c r="C933" s="86" t="n">
        <v>2024</v>
      </c>
      <c r="D933" s="5" t="inlineStr">
        <is>
          <t>Outcome not related to interest</t>
        </is>
      </c>
      <c r="E933" s="86" t="n"/>
      <c r="F933" s="86" t="n"/>
    </row>
    <row r="934" ht="16" customHeight="1" s="55">
      <c r="A934" s="86" t="inlineStr">
        <is>
          <t>Diabetic Retinopathy Screening within Unlabeled Dataset Based on Least Squares Cycle-GAN Domain Transfer</t>
        </is>
      </c>
      <c r="B934" s="86" t="inlineStr">
        <is>
          <t>Z. Sadok; M. Akil; R. Kachouri; A. Ahaitouf</t>
        </is>
      </c>
      <c r="C934" s="86" t="n">
        <v>2024</v>
      </c>
      <c r="D934" s="5" t="inlineStr">
        <is>
          <t>Outcome not related to interest</t>
        </is>
      </c>
      <c r="E934" s="86" t="n"/>
      <c r="F934" s="86" t="n"/>
    </row>
    <row r="935" ht="16" customHeight="1" s="55">
      <c r="A935" s="86" t="inlineStr">
        <is>
          <t>AI-Based Detection of Diabetic Retinopathy Severity Levels</t>
        </is>
      </c>
      <c r="B935" s="86" t="inlineStr">
        <is>
          <t>S. Sadhukhan; S. Dhavale</t>
        </is>
      </c>
      <c r="C935" s="86" t="n">
        <v>2024</v>
      </c>
      <c r="D935" s="5" t="inlineStr">
        <is>
          <t>Outcome not related to interest</t>
        </is>
      </c>
      <c r="E935" s="86" t="n"/>
      <c r="F935" s="86" t="n"/>
    </row>
    <row r="936" ht="16" customHeight="1" s="55">
      <c r="A936" s="86" t="inlineStr">
        <is>
          <t>Swarm-Optimized Deep Convolutional Networks for Precise Detection and Grading of Diabetic Retinopathy</t>
        </is>
      </c>
      <c r="B936" s="86" t="inlineStr">
        <is>
          <t>U. Sadhana; T. Singh; M. B. B</t>
        </is>
      </c>
      <c r="C936" s="86" t="n">
        <v>2024</v>
      </c>
      <c r="D936" s="5" t="inlineStr">
        <is>
          <t>Outcome not related to interest</t>
        </is>
      </c>
      <c r="E936" s="86" t="n"/>
      <c r="F936" s="86" t="n"/>
    </row>
    <row r="937" ht="16" customHeight="1" s="55">
      <c r="A937" s="86" t="inlineStr">
        <is>
          <t>A Deep Learning Model for Diagnosing Diabetic Retinopathy Using EfficientNet-B0</t>
        </is>
      </c>
      <c r="B937" s="86" t="inlineStr">
        <is>
          <t>A. S. A; G. L. S; M. M. S; I. J. R</t>
        </is>
      </c>
      <c r="C937" s="86" t="n">
        <v>2024</v>
      </c>
      <c r="D937" s="5" t="inlineStr">
        <is>
          <t>Outcome not related to interest</t>
        </is>
      </c>
      <c r="E937" s="86" t="n"/>
      <c r="F937" s="86" t="n"/>
    </row>
    <row r="938" ht="16" customHeight="1" s="55">
      <c r="A938" s="86" t="inlineStr">
        <is>
          <t>Diagnosis of Diabetic Retinopathy Using Hierarchical Feature Learning and Modified CNN with ACAF</t>
        </is>
      </c>
      <c r="B938" s="86" t="inlineStr">
        <is>
          <t>S. S; G. U. M; B. A. K; M. N; R. A. K; M. K</t>
        </is>
      </c>
      <c r="C938" s="86" t="n">
        <v>2024</v>
      </c>
      <c r="D938" s="5" t="inlineStr">
        <is>
          <t>Outcome not related to interest</t>
        </is>
      </c>
      <c r="E938" s="86" t="n"/>
      <c r="F938" s="86" t="n"/>
    </row>
    <row r="939" ht="16" customHeight="1" s="55">
      <c r="A939" s="86" t="inlineStr">
        <is>
          <t>Enabling Precise Diabetic Retinopathy Severity Prediction through Convolutional Neural Networks</t>
        </is>
      </c>
      <c r="B939" s="86" t="inlineStr">
        <is>
          <t>P. S; T. K. Reddy; S. A; R. P. Singh; S. Kanchan</t>
        </is>
      </c>
      <c r="C939" s="86" t="n">
        <v>2024</v>
      </c>
      <c r="D939" s="5" t="inlineStr">
        <is>
          <t>Outcome not related to interest</t>
        </is>
      </c>
      <c r="E939" s="86" t="n"/>
      <c r="F939" s="86" t="n"/>
    </row>
    <row r="940" ht="16" customHeight="1" s="55">
      <c r="A940" s="86" t="inlineStr">
        <is>
          <t>A Potential Research for Maximizing Predictive Power in Neural Networks through the Integration of Feature Engineering in Diabetes Prediction</t>
        </is>
      </c>
      <c r="B940" s="86" t="inlineStr">
        <is>
          <t>N. S; V. V. R. M. R; R. R. Kurada; S. S. Reddy; N. A; N. L. D</t>
        </is>
      </c>
      <c r="C940" s="86" t="n">
        <v>2024</v>
      </c>
      <c r="D940" s="5" t="inlineStr">
        <is>
          <t>Outcome not related to interest</t>
        </is>
      </c>
      <c r="E940" s="86" t="n"/>
      <c r="F940" s="86" t="n"/>
    </row>
    <row r="941" ht="16" customHeight="1" s="55">
      <c r="A941" s="86" t="inlineStr">
        <is>
          <t>Identification of Early Diabetic Retinopathy Through Outlier Based Skimpy Regularization Fuzzy Clustering with Meta-Cognitive Neural Network</t>
        </is>
      </c>
      <c r="B941" s="86" t="inlineStr">
        <is>
          <t>L. S; S. Thiyagarajan</t>
        </is>
      </c>
      <c r="C941" s="86" t="n">
        <v>2024</v>
      </c>
      <c r="D941" s="5" t="inlineStr">
        <is>
          <t>Outcome not related to interest</t>
        </is>
      </c>
      <c r="E941" s="86" t="n"/>
      <c r="F941" s="86" t="n"/>
    </row>
    <row r="942" ht="16" customHeight="1" s="55">
      <c r="A942" s="86" t="inlineStr">
        <is>
          <t>Exploring the Potential of Deep Learning in Diagnosing Eye Diseases</t>
        </is>
      </c>
      <c r="B942" s="86" t="inlineStr">
        <is>
          <t>R. Roopashree; R. Ghosh; M. M. Gaur</t>
        </is>
      </c>
      <c r="C942" s="86" t="n">
        <v>2024</v>
      </c>
      <c r="D942" s="5" t="inlineStr">
        <is>
          <t>Outcome not related to interest</t>
        </is>
      </c>
      <c r="E942" s="86" t="n"/>
      <c r="F942" s="86" t="n"/>
    </row>
    <row r="943" ht="16" customHeight="1" s="55">
      <c r="A943" s="86" t="inlineStr">
        <is>
          <t>Aria App | LittleOne Edition, an All-in-One Application for Processing Medical Images and Developing U-Net Models</t>
        </is>
      </c>
      <c r="B943" s="86" t="inlineStr">
        <is>
          <t>N. Rez; P. Asvestas</t>
        </is>
      </c>
      <c r="C943" s="86" t="n">
        <v>2024</v>
      </c>
      <c r="D943" s="5" t="inlineStr">
        <is>
          <t>Outcome not related to interest</t>
        </is>
      </c>
      <c r="E943" s="86" t="n"/>
      <c r="F943" s="86" t="n"/>
    </row>
    <row r="944" ht="16" customHeight="1" s="55">
      <c r="A944" s="86" t="inlineStr">
        <is>
          <t>Deep Learning Classification Techniques on Detecting Diabetic Retinopathy Dataset</t>
        </is>
      </c>
      <c r="B944" s="86" t="inlineStr">
        <is>
          <t>B. Revathi; C. Usharani; S. K. K. Elizabeth; P. N; D. Nithya</t>
        </is>
      </c>
      <c r="C944" s="86" t="n">
        <v>2024</v>
      </c>
      <c r="D944" s="5" t="inlineStr">
        <is>
          <t>Outcome not related to interest</t>
        </is>
      </c>
      <c r="E944" s="86" t="n"/>
      <c r="F944" s="86" t="n"/>
    </row>
    <row r="945" ht="16" customHeight="1" s="55">
      <c r="A945" s="86" t="inlineStr">
        <is>
          <t>Parameter-Efficient Diabetic Retinopathy Grading with LoRA-Based Fine-Tuning of Vision Foundational Models</t>
        </is>
      </c>
      <c r="B945" s="86" t="inlineStr">
        <is>
          <t>N. Rehman; A. Khan; Z. U. Rehaman</t>
        </is>
      </c>
      <c r="C945" s="86" t="n">
        <v>2024</v>
      </c>
      <c r="D945" s="5" t="inlineStr">
        <is>
          <t>Outcome not related to interest</t>
        </is>
      </c>
      <c r="E945" s="86" t="n"/>
      <c r="F945" s="86" t="n"/>
    </row>
    <row r="946" ht="16" customHeight="1" s="55">
      <c r="A946" s="86" t="inlineStr">
        <is>
          <t>Non-proliferative Diabetic Retinopathy(NPDR) using Deep learning approach</t>
        </is>
      </c>
      <c r="B946" s="86" t="inlineStr">
        <is>
          <t>A. Reethika; S. Priyadharsini; A. M. Sheetal; T. Nivethitha; N. Kavitha; G. Vijaykumar</t>
        </is>
      </c>
      <c r="C946" s="86" t="n">
        <v>2024</v>
      </c>
      <c r="D946" s="5" t="inlineStr">
        <is>
          <t>Outcome not related to interest</t>
        </is>
      </c>
      <c r="E946" s="86" t="n"/>
      <c r="F946" s="86" t="n"/>
    </row>
    <row r="947" ht="16" customHeight="1" s="55">
      <c r="A947" s="86" t="inlineStr">
        <is>
          <t>Ophthalmic Diseases Detection using CNN: A Comparative Analysis of ResNet and VGG Architectures</t>
        </is>
      </c>
      <c r="B947" s="86" t="inlineStr">
        <is>
          <t>A. A. Razi; Z. Khan; Z. U. Sami; M. M. Khan</t>
        </is>
      </c>
      <c r="C947" s="86" t="n">
        <v>2024</v>
      </c>
      <c r="D947" s="5" t="inlineStr">
        <is>
          <t>Outcome not related to interest</t>
        </is>
      </c>
      <c r="E947" s="86" t="n"/>
      <c r="F947" s="86" t="n"/>
    </row>
    <row r="948" ht="16" customHeight="1" s="55">
      <c r="A948" s="86" t="inlineStr">
        <is>
          <t>Early Detection of Diabetic Retinopathy Using Pretrained Models: A Focus on Initial Stages</t>
        </is>
      </c>
      <c r="B948" s="86" t="inlineStr">
        <is>
          <t>M. A. Raza; M. Dua; K. Berwal</t>
        </is>
      </c>
      <c r="C948" s="86" t="n">
        <v>2024</v>
      </c>
      <c r="D948" s="5" t="inlineStr">
        <is>
          <t>Outcome not related to interest</t>
        </is>
      </c>
      <c r="E948" s="86" t="n"/>
      <c r="F948" s="86" t="n"/>
    </row>
    <row r="949" ht="16" customHeight="1" s="55">
      <c r="A949" s="86" t="inlineStr">
        <is>
          <t>Proliferative Diabetic Retinopathy Detection and Progression Analysis</t>
        </is>
      </c>
      <c r="B949" s="86" t="inlineStr">
        <is>
          <t>D. Rathinasamy; S. Logesh; S. S. G. Varshini; P. Senthilkumari</t>
        </is>
      </c>
      <c r="C949" s="86" t="n">
        <v>2024</v>
      </c>
      <c r="D949" s="5" t="inlineStr">
        <is>
          <t>Outcome not related to interest</t>
        </is>
      </c>
      <c r="E949" s="86" t="n"/>
      <c r="F949" s="86" t="n"/>
    </row>
    <row r="950" ht="16" customHeight="1" s="55">
      <c r="A950" s="86" t="inlineStr">
        <is>
          <t>Analysis of CNN Models for Eye Disease Classification Using Retinal Images</t>
        </is>
      </c>
      <c r="B950" s="86" t="inlineStr">
        <is>
          <t>P. Rastogi; J. Jain; P. Jain; K. Arjun; R. Aggarwal</t>
        </is>
      </c>
      <c r="C950" s="86" t="n">
        <v>2024</v>
      </c>
      <c r="D950" s="5" t="inlineStr">
        <is>
          <t>Outcome not related to interest</t>
        </is>
      </c>
      <c r="E950" s="86" t="n"/>
      <c r="F950" s="86" t="n"/>
    </row>
    <row r="951" ht="16" customHeight="1" s="55">
      <c r="A951" s="86" t="inlineStr">
        <is>
          <t>An Ensemble Performance Comparison of Diabetic Retinopathy Detection Algorithm in Retinal Fundus Images using Different Datasets</t>
        </is>
      </c>
      <c r="B951" s="86" t="inlineStr">
        <is>
          <t>J. V. N. Ramesh; A. K. Rao; S. Narendra; R. Pitchiah; L. T. Ambati; S. J. Basha</t>
        </is>
      </c>
      <c r="C951" s="86" t="n">
        <v>2024</v>
      </c>
      <c r="D951" s="5" t="inlineStr">
        <is>
          <t>Outcome not related to interest</t>
        </is>
      </c>
      <c r="E951" s="86" t="n"/>
      <c r="F951" s="86" t="n"/>
    </row>
    <row r="952" ht="16" customHeight="1" s="55">
      <c r="A952" s="86" t="inlineStr">
        <is>
          <t>Advancements in Diabetic Retinopathy and Cataract Identification Through Deep Learning</t>
        </is>
      </c>
      <c r="B952" s="86" t="inlineStr">
        <is>
          <t>R. Raman; V. Kumar; D. Saini; D. Rabadiya; S. Patre; R. Meenakshi</t>
        </is>
      </c>
      <c r="C952" s="86" t="n">
        <v>2024</v>
      </c>
      <c r="D952" s="5" t="inlineStr">
        <is>
          <t>Outcome not related to interest</t>
        </is>
      </c>
      <c r="E952" s="86" t="n"/>
      <c r="F952" s="86" t="n"/>
    </row>
    <row r="953" ht="16" customHeight="1" s="55">
      <c r="A953" s="86" t="inlineStr">
        <is>
          <t>Detection of Diabetic Retinopathy using the Application of Deep Learning Model</t>
        </is>
      </c>
      <c r="B953" s="86" t="inlineStr">
        <is>
          <t>D. Rakshitha; G. H. Manasa; S. S. Velan; R. D. Gomathi</t>
        </is>
      </c>
      <c r="C953" s="86" t="n">
        <v>2024</v>
      </c>
      <c r="D953" s="5" t="inlineStr">
        <is>
          <t>Outcome not related to interest</t>
        </is>
      </c>
      <c r="E953" s="86" t="n"/>
      <c r="F953" s="86" t="n"/>
    </row>
    <row r="954" ht="16" customHeight="1" s="55">
      <c r="A954" s="86" t="inlineStr">
        <is>
          <t>Brownian-Distribution Algorithm Optimized Efficientnet Features for Normal/Glaucoma Retinal Fundus Image Classification</t>
        </is>
      </c>
      <c r="B954" s="86" t="inlineStr">
        <is>
          <t>V. Rajinikanth; R. Damaševičius; D. Taniar</t>
        </is>
      </c>
      <c r="C954" s="86" t="n">
        <v>2024</v>
      </c>
      <c r="D954" s="5" t="inlineStr">
        <is>
          <t>Outcome not related to interest</t>
        </is>
      </c>
      <c r="E954" s="86" t="n"/>
      <c r="F954" s="86" t="n"/>
    </row>
    <row r="955" ht="16" customHeight="1" s="55">
      <c r="A955" s="86" t="inlineStr">
        <is>
          <t>Automated Multiclass Classification for Ocular Disease Diagnosis Using Deep Learning</t>
        </is>
      </c>
      <c r="B955" s="86" t="inlineStr">
        <is>
          <t>Rajatha; S. Kulkarni</t>
        </is>
      </c>
      <c r="C955" s="86" t="n">
        <v>2024</v>
      </c>
      <c r="D955" s="5" t="inlineStr">
        <is>
          <t>Outcome not related to interest</t>
        </is>
      </c>
      <c r="E955" s="86" t="n"/>
      <c r="F955" s="86" t="n"/>
    </row>
    <row r="956" ht="16" customHeight="1" s="55">
      <c r="A956" s="86" t="inlineStr">
        <is>
          <t>Enhanced Diabetes Detection with Deep Learning: An Iris Image Analysis Approach</t>
        </is>
      </c>
      <c r="B956" s="86" t="inlineStr">
        <is>
          <t>T. S. RajaRajeswari; B. Snehanjali; R. K. Rizwana; B. P. Vardhan</t>
        </is>
      </c>
      <c r="C956" s="86" t="n">
        <v>2024</v>
      </c>
      <c r="D956" s="5" t="inlineStr">
        <is>
          <t>Outcome not related to interest</t>
        </is>
      </c>
      <c r="E956" s="86" t="n"/>
      <c r="F956" s="86" t="n"/>
    </row>
    <row r="957" ht="16" customHeight="1" s="55">
      <c r="A957" s="86" t="inlineStr">
        <is>
          <t>Diabetic Retinopathy Grading Using Multi-Scale Residual Network with Grouped Channel Attention</t>
        </is>
      </c>
      <c r="B957" s="86" t="inlineStr">
        <is>
          <t>R. Rajan; A. Noumida; S. Aparna; V. J. Madhurema; N. Nair; P. Mohan</t>
        </is>
      </c>
      <c r="C957" s="86" t="n">
        <v>2024</v>
      </c>
      <c r="D957" s="5" t="inlineStr">
        <is>
          <t>Outcome not related to interest</t>
        </is>
      </c>
      <c r="E957" s="86" t="n"/>
      <c r="F957" s="86" t="n"/>
    </row>
    <row r="958" ht="16" customHeight="1" s="55">
      <c r="A958" s="86" t="inlineStr">
        <is>
          <t>Federated Learning for Diabetic Retinopathy Diagnosis: Enhancing Accuracy and Generalizability in Under-Resourced Regions</t>
        </is>
      </c>
      <c r="B958" s="86" t="inlineStr">
        <is>
          <t>G. M. Raj; M. G. Morley; M. Eslami</t>
        </is>
      </c>
      <c r="C958" s="86" t="n">
        <v>2024</v>
      </c>
      <c r="D958" s="5" t="inlineStr">
        <is>
          <t>Outcome not related to interest</t>
        </is>
      </c>
      <c r="E958" s="86" t="n"/>
      <c r="F958" s="86" t="n"/>
    </row>
    <row r="959" ht="16" customHeight="1" s="55">
      <c r="A959" s="86" t="inlineStr">
        <is>
          <t>Diabetic Retinopathy Detection using Deep Learning Model ResNet15</t>
        </is>
      </c>
      <c r="B959" s="86" t="inlineStr">
        <is>
          <t>B. K. Rai; H. Ojha; I. Srivastava</t>
        </is>
      </c>
      <c r="C959" s="86" t="n">
        <v>2024</v>
      </c>
      <c r="D959" s="5" t="inlineStr">
        <is>
          <t>Outcome not related to interest</t>
        </is>
      </c>
      <c r="E959" s="86" t="n"/>
      <c r="F959" s="86" t="n"/>
    </row>
    <row r="960" ht="16" customHeight="1" s="55">
      <c r="A960" s="86" t="inlineStr">
        <is>
          <t>Empirical Analysis of Learnable Image Resizer for Large-Scale Medical Image Classification and Segmentation</t>
        </is>
      </c>
      <c r="B960" s="86" t="inlineStr">
        <is>
          <t>M. M. S. Rahman; M. Z. Alom; S. Khan; T. M. Taha</t>
        </is>
      </c>
      <c r="C960" s="86" t="n">
        <v>2024</v>
      </c>
      <c r="D960" s="5" t="inlineStr">
        <is>
          <t>Outcome not related to interest</t>
        </is>
      </c>
      <c r="E960" s="86" t="n"/>
      <c r="F960" s="86" t="n"/>
    </row>
    <row r="961" ht="16" customHeight="1" s="55">
      <c r="A961" s="86" t="inlineStr">
        <is>
          <t>Revolutionizing Diabetic Retinopathy Recognition with Advanced Deep Learning Techniques</t>
        </is>
      </c>
      <c r="B961" s="86" t="inlineStr">
        <is>
          <t>S. R; S. K; U. B; M. Chouksey</t>
        </is>
      </c>
      <c r="C961" s="86" t="n">
        <v>2024</v>
      </c>
      <c r="D961" s="5" t="inlineStr">
        <is>
          <t>Outcome not related to interest</t>
        </is>
      </c>
      <c r="E961" s="86" t="n"/>
      <c r="F961" s="86" t="n"/>
    </row>
    <row r="962" ht="16" customHeight="1" s="55">
      <c r="A962" s="86" t="inlineStr">
        <is>
          <t>A Comprehensive Analysis of Diabetic Retinopathy Using Deep Learning Techniques</t>
        </is>
      </c>
      <c r="B962" s="86" t="inlineStr">
        <is>
          <t>B. R. R; J. V. Krishna</t>
        </is>
      </c>
      <c r="C962" s="86" t="n">
        <v>2024</v>
      </c>
      <c r="D962" s="5" t="inlineStr">
        <is>
          <t>Outcome not related to interest</t>
        </is>
      </c>
      <c r="E962" s="86" t="n"/>
      <c r="F962" s="86" t="n"/>
    </row>
    <row r="963" ht="16" customHeight="1" s="55">
      <c r="A963" s="86" t="inlineStr">
        <is>
          <t>Brain Storm Optimization based Swarm Learning for Diabetic Retinopathy Image Classification</t>
        </is>
      </c>
      <c r="B963" s="86" t="inlineStr">
        <is>
          <t>L. Qu; C. Wang; Y. Shi</t>
        </is>
      </c>
      <c r="C963" s="86" t="n">
        <v>2024</v>
      </c>
      <c r="D963" s="5" t="inlineStr">
        <is>
          <t>Outcome not related to interest</t>
        </is>
      </c>
      <c r="E963" s="86" t="n"/>
      <c r="F963" s="86" t="n"/>
    </row>
    <row r="964" ht="16" customHeight="1" s="55">
      <c r="A964" s="86" t="inlineStr">
        <is>
          <t>Machine Learning for Early Detection of Diabetic Retinopathy: Leveraging DenseNet CNNs</t>
        </is>
      </c>
      <c r="B964" s="86" t="inlineStr">
        <is>
          <t>P. Pravallika; S. S. Begum; P. S. Sree; T. H. Naidu; M. V. L. N. R. Rao</t>
        </is>
      </c>
      <c r="C964" s="86" t="n">
        <v>2024</v>
      </c>
      <c r="D964" s="5" t="inlineStr">
        <is>
          <t>Outcome not related to interest</t>
        </is>
      </c>
      <c r="E964" s="86" t="n"/>
      <c r="F964" s="86" t="n"/>
    </row>
    <row r="965" ht="16" customHeight="1" s="55">
      <c r="A965" s="86" t="inlineStr">
        <is>
          <t>Eye Disease Classification using CNN and Vision Transformers</t>
        </is>
      </c>
      <c r="B965" s="86" t="inlineStr">
        <is>
          <t>G. Prathibha</t>
        </is>
      </c>
      <c r="C965" s="86" t="n">
        <v>2024</v>
      </c>
      <c r="D965" s="5" t="inlineStr">
        <is>
          <t>Outcome not related to interest</t>
        </is>
      </c>
      <c r="E965" s="86" t="n"/>
      <c r="F965" s="86" t="n"/>
    </row>
    <row r="966" ht="16" customHeight="1" s="55">
      <c r="A966" s="86" t="inlineStr">
        <is>
          <t>Integrating IDNET and Residual Blocks for Efficient Diabetic Retinopathy Grading</t>
        </is>
      </c>
      <c r="B966" s="86" t="inlineStr">
        <is>
          <t>A. R. V. Pratap; A. V. S. S. Nanditha; T. Laahiri; M. Nurulla</t>
        </is>
      </c>
      <c r="C966" s="86" t="n">
        <v>2024</v>
      </c>
      <c r="D966" s="5" t="inlineStr">
        <is>
          <t>Outcome not related to interest</t>
        </is>
      </c>
      <c r="E966" s="86" t="n"/>
      <c r="F966" s="86" t="n"/>
    </row>
    <row r="967" ht="16" customHeight="1" s="55">
      <c r="A967" s="86" t="inlineStr">
        <is>
          <t>Diabetic Retinopathy Detection and Stage Classification Using Lenet-5Architecture</t>
        </is>
      </c>
      <c r="B967" s="86" t="inlineStr">
        <is>
          <t>M. J. Prasannakumar; K. Priyanka; K. Smitha; M. S. V. Kumar</t>
        </is>
      </c>
      <c r="C967" s="86" t="n">
        <v>2024</v>
      </c>
      <c r="D967" s="5" t="inlineStr">
        <is>
          <t>Outcome not related to interest</t>
        </is>
      </c>
      <c r="E967" s="86" t="n"/>
      <c r="F967" s="86" t="n"/>
    </row>
    <row r="968" ht="16" customHeight="1" s="55">
      <c r="A968" s="86" t="inlineStr">
        <is>
          <t>Diabetic-Retinopathy Classification Using a Modified VGG16 Model</t>
        </is>
      </c>
      <c r="B968" s="86" t="inlineStr">
        <is>
          <t>C. R. Prasad; J. Saikrishna; K. Akash; K. S. Ganesh; S. Kollem; C. Adupa</t>
        </is>
      </c>
      <c r="C968" s="86" t="n">
        <v>2024</v>
      </c>
      <c r="D968" s="5" t="inlineStr">
        <is>
          <t>Outcome not related to interest</t>
        </is>
      </c>
      <c r="E968" s="86" t="n"/>
      <c r="F968" s="86" t="n"/>
    </row>
    <row r="969" ht="16" customHeight="1" s="55">
      <c r="A969" s="86" t="inlineStr">
        <is>
          <t>Diabetic Retinopathy Detection using Deep Learning Framework and Explainable Artificial Intelligence Technique *</t>
        </is>
      </c>
      <c r="B969" s="86" t="inlineStr">
        <is>
          <t>U. Posham; S. Bhattacharya</t>
        </is>
      </c>
      <c r="C969" s="86" t="n">
        <v>2024</v>
      </c>
      <c r="D969" s="5" t="inlineStr">
        <is>
          <t>Outcome not related to interest</t>
        </is>
      </c>
      <c r="E969" s="86" t="n"/>
      <c r="F969" s="86" t="n"/>
    </row>
    <row r="970" ht="16" customHeight="1" s="55">
      <c r="A970" s="86" t="inlineStr">
        <is>
          <t>Real-Time Smart Phone-Enabled Eyes Disease Classification</t>
        </is>
      </c>
      <c r="B970" s="86" t="inlineStr">
        <is>
          <t>B. Poojitha; G. V. Nikitha; K. S. Sampath; N. Neelima; T. V. Smitha</t>
        </is>
      </c>
      <c r="C970" s="86" t="n">
        <v>2024</v>
      </c>
      <c r="D970" s="5" t="inlineStr">
        <is>
          <t>Outcome not related to interest</t>
        </is>
      </c>
      <c r="E970" s="86" t="n"/>
      <c r="F970" s="86" t="n"/>
    </row>
    <row r="971" ht="16" customHeight="1" s="55">
      <c r="A971" s="86" t="inlineStr">
        <is>
          <t>Repurposing the Image Generative Potential: Exploiting GANs to Grade Diabetic Retinopathy</t>
        </is>
      </c>
      <c r="B971" s="86" t="inlineStr">
        <is>
          <t>I. Poles; E. D’Arnese; L. G. Cellamare; M. D. Santambrogio; D. Yi</t>
        </is>
      </c>
      <c r="C971" s="86" t="n">
        <v>2024</v>
      </c>
      <c r="D971" s="5" t="inlineStr">
        <is>
          <t>Outcome not related to interest</t>
        </is>
      </c>
      <c r="E971" s="86" t="n"/>
      <c r="F971" s="86" t="n"/>
    </row>
    <row r="972" ht="16" customHeight="1" s="55">
      <c r="A972" s="86" t="inlineStr">
        <is>
          <t>Enhancing Diabetic Retinopathy Screening through Advanced Retinal Image Analysis using Convolutional Neural Networks</t>
        </is>
      </c>
      <c r="B972" s="86" t="inlineStr">
        <is>
          <t>R. Pillai; N. Sharma; D. Upadhyay; S. Devliyal; G. Kaur</t>
        </is>
      </c>
      <c r="C972" s="86" t="n">
        <v>2024</v>
      </c>
      <c r="D972" s="5" t="inlineStr">
        <is>
          <t>Outcome not related to interest</t>
        </is>
      </c>
      <c r="E972" s="86" t="n"/>
      <c r="F972" s="86" t="n"/>
    </row>
    <row r="973" ht="16" customHeight="1" s="55">
      <c r="A973" s="86" t="inlineStr">
        <is>
          <t>[Vision Paper] PRObot: Enhancing Patient-Reported Outcome Measures for Diabetic Retinopathy using Chatbots and Generative AI</t>
        </is>
      </c>
      <c r="B973" s="86" t="inlineStr">
        <is>
          <t>M. Pielka; T. Schneider; J. Terheyden; R. Sifa</t>
        </is>
      </c>
      <c r="C973" s="86" t="n">
        <v>2024</v>
      </c>
      <c r="D973" s="5" t="inlineStr">
        <is>
          <t>Outcome not related to interest</t>
        </is>
      </c>
      <c r="E973" s="86" t="n"/>
      <c r="F973" s="86" t="n"/>
    </row>
    <row r="974" ht="16" customHeight="1" s="55">
      <c r="A974" s="86" t="inlineStr">
        <is>
          <t>An Improved Approach for Semantic Segmentation of Fundus Lesions using R2U-Net</t>
        </is>
      </c>
      <c r="B974" s="86" t="inlineStr">
        <is>
          <t>A. Pereira; C. Santos; M. Aguiar; D. Welfer; M. Dias; R. d. Menezes; P. R. Ferreira; F. Rossi; M. d’Ornellas; C. J. Haygert; J. Kazienko; F. Comim; A. Hoppe; J. Weber; L. Tavares; L. Guths; R. Guerra</t>
        </is>
      </c>
      <c r="C974" s="86" t="n">
        <v>2024</v>
      </c>
      <c r="D974" s="5" t="inlineStr">
        <is>
          <t>Outcome not related to interest</t>
        </is>
      </c>
      <c r="E974" s="86" t="n"/>
      <c r="F974" s="86" t="n"/>
    </row>
    <row r="975" ht="16" customHeight="1" s="55">
      <c r="A975" s="86" t="inlineStr">
        <is>
          <t>Diabetic Retinopathy Detection: EfficientNet with SAP BTP</t>
        </is>
      </c>
      <c r="B975" s="86" t="inlineStr">
        <is>
          <t>S. Pawar; H. Zope</t>
        </is>
      </c>
      <c r="C975" s="86" t="n">
        <v>2024</v>
      </c>
      <c r="D975" s="5" t="inlineStr">
        <is>
          <t>Outcome not related to interest</t>
        </is>
      </c>
      <c r="E975" s="86" t="n"/>
      <c r="F975" s="86" t="n"/>
    </row>
    <row r="976" ht="16" customHeight="1" s="55">
      <c r="A976" s="86" t="inlineStr">
        <is>
          <t>Explainable FL-Based Framework for Diagnosis of Diabetic Retinopathy in Healthcare 4.0 Environment</t>
        </is>
      </c>
      <c r="B976" s="86" t="inlineStr">
        <is>
          <t>P. Patel; N. Jain; H. Patni; R. Fenil; R. Gupta; S. Tanwar; H. Shahinzadeh</t>
        </is>
      </c>
      <c r="C976" s="86" t="n">
        <v>2024</v>
      </c>
      <c r="D976" s="5" t="inlineStr">
        <is>
          <t>Outcome not related to interest</t>
        </is>
      </c>
      <c r="E976" s="86" t="n"/>
      <c r="F976" s="86" t="n"/>
    </row>
    <row r="977" ht="16" customHeight="1" s="55">
      <c r="A977" s="86" t="inlineStr">
        <is>
          <t>Detection of Eye Disease Using Deep Learning Algorithms</t>
        </is>
      </c>
      <c r="B977" s="86" t="inlineStr">
        <is>
          <t>O. J. Patel; K. Verma; C. Vyas; T. N. Pandey; B. B. Dash; S. S. Patra</t>
        </is>
      </c>
      <c r="C977" s="86" t="n">
        <v>2024</v>
      </c>
      <c r="D977" s="5" t="inlineStr">
        <is>
          <t>Outcome not related to interest</t>
        </is>
      </c>
      <c r="E977" s="86" t="n"/>
      <c r="F977" s="86" t="n"/>
    </row>
    <row r="978" ht="16" customHeight="1" s="55">
      <c r="A978" s="86" t="inlineStr">
        <is>
          <t>Enhanced Diabetic Retinopathy Grading with Convolutional Neural Networks and Graph Attention Networks</t>
        </is>
      </c>
      <c r="B978" s="86" t="inlineStr">
        <is>
          <t>V. K. Pandugula; R. Uyyala; S. C. Ramu; A. Choudhary</t>
        </is>
      </c>
      <c r="C978" s="86" t="n">
        <v>2024</v>
      </c>
      <c r="D978" s="5" t="inlineStr">
        <is>
          <t>Outcome not related to interest</t>
        </is>
      </c>
      <c r="E978" s="86" t="n"/>
      <c r="F978" s="86" t="n"/>
    </row>
    <row r="979" ht="16" customHeight="1" s="55">
      <c r="A979" s="86" t="inlineStr">
        <is>
          <t>A Novel Approach for Detection of Ocular Diseases using Deep Learning Concepts</t>
        </is>
      </c>
      <c r="B979" s="86" t="inlineStr">
        <is>
          <t>R. P; E. N. K; J. K; E. J. R; S. K</t>
        </is>
      </c>
      <c r="C979" s="86" t="n">
        <v>2024</v>
      </c>
      <c r="D979" s="5" t="inlineStr">
        <is>
          <t>Outcome not related to interest</t>
        </is>
      </c>
      <c r="E979" s="86" t="n"/>
      <c r="F979" s="86" t="n"/>
    </row>
    <row r="980" ht="16" customHeight="1" s="55">
      <c r="A980" s="86" t="inlineStr">
        <is>
          <t>Comparison of Transfer Learning Approaches with Multiple Data Sets in Early Stage Detection of Diabetic Retinopathy</t>
        </is>
      </c>
      <c r="B980" s="86" t="inlineStr">
        <is>
          <t>Z. S. Özeren; D. İ; T. Uyar</t>
        </is>
      </c>
      <c r="C980" s="86" t="n">
        <v>2024</v>
      </c>
      <c r="D980" s="5" t="inlineStr">
        <is>
          <t>Outcome not related to interest</t>
        </is>
      </c>
      <c r="E980" s="86" t="n"/>
      <c r="F980" s="86" t="n"/>
    </row>
    <row r="981" ht="16" customHeight="1" s="55">
      <c r="A981" s="86" t="inlineStr">
        <is>
          <t>Enhancement of Diabetic Retinopathy Prediction Based Capsule Network and DenseNet-121 Utilizing Wavelet Decomposition</t>
        </is>
      </c>
      <c r="B981" s="86" t="inlineStr">
        <is>
          <t>M. Oulhadj; J. Riffi; C. Khodriss; A. M. Mahraz; A. Yahyaouy; M. Abdellaoui; I. B. Andaloussi; H. Tairi</t>
        </is>
      </c>
      <c r="C981" s="86" t="n">
        <v>2024</v>
      </c>
      <c r="D981" s="5" t="inlineStr">
        <is>
          <t>Outcome not related to interest</t>
        </is>
      </c>
      <c r="E981" s="86" t="n"/>
      <c r="F981" s="86" t="n"/>
    </row>
    <row r="982" ht="16" customHeight="1" s="55">
      <c r="A982" s="86" t="inlineStr">
        <is>
          <t>Diabetic Retinopathy Prediction Based on a Hybrid Deep Learning Approach</t>
        </is>
      </c>
      <c r="B982" s="86" t="inlineStr">
        <is>
          <t>M. Oulhadj; J. Riffi; C. Khodriss; A. M. Mahraz; A. Yahyaouy; M. Abdellaoui; I. B. Andaloussi; H. Tairi</t>
        </is>
      </c>
      <c r="C982" s="86" t="n">
        <v>2024</v>
      </c>
      <c r="D982" s="5" t="inlineStr">
        <is>
          <t>Outcome not related to interest</t>
        </is>
      </c>
      <c r="E982" s="86" t="n"/>
      <c r="F982" s="86" t="n"/>
    </row>
    <row r="983" ht="16" customHeight="1" s="55">
      <c r="A983" s="86" t="inlineStr">
        <is>
          <t>Efficient Machine Learning Approach for Diabetes Mellitus Disease Prediction</t>
        </is>
      </c>
      <c r="B983" s="86" t="inlineStr">
        <is>
          <t>M. Oualid; B. Hadj; F. Nouioua; A. Attia; A. Samir</t>
        </is>
      </c>
      <c r="C983" s="86" t="n">
        <v>2024</v>
      </c>
      <c r="D983" s="5" t="inlineStr">
        <is>
          <t>Outcome not related to interest</t>
        </is>
      </c>
      <c r="E983" s="86" t="n"/>
      <c r="F983" s="86" t="n"/>
    </row>
    <row r="984" ht="16" customHeight="1" s="55">
      <c r="A984" s="86" t="inlineStr">
        <is>
          <t>Vulnerability in MobileNet: Case of Diabetes Retinopathy Prediction</t>
        </is>
      </c>
      <c r="B984" s="86" t="inlineStr">
        <is>
          <t>D. Othmane; S. Saleh; Z. Alouani; O. E. Gannour; B. Cherradi; T. Amal</t>
        </is>
      </c>
      <c r="C984" s="86" t="n">
        <v>2024</v>
      </c>
      <c r="D984" s="5" t="inlineStr">
        <is>
          <t>Outcome not related to interest</t>
        </is>
      </c>
      <c r="E984" s="86" t="n"/>
      <c r="F984" s="86" t="n"/>
    </row>
    <row r="985" ht="16" customHeight="1" s="55">
      <c r="A985" s="86" t="inlineStr">
        <is>
          <t>Cost-Saving Data-Driven Diabetic Retinopathy Prediction via a Sampling-Empowered Incremental Learning Approach</t>
        </is>
      </c>
      <c r="B985" s="86" t="inlineStr">
        <is>
          <t>A. Oskolkova; B. Oskolkov; T. Liu; C. Liu</t>
        </is>
      </c>
      <c r="C985" s="86" t="n">
        <v>2024</v>
      </c>
      <c r="D985" s="5" t="inlineStr">
        <is>
          <t>Outcome not related to interest</t>
        </is>
      </c>
      <c r="E985" s="86" t="n"/>
      <c r="F985" s="86" t="n"/>
    </row>
    <row r="986" ht="16" customHeight="1" s="55">
      <c r="A986" s="86" t="inlineStr">
        <is>
          <t>Hyperspectral Image Augmentation Technique for the Classification of Diabetic Retinopathy</t>
        </is>
      </c>
      <c r="B986" s="86" t="inlineStr">
        <is>
          <t>G. Oh; J. Shin</t>
        </is>
      </c>
      <c r="C986" s="86" t="n">
        <v>2024</v>
      </c>
      <c r="D986" s="5" t="inlineStr">
        <is>
          <t>Outcome not related to interest</t>
        </is>
      </c>
      <c r="E986" s="86" t="n"/>
      <c r="F986" s="86" t="n"/>
    </row>
    <row r="987" ht="16" customHeight="1" s="55">
      <c r="A987" s="86" t="inlineStr">
        <is>
          <t>Disease Classification in Retinal Images Using Vision Transformer and Capsule Network</t>
        </is>
      </c>
      <c r="B987" s="86" t="inlineStr">
        <is>
          <t>H. Ö</t>
        </is>
      </c>
      <c r="C987" s="86" t="n">
        <v>2024</v>
      </c>
      <c r="D987" s="5" t="inlineStr">
        <is>
          <t>Outcome not related to interest</t>
        </is>
      </c>
      <c r="E987" s="86" t="n"/>
      <c r="F987" s="86" t="n"/>
    </row>
    <row r="988" ht="16" customHeight="1" s="55">
      <c r="A988" s="86" t="inlineStr">
        <is>
          <t>A Deep Learning Model for Five Stage Diabetic Retinopathy Detection</t>
        </is>
      </c>
      <c r="B988" s="86" t="inlineStr">
        <is>
          <t>S. S. Nukala; A. K. Dalai; U. N. Kar</t>
        </is>
      </c>
      <c r="C988" s="86" t="n">
        <v>2024</v>
      </c>
      <c r="D988" s="5" t="inlineStr">
        <is>
          <t>Outcome not related to interest</t>
        </is>
      </c>
      <c r="E988" s="86" t="n"/>
      <c r="F988" s="86" t="n"/>
    </row>
    <row r="989" ht="16" customHeight="1" s="55">
      <c r="A989" s="86" t="inlineStr">
        <is>
          <t>Eye on the Future: Deep Learning with MobileNetV2 for Early Eye Disease Diagnosis</t>
        </is>
      </c>
      <c r="B989" s="86" t="inlineStr">
        <is>
          <t>S. Noor; M. I. Saleem; N. Ismat; A. Siddiqui; H. N. Minhas; H. Inam</t>
        </is>
      </c>
      <c r="C989" s="86" t="n">
        <v>2024</v>
      </c>
      <c r="D989" s="5" t="inlineStr">
        <is>
          <t>Outcome not related to interest</t>
        </is>
      </c>
      <c r="E989" s="86" t="n"/>
      <c r="F989" s="86" t="n"/>
    </row>
    <row r="990" ht="16" customHeight="1" s="55">
      <c r="A990" s="86" t="inlineStr">
        <is>
          <t>FedEntropy: An Entropy-based Federated Random Forest Modeling Approach for Remote Diabetic Patient Monitoring Systems</t>
        </is>
      </c>
      <c r="B990" s="86" t="inlineStr">
        <is>
          <t>N. Noble; S. Benedict</t>
        </is>
      </c>
      <c r="C990" s="86" t="n">
        <v>2024</v>
      </c>
      <c r="D990" s="5" t="inlineStr">
        <is>
          <t>Outcome not related to interest</t>
        </is>
      </c>
      <c r="E990" s="86" t="n"/>
      <c r="F990" s="86" t="n"/>
    </row>
    <row r="991" ht="16" customHeight="1" s="55">
      <c r="A991" s="86" t="inlineStr">
        <is>
          <t>DeepRetina: A Deep Learning Approach for Diabetic Retinopathy Detection and Stage Classification</t>
        </is>
      </c>
      <c r="B991" s="86" t="inlineStr">
        <is>
          <t>H. Nithishvikraman; G. S; I. A. J. D. D</t>
        </is>
      </c>
      <c r="C991" s="86" t="n">
        <v>2024</v>
      </c>
      <c r="D991" s="5" t="inlineStr">
        <is>
          <t>Outcome not related to interest</t>
        </is>
      </c>
      <c r="E991" s="86" t="n"/>
      <c r="F991" s="86" t="n"/>
    </row>
    <row r="992" ht="16" customHeight="1" s="55">
      <c r="A992" s="86" t="inlineStr">
        <is>
          <t>Early Detection and Severity Classification of Diabetic Retinopathy Through Image Processing and Deep Learning</t>
        </is>
      </c>
      <c r="B992" s="86" t="inlineStr">
        <is>
          <t>N. Nishio; J. Nishio; A. Nishio</t>
        </is>
      </c>
      <c r="C992" s="86" t="n">
        <v>2024</v>
      </c>
      <c r="D992" s="5" t="inlineStr">
        <is>
          <t>Outcome not related to interest</t>
        </is>
      </c>
      <c r="E992" s="86" t="n"/>
      <c r="F992" s="86" t="n"/>
    </row>
    <row r="993" ht="16" customHeight="1" s="55">
      <c r="A993" s="86" t="inlineStr">
        <is>
          <t>Efficacy of deep learning techniques in detecting Diabetic Retinopathy</t>
        </is>
      </c>
      <c r="B993" s="86" t="inlineStr">
        <is>
          <t>A. P. Nirmala; V. Asha; A. Prasad; A. R. Savant; A. S. S; A. Rahman</t>
        </is>
      </c>
      <c r="C993" s="86" t="n">
        <v>2024</v>
      </c>
      <c r="D993" s="5" t="inlineStr">
        <is>
          <t>Outcome not related to interest</t>
        </is>
      </c>
      <c r="E993" s="86" t="n"/>
      <c r="F993" s="86" t="n"/>
    </row>
    <row r="994" ht="16" customHeight="1" s="55">
      <c r="A994" s="86" t="inlineStr">
        <is>
          <t>MobileNet-Eye: An Efficient Transfer Learning for Eye Disease Classification</t>
        </is>
      </c>
      <c r="B994" s="86" t="inlineStr">
        <is>
          <t>G. M. Niloy; A. K. Bitto; K. B. M. B. Biplob; M. H. Sammak; A. Das; G. G. Hridoy</t>
        </is>
      </c>
      <c r="C994" s="86" t="n">
        <v>2024</v>
      </c>
      <c r="D994" s="5" t="inlineStr">
        <is>
          <t>Outcome not related to interest</t>
        </is>
      </c>
      <c r="E994" s="86" t="n"/>
      <c r="F994" s="86" t="n"/>
    </row>
    <row r="995" ht="16" customHeight="1" s="55">
      <c r="A995" s="86" t="inlineStr">
        <is>
          <t>A Privacy-Preserving Approach Using Deep Learning Models for Diabetic Retinopathy Diagnosis</t>
        </is>
      </c>
      <c r="B995" s="86" t="inlineStr">
        <is>
          <t>J. C. Ng; P. S. Q. Yeoh; L. Bing; X. Wu; K. Hasikin; K. W. Lai</t>
        </is>
      </c>
      <c r="C995" s="86" t="n">
        <v>2024</v>
      </c>
      <c r="D995" s="5" t="inlineStr">
        <is>
          <t>Outcome not related to interest</t>
        </is>
      </c>
      <c r="E995" s="86" t="n"/>
      <c r="F995" s="86" t="n"/>
    </row>
    <row r="996" ht="16" customHeight="1" s="55">
      <c r="A996" s="86" t="inlineStr">
        <is>
          <t>Enhancing Early-Stage Diabetic Retinopathy Detection Using a Weighted Ensemble of Deep Neural Networks</t>
        </is>
      </c>
      <c r="B996" s="86" t="inlineStr">
        <is>
          <t>K. Nazir; J. Kim; Y. C. Byun</t>
        </is>
      </c>
      <c r="C996" s="86" t="n">
        <v>2024</v>
      </c>
      <c r="D996" s="5" t="inlineStr">
        <is>
          <t>Outcome not related to interest</t>
        </is>
      </c>
      <c r="E996" s="86" t="n"/>
      <c r="F996" s="86" t="n"/>
    </row>
    <row r="997" ht="16" customHeight="1" s="55">
      <c r="A997" s="86" t="inlineStr">
        <is>
          <t>An Improved Robust Fuzzy Local Information K-Means Clustering Algorithm for Diabetic Retinopathy Detection</t>
        </is>
      </c>
      <c r="B997" s="86" t="inlineStr">
        <is>
          <t>H. Naz; T. Saba; F. S. Alamri; A. S. Almasoud; A. Rehman</t>
        </is>
      </c>
      <c r="C997" s="86" t="n">
        <v>2024</v>
      </c>
      <c r="D997" s="5" t="inlineStr">
        <is>
          <t>Outcome not related to interest</t>
        </is>
      </c>
      <c r="E997" s="86" t="n"/>
      <c r="F997" s="86" t="n"/>
    </row>
    <row r="998" ht="16" customHeight="1" s="55">
      <c r="A998" s="86" t="inlineStr">
        <is>
          <t>RetinaCare: Diabetic Retinopathy Detection with VGG16-based Web Application</t>
        </is>
      </c>
      <c r="B998" s="86" t="inlineStr">
        <is>
          <t>H. Naz; N. J. Ahuja</t>
        </is>
      </c>
      <c r="C998" s="86" t="n">
        <v>2024</v>
      </c>
      <c r="D998" s="5" t="inlineStr">
        <is>
          <t>Outcome not related to interest</t>
        </is>
      </c>
      <c r="E998" s="86" t="n"/>
      <c r="F998" s="86" t="n"/>
    </row>
    <row r="999" ht="16" customHeight="1" s="55">
      <c r="A999" s="86" t="inlineStr">
        <is>
          <t>Automated Diabetic Retinopathy Detection and Multi-Stage Classification Using Convolutional Neural Networks</t>
        </is>
      </c>
      <c r="B999" s="86" t="inlineStr">
        <is>
          <t>S. Navaneethan; A. Pardhiv; K. Teja</t>
        </is>
      </c>
      <c r="C999" s="86" t="n">
        <v>2024</v>
      </c>
      <c r="D999" s="5" t="inlineStr">
        <is>
          <t>Outcome not related to interest</t>
        </is>
      </c>
      <c r="E999" s="86" t="n"/>
      <c r="F999" s="86" t="n"/>
    </row>
    <row r="1000" ht="16" customHeight="1" s="55">
      <c r="A1000" s="86" t="inlineStr">
        <is>
          <t>A Fusion-Based Approach to Multiclass Retinal Disease Classification: Transfer Learning Strategy with CBAM Integration</t>
        </is>
      </c>
      <c r="B1000" s="86" t="inlineStr">
        <is>
          <t>B. D. Nath; S. Afroge</t>
        </is>
      </c>
      <c r="C1000" s="86" t="n">
        <v>2024</v>
      </c>
      <c r="D1000" s="5" t="inlineStr">
        <is>
          <t>Outcome not related to interest</t>
        </is>
      </c>
      <c r="E1000" s="86" t="n"/>
      <c r="F1000" s="86" t="n"/>
    </row>
    <row r="1001" ht="16" customHeight="1" s="55">
      <c r="A1001" s="86" t="inlineStr">
        <is>
          <t>Eye Disease Classification Using Ensemble Learning</t>
        </is>
      </c>
      <c r="B1001" s="86" t="inlineStr">
        <is>
          <t>B. Naseeba; L. Burra; C. S. Kumari; B. Yohoshiva; K. Shyam</t>
        </is>
      </c>
      <c r="C1001" s="86" t="n">
        <v>2024</v>
      </c>
      <c r="D1001" s="5" t="inlineStr">
        <is>
          <t>Outcome not related to interest</t>
        </is>
      </c>
      <c r="E1001" s="86" t="n"/>
      <c r="F1001" s="86" t="n"/>
    </row>
    <row r="1002" ht="16" customHeight="1" s="55">
      <c r="A1002" s="86" t="inlineStr">
        <is>
          <t>Diabetic Retinopathy Detection: A PySpark-Driven Approach with VGG 16 Feature Extraction and MLP Classification</t>
        </is>
      </c>
      <c r="B1002" s="86" t="inlineStr">
        <is>
          <t>T. Nabil; S. Ayman; S. Ahmed; M. Nagy; M. Megahed; A. Elsaeed; M. Ashraf; K. M. Fouad; I. Abdelbaky</t>
        </is>
      </c>
      <c r="C1002" s="86" t="n">
        <v>2024</v>
      </c>
      <c r="D1002" s="5" t="inlineStr">
        <is>
          <t>Outcome not related to interest</t>
        </is>
      </c>
      <c r="E1002" s="86" t="n"/>
      <c r="F1002" s="86" t="n"/>
    </row>
    <row r="1003" ht="16" customHeight="1" s="55">
      <c r="A1003" s="86" t="inlineStr">
        <is>
          <t>A Deep Learning Approach for Detecting Diabetic Retinopathy</t>
        </is>
      </c>
      <c r="B1003" s="86" t="inlineStr">
        <is>
          <t>M. H. H. Nabil; L. Hammam; H. A. Bastawrous; G. A. Ebrahim</t>
        </is>
      </c>
      <c r="C1003" s="86" t="n">
        <v>2024</v>
      </c>
      <c r="D1003" s="5" t="inlineStr">
        <is>
          <t>Outcome not related to interest</t>
        </is>
      </c>
      <c r="E1003" s="86" t="n"/>
      <c r="F1003" s="86" t="n"/>
    </row>
    <row r="1004" ht="16" customHeight="1" s="55">
      <c r="A1004" s="86" t="inlineStr">
        <is>
          <t>Hash Based Secure and Efficient Scaling Approach for Detecting the Diabetic Retinopathy Disorder</t>
        </is>
      </c>
      <c r="B1004" s="86" t="inlineStr">
        <is>
          <t>G. N. V. R; M. Ch; R. Ch; N. A. B</t>
        </is>
      </c>
      <c r="C1004" s="86" t="n">
        <v>2024</v>
      </c>
      <c r="D1004" s="5" t="inlineStr">
        <is>
          <t>Outcome not related to interest</t>
        </is>
      </c>
      <c r="E1004" s="86" t="n"/>
      <c r="F1004" s="86" t="n"/>
    </row>
    <row r="1005" ht="16" customHeight="1" s="55">
      <c r="A1005" s="86" t="inlineStr">
        <is>
          <t>A Pre-Trained Symmetric Model with an Attention Mechanism to Detecting Diabetic Retinopathy Stages</t>
        </is>
      </c>
      <c r="B1005" s="86" t="inlineStr">
        <is>
          <t>A. M. Mutawa; K. Al-Sabti; S. Raizada; S. Sruthi</t>
        </is>
      </c>
      <c r="C1005" s="86" t="n">
        <v>2024</v>
      </c>
      <c r="D1005" s="5" t="inlineStr">
        <is>
          <t>Outcome not related to interest</t>
        </is>
      </c>
      <c r="E1005" s="86" t="n"/>
      <c r="F1005" s="86" t="n"/>
    </row>
    <row r="1006" ht="16" customHeight="1" s="55">
      <c r="A1006" s="86" t="inlineStr">
        <is>
          <t>Diabetic Retinal Images Severity Prediction Using Feature Extraction Mechanism with Deep Learning Method</t>
        </is>
      </c>
      <c r="B1006" s="86" t="inlineStr">
        <is>
          <t>M. Murugesan; S. Sharmila</t>
        </is>
      </c>
      <c r="C1006" s="86" t="n">
        <v>2024</v>
      </c>
      <c r="D1006" s="5" t="inlineStr">
        <is>
          <t>Outcome not related to interest</t>
        </is>
      </c>
      <c r="E1006" s="86" t="n"/>
      <c r="F1006" s="86" t="n"/>
    </row>
    <row r="1007" ht="16" customHeight="1" s="55">
      <c r="A1007" s="86" t="inlineStr">
        <is>
          <t>Eye Disease Detection Enhancement Using a Multi-Stage Deep Learning Approach</t>
        </is>
      </c>
      <c r="B1007" s="86" t="inlineStr">
        <is>
          <t>M. Z. Muntaqim; T. A. Smrity; A. S. M. Miah; H. M. Kafi; T. Tamanna; F. A. Farid; M. A. Rahim; H. A. Karim; S. Mansor</t>
        </is>
      </c>
      <c r="C1007" s="86" t="n">
        <v>2024</v>
      </c>
      <c r="D1007" s="5" t="inlineStr">
        <is>
          <t>Outcome not related to interest</t>
        </is>
      </c>
      <c r="E1007" s="86" t="n"/>
      <c r="F1007" s="86" t="n"/>
    </row>
    <row r="1008" ht="16" customHeight="1" s="55">
      <c r="A1008" s="86" t="inlineStr">
        <is>
          <t>Filter Gabor and SMOTE Method-Based Convolutional Neural Network for Diabetic Retinopathy Classification</t>
        </is>
      </c>
      <c r="B1008" s="86" t="inlineStr">
        <is>
          <t>A. Mulyani; Muljono; Purwanto; M. A. Soeleman</t>
        </is>
      </c>
      <c r="C1008" s="86" t="n">
        <v>2024</v>
      </c>
      <c r="D1008" s="5" t="inlineStr">
        <is>
          <t>Outcome not related to interest</t>
        </is>
      </c>
      <c r="E1008" s="86" t="n"/>
      <c r="F1008" s="86" t="n"/>
    </row>
    <row r="1009" ht="16" customHeight="1" s="55">
      <c r="A1009" s="86" t="inlineStr">
        <is>
          <t>Fundus Image Classification for Detecting Diabetic Retinopathy Using Convolutional Neural Network with Adam Optimizer</t>
        </is>
      </c>
      <c r="B1009" s="86" t="inlineStr">
        <is>
          <t>A. Mulyani; Muljono; Purwanto; M. A. Soeleman</t>
        </is>
      </c>
      <c r="C1009" s="86" t="n">
        <v>2024</v>
      </c>
      <c r="D1009" s="5" t="inlineStr">
        <is>
          <t>Outcome not related to interest</t>
        </is>
      </c>
      <c r="E1009" s="86" t="n"/>
      <c r="F1009" s="86" t="n"/>
    </row>
    <row r="1010" ht="16" customHeight="1" s="55">
      <c r="A1010" s="86" t="inlineStr">
        <is>
          <t>A Comparative Study of Filters and Deep Learning Models to predict Diabetic Retinopathy</t>
        </is>
      </c>
      <c r="B1010" s="86" t="inlineStr">
        <is>
          <t>R. V. Muddaluru; S. R. Thoguluva; S. Prabha; T. K. Reddy; S. Palaniswamy</t>
        </is>
      </c>
      <c r="C1010" s="86" t="n">
        <v>2024</v>
      </c>
      <c r="D1010" s="5" t="inlineStr">
        <is>
          <t>Outcome not related to interest</t>
        </is>
      </c>
      <c r="E1010" s="86" t="n"/>
      <c r="F1010" s="86" t="n"/>
    </row>
    <row r="1011" ht="16" customHeight="1" s="55">
      <c r="A1011" s="86" t="inlineStr">
        <is>
          <t>Exploring ResNet50 with Advanced Learning Strategies for Improved Ocular Disease Diagnosis</t>
        </is>
      </c>
      <c r="B1011" s="86" t="inlineStr">
        <is>
          <t>S. Muchuchuti; S. Viriri</t>
        </is>
      </c>
      <c r="C1011" s="86" t="n">
        <v>2024</v>
      </c>
      <c r="D1011" s="5" t="inlineStr">
        <is>
          <t>Outcome not related to interest</t>
        </is>
      </c>
      <c r="E1011" s="86" t="n"/>
      <c r="F1011" s="86" t="n"/>
    </row>
    <row r="1012" ht="16" customHeight="1" s="55">
      <c r="A1012" s="86" t="inlineStr">
        <is>
          <t>AI-Powered Diagnostic Tool for Retinal Disease Detection Using Convolutional Neural Networks</t>
        </is>
      </c>
      <c r="B1012" s="86" t="inlineStr">
        <is>
          <t>M. Moovendran; K. K. D. Kumar; J. M. Sashanth</t>
        </is>
      </c>
      <c r="C1012" s="86" t="n">
        <v>2024</v>
      </c>
      <c r="D1012" s="5" t="inlineStr">
        <is>
          <t>Outcome not related to interest</t>
        </is>
      </c>
      <c r="E1012" s="86" t="n"/>
      <c r="F1012" s="86" t="n"/>
    </row>
    <row r="1013" ht="16" customHeight="1" s="55">
      <c r="A1013" s="86" t="inlineStr">
        <is>
          <t>Multimodal Deep Learning for Diabetic Retinopathy Grading: Integrating Linear-Radon Sinograms and Retinal Fundus Images</t>
        </is>
      </c>
      <c r="B1013" s="86" t="inlineStr">
        <is>
          <t>F. Mohsen; U. Shah; A. Islam; Z. Shah; S. B. Belhaouari</t>
        </is>
      </c>
      <c r="C1013" s="86" t="n">
        <v>2024</v>
      </c>
      <c r="D1013" s="5" t="inlineStr">
        <is>
          <t>Outcome not related to interest</t>
        </is>
      </c>
      <c r="E1013" s="86" t="n"/>
      <c r="F1013" s="86" t="n"/>
    </row>
    <row r="1014" ht="16" customHeight="1" s="55">
      <c r="A1014" s="86" t="inlineStr">
        <is>
          <t>Diabetic Retinopathy Classification using Deep Learning Algorithm</t>
        </is>
      </c>
      <c r="B1014" s="86" t="inlineStr">
        <is>
          <t>A. Mohanarathinam; K. Subramaniam; V. Janaranjani</t>
        </is>
      </c>
      <c r="C1014" s="86" t="n">
        <v>2024</v>
      </c>
      <c r="D1014" s="5" t="inlineStr">
        <is>
          <t>Outcome not related to interest</t>
        </is>
      </c>
      <c r="E1014" s="86" t="n"/>
      <c r="F1014" s="86" t="n"/>
    </row>
    <row r="1015" ht="16" customHeight="1" s="55">
      <c r="A1015" s="86" t="inlineStr">
        <is>
          <t>DRDM: Deep Learning Model for Diabetic Retinopathy Detection</t>
        </is>
      </c>
      <c r="B1015" s="86" t="inlineStr">
        <is>
          <t>A. Migdady; O. AlZoubi; N. E. Kadhi; S. M. Shorman</t>
        </is>
      </c>
      <c r="C1015" s="86" t="n">
        <v>2024</v>
      </c>
      <c r="D1015" s="5" t="inlineStr">
        <is>
          <t>Outcome not related to interest</t>
        </is>
      </c>
      <c r="E1015" s="86" t="n"/>
      <c r="F1015" s="86" t="n"/>
    </row>
    <row r="1016" ht="16" customHeight="1" s="55">
      <c r="A1016" s="86" t="inlineStr">
        <is>
          <t>Dual-Model Approach for Diabetic Retinopathy and Macular Edema Detection</t>
        </is>
      </c>
      <c r="B1016" s="86" t="inlineStr">
        <is>
          <t>A. A. Micheal; L. J. Sai</t>
        </is>
      </c>
      <c r="C1016" s="86" t="n">
        <v>2024</v>
      </c>
      <c r="D1016" s="5" t="inlineStr">
        <is>
          <t>Outcome not related to interest</t>
        </is>
      </c>
      <c r="E1016" s="86" t="n"/>
      <c r="F1016" s="86" t="n"/>
    </row>
    <row r="1017" ht="16" customHeight="1" s="55">
      <c r="A1017" s="86" t="inlineStr">
        <is>
          <t>Optimizing Diabetic Retinopathy Diagnostics: A Novel Approach Using R-VCANet and Artificial Rabbit Optimization</t>
        </is>
      </c>
      <c r="B1017" s="86" t="inlineStr">
        <is>
          <t>J. Metan; M. Mathapati; R. Vallabhaneni; P. K. Pareek; M. K. Meesala</t>
        </is>
      </c>
      <c r="C1017" s="86" t="n">
        <v>2024</v>
      </c>
      <c r="D1017" s="5" t="inlineStr">
        <is>
          <t>Outcome not related to interest</t>
        </is>
      </c>
      <c r="E1017" s="86" t="n"/>
      <c r="F1017" s="86" t="n"/>
    </row>
    <row r="1018" ht="16" customHeight="1" s="55">
      <c r="A1018" s="86" t="inlineStr">
        <is>
          <t>AI and IoT-Integrated Smart Devices for Enhanced Vision Screening and Diagnosis in Eye Care</t>
        </is>
      </c>
      <c r="B1018" s="86" t="inlineStr">
        <is>
          <t>S. Mereddy; S. Polaki; M. A. K; M. Ch; K. P. M; D. S</t>
        </is>
      </c>
      <c r="C1018" s="86" t="n">
        <v>2024</v>
      </c>
      <c r="D1018" s="5" t="inlineStr">
        <is>
          <t>Outcome not related to interest</t>
        </is>
      </c>
      <c r="E1018" s="86" t="n"/>
      <c r="F1018" s="86" t="n"/>
    </row>
    <row r="1019" ht="16" customHeight="1" s="55">
      <c r="A1019" s="86" t="inlineStr">
        <is>
          <t>A Diagnostic Model for Ophthalmic Diseases Based on ResNet Algorithm</t>
        </is>
      </c>
      <c r="B1019" s="86" t="inlineStr">
        <is>
          <t>J. Mei</t>
        </is>
      </c>
      <c r="C1019" s="86" t="n">
        <v>2024</v>
      </c>
      <c r="D1019" s="5" t="inlineStr">
        <is>
          <t>Outcome not related to interest</t>
        </is>
      </c>
      <c r="E1019" s="86" t="n"/>
      <c r="F1019" s="86" t="n"/>
    </row>
    <row r="1020" ht="16" customHeight="1" s="55">
      <c r="A1020" s="86" t="inlineStr">
        <is>
          <t>DRDnet22: Advanced convolutional techniques for early diabetic retinopathy detection in retinal images</t>
        </is>
      </c>
      <c r="B1020" s="86" t="inlineStr">
        <is>
          <t>M. S. A. Mazumder; F. M. J. M. Shamrat; I. Mahmud; S. Sharmin; T. Hossain; E. K. Biplab</t>
        </is>
      </c>
      <c r="C1020" s="86" t="n">
        <v>2024</v>
      </c>
      <c r="D1020" s="5" t="inlineStr">
        <is>
          <t>Outcome not related to interest</t>
        </is>
      </c>
      <c r="E1020" s="86" t="n"/>
      <c r="F1020" s="86" t="n"/>
    </row>
    <row r="1021" ht="16" customHeight="1" s="55">
      <c r="A1021" s="86" t="inlineStr">
        <is>
          <t>Deep Learning for Comprehensive Retinal Health: Beyond Automated Fundoscopy - Classification, Segmentation, and Retinal Image Reconstruction</t>
        </is>
      </c>
      <c r="B1021" s="86" t="inlineStr">
        <is>
          <t>A. S. Mayya</t>
        </is>
      </c>
      <c r="C1021" s="86" t="n">
        <v>2024</v>
      </c>
      <c r="D1021" s="5" t="inlineStr">
        <is>
          <t>Outcome not related to interest</t>
        </is>
      </c>
      <c r="E1021" s="86" t="n"/>
      <c r="F1021" s="86" t="n"/>
    </row>
    <row r="1022" ht="16" customHeight="1" s="55">
      <c r="A1022" s="86" t="inlineStr">
        <is>
          <t>Utilizing Advanced Deep Learning for Accurate Multilabel Classification of Ocular Diseases</t>
        </is>
      </c>
      <c r="B1022" s="86" t="inlineStr">
        <is>
          <t>M. K. Mayee; M. H. Khanam</t>
        </is>
      </c>
      <c r="C1022" s="86" t="n">
        <v>2024</v>
      </c>
      <c r="D1022" s="5" t="inlineStr">
        <is>
          <t>Outcome not related to interest</t>
        </is>
      </c>
      <c r="E1022" s="86" t="n"/>
      <c r="F1022" s="86" t="n"/>
    </row>
    <row r="1023" ht="16" customHeight="1" s="55">
      <c r="A1023" s="86" t="inlineStr">
        <is>
          <t>Domain Generalization for Multi-disease Detection in Fundus Photographs</t>
        </is>
      </c>
      <c r="B1023" s="86" t="inlineStr">
        <is>
          <t>S. Matta; M. Lamard; L. Borderie; A. L. Guilcher; P. Massin; J. B. Rottier; B. Cochener; G. Quellec</t>
        </is>
      </c>
      <c r="C1023" s="86" t="n">
        <v>2024</v>
      </c>
      <c r="D1023" s="5" t="inlineStr">
        <is>
          <t>Outcome not related to interest</t>
        </is>
      </c>
      <c r="E1023" s="86" t="n"/>
      <c r="F1023" s="86" t="n"/>
    </row>
    <row r="1024" ht="16" customHeight="1" s="55">
      <c r="A1024" s="86" t="inlineStr">
        <is>
          <t>Optimising Diabetic Retinopathy Classification using EfficientNetB7</t>
        </is>
      </c>
      <c r="B1024" s="86" t="inlineStr">
        <is>
          <t>A. Mathias; J. R. F. Raj; S. R. Raja; R. S. Krishnan; C. Puvanadevi; S. Sujatha</t>
        </is>
      </c>
      <c r="C1024" s="86" t="n">
        <v>2024</v>
      </c>
      <c r="D1024" s="5" t="inlineStr">
        <is>
          <t>Outcome not related to interest</t>
        </is>
      </c>
      <c r="E1024" s="86" t="n"/>
      <c r="F1024" s="86" t="n"/>
    </row>
    <row r="1025" ht="16" customHeight="1" s="55">
      <c r="A1025" s="86" t="inlineStr">
        <is>
          <t>Eye Disease Classification System Based on Fundus Image Using Transfer Learning Convolutional Neural Network Model ResNet50</t>
        </is>
      </c>
      <c r="B1025" s="86" t="inlineStr">
        <is>
          <t>G. J. Massie; A. B. Kaswar; M. Lamada; D. D. Andayani; F. Adiba</t>
        </is>
      </c>
      <c r="C1025" s="86" t="n">
        <v>2024</v>
      </c>
      <c r="D1025" s="5" t="inlineStr">
        <is>
          <t>Outcome not related to interest</t>
        </is>
      </c>
      <c r="E1025" s="86" t="n"/>
      <c r="F1025" s="86" t="n"/>
    </row>
    <row r="1026" ht="16" customHeight="1" s="55">
      <c r="A1026" s="86" t="inlineStr">
        <is>
          <t>Diabetic Retinopathy Detection using a Lightweight Edge Intelligence-based Technique</t>
        </is>
      </c>
      <c r="B1026" s="86" t="inlineStr">
        <is>
          <t>M. N. Mantaqa; J. Anjom; M. I. A. Hossain</t>
        </is>
      </c>
      <c r="C1026" s="86" t="n">
        <v>2024</v>
      </c>
      <c r="D1026" s="5" t="inlineStr">
        <is>
          <t>Outcome not related to interest</t>
        </is>
      </c>
      <c r="E1026" s="86" t="n"/>
      <c r="F1026" s="86" t="n"/>
    </row>
    <row r="1027" ht="16" customHeight="1" s="55">
      <c r="A1027" s="86" t="inlineStr">
        <is>
          <t>Leveraging Deep Learning for Early Stage Diabetic Retinopathy Detection: a Novel CNN and Transfer Learning Comparision</t>
        </is>
      </c>
      <c r="B1027" s="86" t="inlineStr">
        <is>
          <t>R. Manohar; M. S. Aarthi; J. A. J</t>
        </is>
      </c>
      <c r="C1027" s="86" t="n">
        <v>2024</v>
      </c>
      <c r="D1027" s="5" t="inlineStr">
        <is>
          <t>Outcome not related to interest</t>
        </is>
      </c>
      <c r="E1027" s="86" t="n"/>
      <c r="F1027" s="86" t="n"/>
    </row>
    <row r="1028" ht="16" customHeight="1" s="55">
      <c r="A1028" s="86" t="inlineStr">
        <is>
          <t>Diagnosis of Advanced Diabetic Retinopathy from Fundus Image Using Machine Learning</t>
        </is>
      </c>
      <c r="B1028" s="86" t="inlineStr">
        <is>
          <t>B. Mankar; B. Bawankar; D. Gabhane; M. Wanjari</t>
        </is>
      </c>
      <c r="C1028" s="86" t="n">
        <v>2024</v>
      </c>
      <c r="D1028" s="5" t="inlineStr">
        <is>
          <t>Outcome not related to interest</t>
        </is>
      </c>
      <c r="E1028" s="86" t="n"/>
      <c r="F1028" s="86" t="n"/>
    </row>
    <row r="1029" ht="16" customHeight="1" s="55">
      <c r="A1029" s="86" t="inlineStr">
        <is>
          <t>Diabetic Retinopathy Detection and Classification Using Deep Reinforcement Learning</t>
        </is>
      </c>
      <c r="B1029" s="86" t="inlineStr">
        <is>
          <t>H. R. Manjunatha; P. Sathish</t>
        </is>
      </c>
      <c r="C1029" s="86" t="n">
        <v>2024</v>
      </c>
      <c r="D1029" s="5" t="inlineStr">
        <is>
          <t>Outcome not related to interest</t>
        </is>
      </c>
      <c r="E1029" s="86" t="n"/>
      <c r="F1029" s="86" t="n"/>
    </row>
    <row r="1030" ht="16" customHeight="1" s="55">
      <c r="A1030" s="86" t="inlineStr">
        <is>
          <t>Deep Learning-based Automated Detection of Retinal Diseases with Convolutional Neural Networks</t>
        </is>
      </c>
      <c r="B1030" s="86" t="inlineStr">
        <is>
          <t>Manivasagam; S. Singh; S. Bhagwan</t>
        </is>
      </c>
      <c r="C1030" s="86" t="n">
        <v>2024</v>
      </c>
      <c r="D1030" s="5" t="inlineStr">
        <is>
          <t>Outcome not related to interest</t>
        </is>
      </c>
      <c r="E1030" s="86" t="n"/>
      <c r="F1030" s="86" t="n"/>
    </row>
    <row r="1031" ht="16" customHeight="1" s="55">
      <c r="A1031" s="86" t="inlineStr">
        <is>
          <t>Design and Development of Diabetic Retinopathy by Using Convolutional Neural Network Classifier</t>
        </is>
      </c>
      <c r="B1031" s="86" t="inlineStr">
        <is>
          <t>M. Mangal; S. Pandey; S. Parit; D. Pawar; D. Vekhande</t>
        </is>
      </c>
      <c r="C1031" s="86" t="n">
        <v>2024</v>
      </c>
      <c r="D1031" s="5" t="inlineStr">
        <is>
          <t>Outcome not related to interest</t>
        </is>
      </c>
      <c r="E1031" s="86" t="n"/>
      <c r="F1031" s="86" t="n"/>
    </row>
    <row r="1032" ht="16" customHeight="1" s="55">
      <c r="A1032" s="86" t="inlineStr">
        <is>
          <t>Enhancing Diabetic Retinopathy Diagnosis Using Intelligent Images Classification</t>
        </is>
      </c>
      <c r="B1032" s="86" t="inlineStr">
        <is>
          <t>D. Manavachari; J. G. Naragund; V. P. Baligar</t>
        </is>
      </c>
      <c r="C1032" s="86" t="n">
        <v>2024</v>
      </c>
      <c r="D1032" s="5" t="inlineStr">
        <is>
          <t>Outcome not related to interest</t>
        </is>
      </c>
      <c r="E1032" s="86" t="n"/>
      <c r="F1032" s="86" t="n"/>
    </row>
    <row r="1033" ht="16" customHeight="1" s="55">
      <c r="A1033" s="86" t="inlineStr">
        <is>
          <t>Deep Learning-Based Classification of Diabetic Retinopathy: Leveraging the Power of VGG-19</t>
        </is>
      </c>
      <c r="B1033" s="86" t="inlineStr">
        <is>
          <t>T. Malik; V. Nandal; P. Garg</t>
        </is>
      </c>
      <c r="C1033" s="86" t="n">
        <v>2024</v>
      </c>
      <c r="D1033" s="5" t="inlineStr">
        <is>
          <t>Outcome not related to interest</t>
        </is>
      </c>
      <c r="E1033" s="86" t="n"/>
      <c r="F1033" s="86" t="n"/>
    </row>
    <row r="1034" ht="16" customHeight="1" s="55">
      <c r="A1034" s="86" t="inlineStr">
        <is>
          <t>EfficientNetB0-based Automated Diabetic Retinopathy Classification in Fundus Images</t>
        </is>
      </c>
      <c r="B1034" s="86" t="inlineStr">
        <is>
          <t>E. A. Majaw; G. N. Sundar; D. Narmadha; S. K. Thangavel; Venkatesan; A. A. Ajibesin</t>
        </is>
      </c>
      <c r="C1034" s="86" t="n">
        <v>2024</v>
      </c>
      <c r="D1034" s="5" t="inlineStr">
        <is>
          <t>Outcome not related to interest</t>
        </is>
      </c>
      <c r="E1034" s="86" t="n"/>
      <c r="F1034" s="86" t="n"/>
    </row>
    <row r="1035" ht="16" customHeight="1" s="55">
      <c r="A1035" s="86" t="inlineStr">
        <is>
          <t>Analysis of Diabetic Retinopathy in Retinal Fundus Images</t>
        </is>
      </c>
      <c r="B1035" s="86" t="inlineStr">
        <is>
          <t>M. R. Mahesh; S. Rohith</t>
        </is>
      </c>
      <c r="C1035" s="86" t="n">
        <v>2024</v>
      </c>
      <c r="D1035" s="5" t="inlineStr">
        <is>
          <t>Outcome not related to interest</t>
        </is>
      </c>
      <c r="E1035" s="86" t="n"/>
      <c r="F1035" s="86" t="n"/>
    </row>
    <row r="1036" ht="16" customHeight="1" s="55">
      <c r="A1036" s="86" t="inlineStr">
        <is>
          <t>Comparative Analysis of Deep Learning Models Using Adaptive Epoch Training for Diabetic Retinopathy Classification</t>
        </is>
      </c>
      <c r="B1036" s="86" t="inlineStr">
        <is>
          <t>R. Mahadeva; P. Dutta; V. Chaurasia; V. Patel; M. Patankar; A. Varkele</t>
        </is>
      </c>
      <c r="C1036" s="86" t="n">
        <v>2024</v>
      </c>
      <c r="D1036" s="5" t="inlineStr">
        <is>
          <t>Outcome not related to interest</t>
        </is>
      </c>
      <c r="E1036" s="86" t="n"/>
      <c r="F1036" s="86" t="n"/>
    </row>
    <row r="1037" ht="16" customHeight="1" s="55">
      <c r="A1037" s="86" t="inlineStr">
        <is>
          <t>Classification of Diabetic Retinopathy Disease Using GNN</t>
        </is>
      </c>
      <c r="B1037" s="86" t="inlineStr">
        <is>
          <t>B. Maan; A. T. Sapkal; V. Ingale; P. Yadav; A. P. S. Chauhan; R. Lamba</t>
        </is>
      </c>
      <c r="C1037" s="86" t="n">
        <v>2024</v>
      </c>
      <c r="D1037" s="5" t="inlineStr">
        <is>
          <t>Outcome not related to interest</t>
        </is>
      </c>
      <c r="E1037" s="86" t="n"/>
      <c r="F1037" s="86" t="n"/>
    </row>
    <row r="1038" ht="16" customHeight="1" s="55">
      <c r="A1038" s="86" t="inlineStr">
        <is>
          <t>Diabetic Retinopathy Detection in Fundus Images Using Deep-Learned Features</t>
        </is>
      </c>
      <c r="B1038" s="86" t="inlineStr">
        <is>
          <t>M. M; P. P; A. P. S; E. S. K; D. Vijayan</t>
        </is>
      </c>
      <c r="C1038" s="86" t="n">
        <v>2024</v>
      </c>
      <c r="D1038" s="5" t="inlineStr">
        <is>
          <t>Outcome not related to interest</t>
        </is>
      </c>
      <c r="E1038" s="86" t="n"/>
      <c r="F1038" s="86" t="n"/>
    </row>
    <row r="1039" ht="16" customHeight="1" s="55">
      <c r="A1039" s="86" t="inlineStr">
        <is>
          <t>Frequency-Domain Assisted Fundus Image Enhancement Network Based on the Mamba Model</t>
        </is>
      </c>
      <c r="B1039" s="86" t="inlineStr">
        <is>
          <t>B. Luo; Y. Wen; J. Ji; W. Cao; P. Li</t>
        </is>
      </c>
      <c r="C1039" s="86" t="n">
        <v>2024</v>
      </c>
      <c r="D1039" s="5" t="inlineStr">
        <is>
          <t>Outcome not related to interest</t>
        </is>
      </c>
      <c r="E1039" s="86" t="n"/>
      <c r="F1039" s="86" t="n"/>
    </row>
    <row r="1040" ht="16" customHeight="1" s="55">
      <c r="A1040" s="86" t="inlineStr">
        <is>
          <t>MSA-Net: MultiScale Attention Network for Diabetic Retinopathy Lesion Segmentation</t>
        </is>
      </c>
      <c r="B1040" s="86" t="inlineStr">
        <is>
          <t>H. Li; Y. Wang</t>
        </is>
      </c>
      <c r="C1040" s="86" t="n">
        <v>2024</v>
      </c>
      <c r="D1040" s="5" t="inlineStr">
        <is>
          <t>Outcome not related to interest</t>
        </is>
      </c>
      <c r="E1040" s="86" t="n"/>
      <c r="F1040" s="86" t="n"/>
    </row>
    <row r="1041" ht="16" customHeight="1" s="55">
      <c r="A1041" s="86" t="inlineStr">
        <is>
          <t>Utilising Convolutional Neural Networks for the Automated Detection of Diabetic Retinopathy</t>
        </is>
      </c>
      <c r="B1041" s="86" t="inlineStr">
        <is>
          <t>R. P. Lakshmi; S. Shopika; A. Y; M. H; V. Saraswathi; R. Ponnusamy</t>
        </is>
      </c>
      <c r="C1041" s="86" t="n">
        <v>2024</v>
      </c>
      <c r="D1041" s="5" t="inlineStr">
        <is>
          <t>Outcome not related to interest</t>
        </is>
      </c>
      <c r="E1041" s="86" t="n"/>
      <c r="F1041" s="86" t="n"/>
    </row>
    <row r="1042" ht="16" customHeight="1" s="55">
      <c r="A1042" s="86" t="inlineStr">
        <is>
          <t>Classification of Diabetic Retinopathy Using Slime Mould Optimization Based ResNet-18 Deep Learning Model</t>
        </is>
      </c>
      <c r="B1042" s="86" t="inlineStr">
        <is>
          <t>S. Lakhera; A. Garg</t>
        </is>
      </c>
      <c r="C1042" s="86" t="n">
        <v>2024</v>
      </c>
      <c r="D1042" s="5" t="inlineStr">
        <is>
          <t>Outcome not related to interest</t>
        </is>
      </c>
      <c r="E1042" s="86" t="n"/>
      <c r="F1042" s="86" t="n"/>
    </row>
    <row r="1043" ht="16" customHeight="1" s="55">
      <c r="A1043" s="86" t="inlineStr">
        <is>
          <t>Enhanced Diabetic Retinopathy Grading Using a Deep Hybrid Approach</t>
        </is>
      </c>
      <c r="B1043" s="86" t="inlineStr">
        <is>
          <t>G. Laharesh; G. S. Chandra; R. S. Vikkraman; S. M. Kumar; M. Suchithra</t>
        </is>
      </c>
      <c r="C1043" s="86" t="n">
        <v>2024</v>
      </c>
      <c r="D1043" s="5" t="inlineStr">
        <is>
          <t>Outcome not related to interest</t>
        </is>
      </c>
      <c r="E1043" s="86" t="n"/>
      <c r="F1043" s="86" t="n"/>
    </row>
    <row r="1044" ht="16" customHeight="1" s="55">
      <c r="A1044" s="86" t="inlineStr">
        <is>
          <t>Eye Disease Detection Model Using Convolutional Neural Network with RMSprop, SGD, and Adam Optimizers</t>
        </is>
      </c>
      <c r="B1044" s="86" t="inlineStr">
        <is>
          <t>D. Kurniadi; A. Mulyani; M. R. R. Suwandy</t>
        </is>
      </c>
      <c r="C1044" s="86" t="n">
        <v>2024</v>
      </c>
      <c r="D1044" s="5" t="inlineStr">
        <is>
          <t>Outcome not related to interest</t>
        </is>
      </c>
      <c r="E1044" s="86" t="n"/>
      <c r="F1044" s="86" t="n"/>
    </row>
    <row r="1045" ht="16" customHeight="1" s="55">
      <c r="A1045" s="86" t="inlineStr">
        <is>
          <t>Retinares: An Integrated Deep Learning Framework for Diabetic Retinopathy Classification and Real-Time Severity Prediction</t>
        </is>
      </c>
      <c r="B1045" s="86" t="inlineStr">
        <is>
          <t>R. P. Kumar; A. V. Vardhan; G. S. Sanjay; P. S. Ramana; S. S. Pavan</t>
        </is>
      </c>
      <c r="C1045" s="86" t="n">
        <v>2024</v>
      </c>
      <c r="D1045" s="5" t="inlineStr">
        <is>
          <t>Outcome not related to interest</t>
        </is>
      </c>
      <c r="E1045" s="86" t="n"/>
      <c r="F1045" s="86" t="n"/>
    </row>
    <row r="1046" ht="16" customHeight="1" s="55">
      <c r="A1046" s="86" t="inlineStr">
        <is>
          <t>Diabetic Retinopathy Detection Leveraging Convolutional Neural Network Architectures</t>
        </is>
      </c>
      <c r="B1046" s="86" t="inlineStr">
        <is>
          <t>R. G. Kumar; M. R. Bharamagoudra; H. V. Singh</t>
        </is>
      </c>
      <c r="C1046" s="86" t="n">
        <v>2024</v>
      </c>
      <c r="D1046" s="5" t="inlineStr">
        <is>
          <t>Outcome not related to interest</t>
        </is>
      </c>
      <c r="E1046" s="86" t="n"/>
      <c r="F1046" s="86" t="n"/>
    </row>
    <row r="1047" ht="16" customHeight="1" s="55">
      <c r="A1047" s="86" t="inlineStr">
        <is>
          <t>Deep learning for diabetic retinopathy detection and classification Using Long Short-Term Memory (LSTM)</t>
        </is>
      </c>
      <c r="B1047" s="86" t="inlineStr">
        <is>
          <t>M. P. Kumar; D. S. Goud; S. Sankar; S. S. Kumar</t>
        </is>
      </c>
      <c r="C1047" s="86" t="n">
        <v>2024</v>
      </c>
      <c r="D1047" s="5" t="inlineStr">
        <is>
          <t>Outcome not related to interest</t>
        </is>
      </c>
      <c r="E1047" s="86" t="n"/>
      <c r="F1047" s="86" t="n"/>
    </row>
    <row r="1048" ht="16" customHeight="1" s="55">
      <c r="A1048" s="86" t="inlineStr">
        <is>
          <t>Diabetic Retinopathy Severity Detection Using InceptionV3 and ResNet50 Architectures</t>
        </is>
      </c>
      <c r="B1048" s="86" t="inlineStr">
        <is>
          <t>K. G. Kumar; S. Aparna; P. Bhavadharani; E. B. Logesh; M. D. S. Raam</t>
        </is>
      </c>
      <c r="C1048" s="86" t="n">
        <v>2024</v>
      </c>
      <c r="D1048" s="5" t="inlineStr">
        <is>
          <t>Outcome not related to interest</t>
        </is>
      </c>
      <c r="E1048" s="86" t="n"/>
      <c r="F1048" s="86" t="n"/>
    </row>
    <row r="1049" ht="16" customHeight="1" s="55">
      <c r="A1049" s="86" t="inlineStr">
        <is>
          <t>Application of Generative Adversarial Network for Data Augmentation in Diabetic Retinopathy</t>
        </is>
      </c>
      <c r="B1049" s="86" t="inlineStr">
        <is>
          <t>A. Kumar; R. P. Singh</t>
        </is>
      </c>
      <c r="C1049" s="86" t="n">
        <v>2024</v>
      </c>
      <c r="D1049" s="5" t="inlineStr">
        <is>
          <t>Outcome not related to interest</t>
        </is>
      </c>
      <c r="E1049" s="86" t="n"/>
      <c r="F1049" s="86" t="n"/>
    </row>
    <row r="1050" ht="16" customHeight="1" s="55">
      <c r="A1050" s="86" t="inlineStr">
        <is>
          <t>Advanced CNN-Based Approach for Early Diabetic Retinopathy Detection Using Retinal Images</t>
        </is>
      </c>
      <c r="B1050" s="86" t="inlineStr">
        <is>
          <t>A. Kumar; L. Nelson; D. Arumugam</t>
        </is>
      </c>
      <c r="C1050" s="86" t="n">
        <v>2024</v>
      </c>
      <c r="D1050" s="5" t="inlineStr">
        <is>
          <t>Outcome not related to interest</t>
        </is>
      </c>
      <c r="E1050" s="86" t="n"/>
      <c r="F1050" s="86" t="n"/>
    </row>
    <row r="1051" ht="16" customHeight="1" s="55">
      <c r="A1051" s="86" t="inlineStr">
        <is>
          <t>Exploring Deep Neural Networks for Accurate Diabetic Retinopathy Prediction</t>
        </is>
      </c>
      <c r="B1051" s="86" t="inlineStr">
        <is>
          <t>T. Kujani; P. Arivubrakan; K. Raju; P. M. Sankar; B. S. Reddy; E. Bhavana</t>
        </is>
      </c>
      <c r="C1051" s="86" t="n">
        <v>2024</v>
      </c>
      <c r="D1051" s="5" t="inlineStr">
        <is>
          <t>Outcome not related to interest</t>
        </is>
      </c>
      <c r="E1051" s="86" t="n"/>
      <c r="F1051" s="86" t="n"/>
    </row>
    <row r="1052" ht="16" customHeight="1" s="55">
      <c r="A1052" s="86" t="inlineStr">
        <is>
          <t>Design and Development of Visual Error Detection System (VEDS) Leveraging Convolutional Neural Networks for Early Detection of Ocular Abnormalities to Mitigate Vision-Related Complications</t>
        </is>
      </c>
      <c r="B1052" s="86" t="inlineStr">
        <is>
          <t>K. S. Krishna; B. D. Kumar; M. D. Reddy; C. Saketh; B. S; M. R</t>
        </is>
      </c>
      <c r="C1052" s="86" t="n">
        <v>2024</v>
      </c>
      <c r="D1052" s="5" t="inlineStr">
        <is>
          <t>Outcome not related to interest</t>
        </is>
      </c>
      <c r="E1052" s="86" t="n"/>
      <c r="F1052" s="86" t="n"/>
    </row>
    <row r="1053" ht="16" customHeight="1" s="55">
      <c r="A1053" s="86" t="inlineStr">
        <is>
          <t>Diabetic and Hypertensive Retinopathy Classification from Retinal Images Using Dual Vision Transformer</t>
        </is>
      </c>
      <c r="B1053" s="86" t="inlineStr">
        <is>
          <t>H. Koduri; M. Ma</t>
        </is>
      </c>
      <c r="C1053" s="86" t="n">
        <v>2024</v>
      </c>
      <c r="D1053" s="5" t="inlineStr">
        <is>
          <t>Outcome not related to interest</t>
        </is>
      </c>
      <c r="E1053" s="86" t="n"/>
      <c r="F1053" s="86" t="n"/>
    </row>
    <row r="1054" ht="16" customHeight="1" s="55">
      <c r="A1054" s="86" t="inlineStr">
        <is>
          <t>Next-Gen Ophthalmic AI: Early Eye Disease Detection with ResNet-18</t>
        </is>
      </c>
      <c r="B1054" s="86" t="inlineStr">
        <is>
          <t>A. Kheterpal; K. S. Gill</t>
        </is>
      </c>
      <c r="C1054" s="86" t="n">
        <v>2024</v>
      </c>
      <c r="D1054" s="5" t="inlineStr">
        <is>
          <t>Outcome not related to interest</t>
        </is>
      </c>
      <c r="E1054" s="86" t="n"/>
      <c r="F1054" s="86" t="n"/>
    </row>
    <row r="1055" ht="16" customHeight="1" s="55">
      <c r="A1055" s="86" t="inlineStr">
        <is>
          <t>Diabetic Retinopathy Detection Using Deep Learning</t>
        </is>
      </c>
      <c r="B1055" s="86" t="inlineStr">
        <is>
          <t>B. Keerthi; K. K. Powmika; P. Narendra; N. Karthik</t>
        </is>
      </c>
      <c r="C1055" s="86" t="n">
        <v>2024</v>
      </c>
      <c r="D1055" s="5" t="inlineStr">
        <is>
          <t>Outcome not related to interest</t>
        </is>
      </c>
      <c r="E1055" s="86" t="n"/>
      <c r="F1055" s="86" t="n"/>
    </row>
    <row r="1056" ht="16" customHeight="1" s="55">
      <c r="A1056" s="86" t="inlineStr">
        <is>
          <t>Automated Diabetic Retinopathy Identification Through Deep Learning Methods</t>
        </is>
      </c>
      <c r="B1056" s="86" t="inlineStr">
        <is>
          <t>A. K. Kavuru; R. K. Patjoshi</t>
        </is>
      </c>
      <c r="C1056" s="86" t="n">
        <v>2024</v>
      </c>
      <c r="D1056" s="5" t="inlineStr">
        <is>
          <t>Outcome not related to interest</t>
        </is>
      </c>
      <c r="E1056" s="86" t="n"/>
      <c r="F1056" s="86" t="n"/>
    </row>
    <row r="1057" ht="16" customHeight="1" s="55">
      <c r="A1057" s="86" t="inlineStr">
        <is>
          <t>Diagnosing Different Grades of Diabetic Retinopathy Using Ensemble Learning</t>
        </is>
      </c>
      <c r="B1057" s="86" t="inlineStr">
        <is>
          <t>N. S. Kavitha; N. Kasthuri; S. Sowmika; S. S. Sakthi; S. Suriya; L. G. Raj; J. J. Hasin; B. S. Khaushik</t>
        </is>
      </c>
      <c r="C1057" s="86" t="n">
        <v>2024</v>
      </c>
      <c r="D1057" s="5" t="inlineStr">
        <is>
          <t>Outcome not related to interest</t>
        </is>
      </c>
      <c r="E1057" s="86" t="n"/>
      <c r="F1057" s="86" t="n"/>
    </row>
    <row r="1058" ht="16" customHeight="1" s="55">
      <c r="A1058" s="86" t="inlineStr">
        <is>
          <t>Optimizing Automated Eye Disease Detection: A Deep Learning Approach Using EfficientNetB3 for Accurate Multi-Class Classification</t>
        </is>
      </c>
      <c r="B1058" s="86" t="inlineStr">
        <is>
          <t>P. Kaushik; P. Sharma</t>
        </is>
      </c>
      <c r="C1058" s="86" t="n">
        <v>2024</v>
      </c>
      <c r="D1058" s="5" t="inlineStr">
        <is>
          <t>Outcome not related to interest</t>
        </is>
      </c>
      <c r="E1058" s="86" t="n"/>
      <c r="F1058" s="86" t="n"/>
    </row>
    <row r="1059" ht="16" customHeight="1" s="55">
      <c r="A1059" s="86" t="inlineStr">
        <is>
          <t>Enhanced ResNet-18: A Novel Approach for Automated Classification and Early Detection of Eye Diseases</t>
        </is>
      </c>
      <c r="B1059" s="86" t="inlineStr">
        <is>
          <t>P. Kaushik; E. Jain; K. S. Gill; D. Upadhyay; S. Devliyal</t>
        </is>
      </c>
      <c r="C1059" s="86" t="n">
        <v>2024</v>
      </c>
      <c r="D1059" s="5" t="inlineStr">
        <is>
          <t>Outcome not related to interest</t>
        </is>
      </c>
      <c r="E1059" s="86" t="n"/>
      <c r="F1059" s="86" t="n"/>
    </row>
    <row r="1060" ht="16" customHeight="1" s="55">
      <c r="A1060" s="86" t="inlineStr">
        <is>
          <t>Diabetic Retinopathy Detection via Deep Learning</t>
        </is>
      </c>
      <c r="B1060" s="86" t="inlineStr">
        <is>
          <t>P. Kaushik; G. S. Chouhan; N. Rajalakshmi; Y. S. Thenuan; M. P. Dutta; R. S. Rana</t>
        </is>
      </c>
      <c r="C1060" s="86" t="n">
        <v>2024</v>
      </c>
      <c r="D1060" s="5" t="inlineStr">
        <is>
          <t>Outcome not related to interest</t>
        </is>
      </c>
      <c r="E1060" s="86" t="n"/>
      <c r="F1060" s="86" t="n"/>
    </row>
    <row r="1061" ht="16" customHeight="1" s="55">
      <c r="A1061" s="86" t="inlineStr">
        <is>
          <t>RetDense: A Fine-tuned DenseNet121 Model for Retinal Eye Disease Detection</t>
        </is>
      </c>
      <c r="B1061" s="86" t="inlineStr">
        <is>
          <t>A. Kaur; V. Kukreja; M. Kumar; A. Choudhary; R. Sharma</t>
        </is>
      </c>
      <c r="C1061" s="86" t="n">
        <v>2024</v>
      </c>
      <c r="D1061" s="5" t="inlineStr">
        <is>
          <t>Outcome not related to interest</t>
        </is>
      </c>
      <c r="E1061" s="86" t="n"/>
      <c r="F1061" s="86" t="n"/>
    </row>
    <row r="1062" ht="16" customHeight="1" s="55">
      <c r="A1062" s="86" t="inlineStr">
        <is>
          <t>Detection of Multi-Class Multi-Label Ophthalmological Diseases in Retinal Fundus Images Using Machine Learning</t>
        </is>
      </c>
      <c r="B1062" s="86" t="inlineStr">
        <is>
          <t>P. T. Karule; S. B. Bhele; P. Palsodkar; P. T. Agarkar; H. R. Hajare; P. R. Patil</t>
        </is>
      </c>
      <c r="C1062" s="86" t="n">
        <v>2024</v>
      </c>
      <c r="D1062" s="5" t="inlineStr">
        <is>
          <t>Outcome not related to interest</t>
        </is>
      </c>
      <c r="E1062" s="86" t="n"/>
      <c r="F1062" s="86" t="n"/>
    </row>
    <row r="1063" ht="16" customHeight="1" s="55">
      <c r="A1063" s="86" t="inlineStr">
        <is>
          <t>Comparison of deep learning architectures used in the classification of diabetic retinopathy images</t>
        </is>
      </c>
      <c r="B1063" s="86" t="inlineStr">
        <is>
          <t>A. B. Karli; B. Kaya</t>
        </is>
      </c>
      <c r="C1063" s="86" t="n">
        <v>2024</v>
      </c>
      <c r="D1063" s="5" t="inlineStr">
        <is>
          <t>Outcome not related to interest</t>
        </is>
      </c>
      <c r="E1063" s="86" t="n"/>
      <c r="F1063" s="86" t="n"/>
    </row>
    <row r="1064" ht="16" customHeight="1" s="55">
      <c r="A1064" s="86" t="inlineStr">
        <is>
          <t>Detection of Medical Diabetic Retinopathy through Application Using Deep Learning Models</t>
        </is>
      </c>
      <c r="B1064" s="86" t="inlineStr">
        <is>
          <t>V. H. Karambelkar; G. Thorat; A. R. Chopade; A. R. Mohite; A. Patil; L. V. N. Prasad</t>
        </is>
      </c>
      <c r="C1064" s="86" t="n">
        <v>2024</v>
      </c>
      <c r="D1064" s="5" t="inlineStr">
        <is>
          <t>Outcome not related to interest</t>
        </is>
      </c>
      <c r="E1064" s="86" t="n"/>
      <c r="F1064" s="86" t="n"/>
    </row>
    <row r="1065" ht="16" customHeight="1" s="55">
      <c r="A1065" s="86" t="inlineStr">
        <is>
          <t>Optimizing Diabetic Retinopathy Detection with Advanced Machine Learning and Deep Learning Techniques</t>
        </is>
      </c>
      <c r="B1065" s="86" t="inlineStr">
        <is>
          <t>N. Kapur; B. Kaur</t>
        </is>
      </c>
      <c r="C1065" s="86" t="n">
        <v>2024</v>
      </c>
      <c r="D1065" s="5" t="inlineStr">
        <is>
          <t>Outcome not related to interest</t>
        </is>
      </c>
      <c r="E1065" s="86" t="n"/>
      <c r="F1065" s="86" t="n"/>
    </row>
    <row r="1066" ht="16" customHeight="1" s="55">
      <c r="A1066" s="86" t="inlineStr">
        <is>
          <t>Enhanced Multi-Model Feature Fusion for Categorizing Diabetic Retinopathy Severity level</t>
        </is>
      </c>
      <c r="B1066" s="86" t="inlineStr">
        <is>
          <t>D. L. Kanumuri; G. Ayinampudi; M. Kamma; S. Anna; B. Suvarna</t>
        </is>
      </c>
      <c r="C1066" s="86" t="n">
        <v>2024</v>
      </c>
      <c r="D1066" s="5" t="inlineStr">
        <is>
          <t>Outcome not related to interest</t>
        </is>
      </c>
      <c r="E1066" s="86" t="n"/>
      <c r="F1066" s="86" t="n"/>
    </row>
    <row r="1067" ht="16" customHeight="1" s="55">
      <c r="A1067" s="86" t="inlineStr">
        <is>
          <t>DL Driven Detection Approach for Diabetic Retinopathy Using Hybrid Model Application</t>
        </is>
      </c>
      <c r="B1067" s="86" t="inlineStr">
        <is>
          <t>R. K. Kanna; V. H. Vardhan; J. Naveen; M. Rakesh</t>
        </is>
      </c>
      <c r="C1067" s="86" t="n">
        <v>2024</v>
      </c>
      <c r="D1067" s="5" t="inlineStr">
        <is>
          <t>Outcome not related to interest</t>
        </is>
      </c>
      <c r="E1067" s="86" t="n"/>
      <c r="F1067" s="86" t="n"/>
    </row>
    <row r="1068" ht="16" customHeight="1" s="55">
      <c r="A1068" s="86" t="inlineStr">
        <is>
          <t>Optimized Ensembled Model to Predict Diabetes Using Machine Learning</t>
        </is>
      </c>
      <c r="B1068" s="86" t="inlineStr">
        <is>
          <t>Kamal; S. AnujKumar; K. Dinesh</t>
        </is>
      </c>
      <c r="C1068" s="86" t="n">
        <v>2024</v>
      </c>
      <c r="D1068" s="5" t="inlineStr">
        <is>
          <t>Outcome not related to interest</t>
        </is>
      </c>
      <c r="E1068" s="86" t="n"/>
      <c r="F1068" s="86" t="n"/>
    </row>
    <row r="1069" ht="16" customHeight="1" s="55">
      <c r="A1069" s="86" t="inlineStr">
        <is>
          <t>Diabetic Retinopathy Diseases Classification from Fundus Images Using Deep Learning</t>
        </is>
      </c>
      <c r="B1069" s="86" t="inlineStr">
        <is>
          <t>P. P. Kale; U. B. Shinde; S. S. Ali; D. L. Bhuyar; H. B. Mahajan</t>
        </is>
      </c>
      <c r="C1069" s="86" t="n">
        <v>2024</v>
      </c>
      <c r="D1069" s="5" t="inlineStr">
        <is>
          <t>Outcome not related to interest</t>
        </is>
      </c>
      <c r="E1069" s="86" t="n"/>
      <c r="F1069" s="86" t="n"/>
    </row>
    <row r="1070" ht="16" customHeight="1" s="55">
      <c r="A1070" s="86" t="inlineStr">
        <is>
          <t>Optimal Detection of Diabetic Retinopathy Severity Levels Using Attention-Based CNN and Vision Transformers (ViT)</t>
        </is>
      </c>
      <c r="B1070" s="86" t="inlineStr">
        <is>
          <t>G. Kakade; C. Kakade</t>
        </is>
      </c>
      <c r="C1070" s="86" t="n">
        <v>2024</v>
      </c>
      <c r="D1070" s="5" t="inlineStr">
        <is>
          <t>Outcome not related to interest</t>
        </is>
      </c>
      <c r="E1070" s="86" t="n"/>
      <c r="F1070" s="86" t="n"/>
    </row>
    <row r="1071" ht="16" customHeight="1" s="55">
      <c r="A1071" s="86" t="inlineStr">
        <is>
          <t>Insightful Precision: Harnessing Deep Learning for Diabetic Retinopathy Diagnosis</t>
        </is>
      </c>
      <c r="B1071" s="86" t="inlineStr">
        <is>
          <t>P. Kadiri; R. Suresh; V. S. Pavan; M. Prabhu; R. Asuncion; J. V. Suman</t>
        </is>
      </c>
      <c r="C1071" s="86" t="n">
        <v>2024</v>
      </c>
      <c r="D1071" s="5" t="inlineStr">
        <is>
          <t>Outcome not related to interest</t>
        </is>
      </c>
      <c r="E1071" s="86" t="n"/>
      <c r="F1071" s="86" t="n"/>
    </row>
    <row r="1072" ht="16" customHeight="1" s="55">
      <c r="A1072" s="86" t="inlineStr">
        <is>
          <t>Diabetic Retinopathy Classification Using Hybrid Color-Based CLAHE and Blood Vessel in Deep Convolution Neural Network</t>
        </is>
      </c>
      <c r="B1072" s="86" t="inlineStr">
        <is>
          <t>A. J. Kadhim; H. Seyedarabi; R. Afrouzian; F. S. Hasan</t>
        </is>
      </c>
      <c r="C1072" s="86" t="n">
        <v>2024</v>
      </c>
      <c r="D1072" s="5" t="inlineStr">
        <is>
          <t>Outcome not related to interest</t>
        </is>
      </c>
      <c r="E1072" s="86" t="n"/>
      <c r="F1072" s="86" t="n"/>
    </row>
    <row r="1073" ht="16" customHeight="1" s="55">
      <c r="A1073" s="86" t="inlineStr">
        <is>
          <t>The Role of Fundus Imaging and GAN in Diabetic Retinopathy Classification using VGG19</t>
        </is>
      </c>
      <c r="B1073" s="86" t="inlineStr">
        <is>
          <t>C. Kabilan; S. M. Kumar; G. L. Selvi</t>
        </is>
      </c>
      <c r="C1073" s="86" t="n">
        <v>2024</v>
      </c>
      <c r="D1073" s="5" t="inlineStr">
        <is>
          <t>Outcome not related to interest</t>
        </is>
      </c>
      <c r="E1073" s="86" t="n"/>
      <c r="F1073" s="86" t="n"/>
    </row>
    <row r="1074" ht="16" customHeight="1" s="55">
      <c r="A1074" s="86" t="inlineStr">
        <is>
          <t>Abnormality Detection of Retinal Images Using Dual Autoencoder</t>
        </is>
      </c>
      <c r="B1074" s="86" t="inlineStr">
        <is>
          <t>P. K. N; S. K. Bairwa; A. L. P; U. Jayaraman</t>
        </is>
      </c>
      <c r="C1074" s="86" t="n">
        <v>2024</v>
      </c>
      <c r="D1074" s="5" t="inlineStr">
        <is>
          <t>Outcome not related to interest</t>
        </is>
      </c>
      <c r="E1074" s="86" t="n"/>
      <c r="F1074" s="86" t="n"/>
    </row>
    <row r="1075" ht="16" customHeight="1" s="55">
      <c r="A1075" s="86" t="inlineStr">
        <is>
          <t>Multimodal Approach for Diabetic Retinopathy Detection Using Deep Learning and Clinical Data Fusion</t>
        </is>
      </c>
      <c r="B1075" s="86" t="inlineStr">
        <is>
          <t>S. K; S. S. S; G. G. S; R. S; M. S</t>
        </is>
      </c>
      <c r="C1075" s="86" t="n">
        <v>2024</v>
      </c>
      <c r="D1075" s="5" t="inlineStr">
        <is>
          <t>Outcome not related to interest</t>
        </is>
      </c>
      <c r="E1075" s="86" t="n"/>
      <c r="F1075" s="86" t="n"/>
    </row>
    <row r="1076" ht="16" customHeight="1" s="55">
      <c r="A1076" s="86" t="inlineStr">
        <is>
          <t>Diabetic Retinopathy Identification Depend On Deep Learning Techniques: A comparative Study</t>
        </is>
      </c>
      <c r="B1076" s="86" t="inlineStr">
        <is>
          <t>F. J. Jwad; A. A. Abdulmunem</t>
        </is>
      </c>
      <c r="C1076" s="86" t="n">
        <v>2024</v>
      </c>
      <c r="D1076" s="5" t="inlineStr">
        <is>
          <t>Outcome not related to interest</t>
        </is>
      </c>
      <c r="E1076" s="86" t="n"/>
      <c r="F1076" s="86" t="n"/>
    </row>
    <row r="1077" ht="16" customHeight="1" s="55">
      <c r="A1077" s="86" t="inlineStr">
        <is>
          <t>Improving Diagnosis and Classification of Severity in Diabetic Retinopathy Using Transfer Learning</t>
        </is>
      </c>
      <c r="B1077" s="86" t="inlineStr">
        <is>
          <t>L. Jenefa; S. R</t>
        </is>
      </c>
      <c r="C1077" s="86" t="n">
        <v>2024</v>
      </c>
      <c r="D1077" s="5" t="inlineStr">
        <is>
          <t>Outcome not related to interest</t>
        </is>
      </c>
      <c r="E1077" s="86" t="n"/>
      <c r="F1077" s="86" t="n"/>
    </row>
    <row r="1078" ht="16" customHeight="1" s="55">
      <c r="A1078" s="86" t="inlineStr">
        <is>
          <t>A Reliable Approach for Automatic Grading of Diabetic Retinopathy from Fundus Images using Feature Extraction and Fusion</t>
        </is>
      </c>
      <c r="B1078" s="86" t="inlineStr">
        <is>
          <t>R. A. Jasmine; M. Ramla; M. Ramesh</t>
        </is>
      </c>
      <c r="C1078" s="86" t="n">
        <v>2024</v>
      </c>
      <c r="D1078" s="5" t="inlineStr">
        <is>
          <t>Outcome not related to interest</t>
        </is>
      </c>
      <c r="E1078" s="86" t="n"/>
      <c r="F1078" s="86" t="n"/>
    </row>
    <row r="1079" ht="16" customHeight="1" s="55">
      <c r="A1079" s="86" t="inlineStr">
        <is>
          <t>Exploring the Effectiveness of Vision Transformers in Diabetic Retinopathy Identification via Retinal Imaging</t>
        </is>
      </c>
      <c r="B1079" s="86" t="inlineStr">
        <is>
          <t>R. Jankevičiūiė; V. Abromavičius</t>
        </is>
      </c>
      <c r="C1079" s="86" t="n">
        <v>2024</v>
      </c>
      <c r="D1079" s="5" t="inlineStr">
        <is>
          <t>Outcome not related to interest</t>
        </is>
      </c>
      <c r="E1079" s="86" t="n"/>
      <c r="F1079" s="86" t="n"/>
    </row>
    <row r="1080" ht="16" customHeight="1" s="55">
      <c r="A1080" s="86" t="inlineStr">
        <is>
          <t>Automated Detection and Classification of Diabetic Retinopathy Using Convolutional Neural Networks: A Deep Learning Approach</t>
        </is>
      </c>
      <c r="B1080" s="86" t="inlineStr">
        <is>
          <t>E. Jain; A. Rathour</t>
        </is>
      </c>
      <c r="C1080" s="86" t="n">
        <v>2024</v>
      </c>
      <c r="D1080" s="5" t="inlineStr">
        <is>
          <t>Outcome not related to interest</t>
        </is>
      </c>
      <c r="E1080" s="86" t="n"/>
      <c r="F1080" s="86" t="n"/>
    </row>
    <row r="1081" ht="16" customHeight="1" s="55">
      <c r="A1081" s="86" t="inlineStr">
        <is>
          <t>RetinaGuard: An Optimal CNN Solution for Diabetic Retinopathy</t>
        </is>
      </c>
      <c r="B1081" s="86" t="inlineStr">
        <is>
          <t>N. Jagadisha; A. P. Prabhu; S. K. Abhay; C. Nayak; C. S. Honavarker</t>
        </is>
      </c>
      <c r="C1081" s="86" t="n">
        <v>2024</v>
      </c>
      <c r="D1081" s="5" t="inlineStr">
        <is>
          <t>Outcome not related to interest</t>
        </is>
      </c>
      <c r="E1081" s="86" t="n"/>
      <c r="F1081" s="86" t="n"/>
    </row>
    <row r="1082" ht="16" customHeight="1" s="55">
      <c r="A1082" s="86" t="inlineStr">
        <is>
          <t>A Lesion-Based Diabetic Retinopathy Detection Through Hybrid Deep Learning Model</t>
        </is>
      </c>
      <c r="B1082" s="86" t="inlineStr">
        <is>
          <t>A. Jabbar; H. B. Liaqat; A. Akram; M. U. Sana; I. D. Azpíroz; I. D. L. T. Diez; I. Ashraf</t>
        </is>
      </c>
      <c r="C1082" s="86" t="n">
        <v>2024</v>
      </c>
      <c r="D1082" s="5" t="inlineStr">
        <is>
          <t>Outcome not related to interest</t>
        </is>
      </c>
      <c r="E1082" s="86" t="n"/>
      <c r="F1082" s="86" t="n"/>
    </row>
    <row r="1083" ht="16" customHeight="1" s="55">
      <c r="A1083" s="86" t="inlineStr">
        <is>
          <t>Advancing Ophthalmology through Transfer Learning and Channel-Wise Attention for Retinal Disease Classification</t>
        </is>
      </c>
      <c r="B1083" s="86" t="inlineStr">
        <is>
          <t>S. P. Islam; A. U. Alam</t>
        </is>
      </c>
      <c r="C1083" s="86" t="n">
        <v>2024</v>
      </c>
      <c r="D1083" s="5" t="inlineStr">
        <is>
          <t>Outcome not related to interest</t>
        </is>
      </c>
      <c r="E1083" s="86" t="n"/>
      <c r="F1083" s="86" t="n"/>
    </row>
    <row r="1084" ht="16" customHeight="1" s="55">
      <c r="A1084" s="86" t="inlineStr">
        <is>
          <t>Multi-Head Self-Attention Mechanisms in Vision Transformers for Retinal Image Classification</t>
        </is>
      </c>
      <c r="B1084" s="86" t="inlineStr">
        <is>
          <t>O. Islam; K. Kumer; S. Akter; M. M. Uddin</t>
        </is>
      </c>
      <c r="C1084" s="86" t="n">
        <v>2024</v>
      </c>
      <c r="D1084" s="5" t="inlineStr">
        <is>
          <t>Outcome not related to interest</t>
        </is>
      </c>
      <c r="E1084" s="86" t="n"/>
      <c r="F1084" s="86" t="n"/>
    </row>
    <row r="1085" ht="16" customHeight="1" s="55">
      <c r="A1085" s="86" t="inlineStr">
        <is>
          <t>Attention-Driven Feature Fusion Integrating Swin Transformer and CNN Models for Improved Ocular Disease Classification</t>
        </is>
      </c>
      <c r="B1085" s="86" t="inlineStr">
        <is>
          <t>M. A. Iqbal; J. Kim; I. Han; S. K. Kim</t>
        </is>
      </c>
      <c r="C1085" s="86" t="n">
        <v>2024</v>
      </c>
      <c r="D1085" s="5" t="inlineStr">
        <is>
          <t>Outcome not related to interest</t>
        </is>
      </c>
      <c r="E1085" s="86" t="n"/>
      <c r="F1085" s="86" t="n"/>
    </row>
    <row r="1086" ht="16" customHeight="1" s="55">
      <c r="A1086" s="86" t="inlineStr">
        <is>
          <t>Data Fusion Based Ensemble Transfer Learning Approach to Detect Diabetic Retinopathy</t>
        </is>
      </c>
      <c r="B1086" s="86" t="inlineStr">
        <is>
          <t>B. Ihnaini; S. Akhtar; M. Ahmad; S. Aftab</t>
        </is>
      </c>
      <c r="C1086" s="86" t="n">
        <v>2024</v>
      </c>
      <c r="D1086" s="5" t="inlineStr">
        <is>
          <t>Outcome not related to interest</t>
        </is>
      </c>
      <c r="E1086" s="86" t="n"/>
      <c r="F1086" s="86" t="n"/>
    </row>
    <row r="1087" ht="16" customHeight="1" s="55">
      <c r="A1087" s="86" t="inlineStr">
        <is>
          <t>Feature Engineering for Optimizing AI-Driven Classification Models in Non-Proliferative Diabetic Retinopathy Stage Detection</t>
        </is>
      </c>
      <c r="B1087" s="86" t="inlineStr">
        <is>
          <t>M. S. I; I. A. S. I. F; T. H. N. I; U. L. W; M. M. D; U. B. B</t>
        </is>
      </c>
      <c r="C1087" s="86" t="n">
        <v>2024</v>
      </c>
      <c r="D1087" s="5" t="inlineStr">
        <is>
          <t>Outcome not related to interest</t>
        </is>
      </c>
      <c r="E1087" s="86" t="n"/>
      <c r="F1087" s="86" t="n"/>
    </row>
    <row r="1088" ht="16" customHeight="1" s="55">
      <c r="A1088" s="86" t="inlineStr">
        <is>
          <t>Detection of Ophthalmic Disorders Through Deep Feature Fusion</t>
        </is>
      </c>
      <c r="B1088" s="86" t="inlineStr">
        <is>
          <t>M. T. Hussain; M. Faraz; S. Aziz; K. Iqtidar; M. U. Khan; G. A. Montes</t>
        </is>
      </c>
      <c r="C1088" s="86" t="n">
        <v>2024</v>
      </c>
      <c r="D1088" s="5" t="inlineStr">
        <is>
          <t>Outcome not related to interest</t>
        </is>
      </c>
      <c r="E1088" s="86" t="n"/>
      <c r="F1088" s="86" t="n"/>
    </row>
    <row r="1089" ht="16" customHeight="1" s="55">
      <c r="A1089" s="86" t="inlineStr">
        <is>
          <t>Retinal Disease Classification using EfficientNet-B3</t>
        </is>
      </c>
      <c r="B1089" s="86" t="inlineStr">
        <is>
          <t>M. S. A. Hussain; S. Babu; M. K. S. S. Sai; K. Siddartha; K. B. Naik</t>
        </is>
      </c>
      <c r="C1089" s="86" t="n">
        <v>2024</v>
      </c>
      <c r="D1089" s="5" t="inlineStr">
        <is>
          <t>Outcome not related to interest</t>
        </is>
      </c>
      <c r="E1089" s="86" t="n"/>
      <c r="F1089" s="86" t="n"/>
    </row>
    <row r="1090" ht="16" customHeight="1" s="55">
      <c r="A1090" s="86" t="inlineStr">
        <is>
          <t>SSiT: Saliency-Guided Self-Supervised Image Transformer for Diabetic Retinopathy Grading</t>
        </is>
      </c>
      <c r="B1090" s="86" t="inlineStr">
        <is>
          <t>Y. Huang; J. Lyu; P. Cheng; R. Tam; X. Tang</t>
        </is>
      </c>
      <c r="C1090" s="86" t="n">
        <v>2024</v>
      </c>
      <c r="D1090" s="5" t="inlineStr">
        <is>
          <t>Outcome not related to interest</t>
        </is>
      </c>
      <c r="E1090" s="86" t="n"/>
      <c r="F1090" s="86" t="n"/>
    </row>
    <row r="1091" ht="16" customHeight="1" s="55">
      <c r="A1091" s="86" t="inlineStr">
        <is>
          <t>Improving Diabetic Retinopathy Classification by Employing Convolutional Block Attention Mechanism in Modified InceptionV3 Model</t>
        </is>
      </c>
      <c r="B1091" s="86" t="inlineStr">
        <is>
          <t>S. Hossain; A. B. M. A. Hossain</t>
        </is>
      </c>
      <c r="C1091" s="86" t="n">
        <v>2024</v>
      </c>
      <c r="D1091" s="5" t="inlineStr">
        <is>
          <t>Outcome not related to interest</t>
        </is>
      </c>
      <c r="E1091" s="86" t="n"/>
      <c r="F1091" s="86" t="n"/>
    </row>
    <row r="1092" ht="16" customHeight="1" s="55">
      <c r="A1092" s="86" t="inlineStr">
        <is>
          <t>GDRNet: A Novel Graph Neural Network Architecture for Diabetic Retinopathy Detection</t>
        </is>
      </c>
      <c r="B1092" s="86" t="inlineStr">
        <is>
          <t>S. Hossain; M. Z. Hasan; R. I. Jim; T. F. Shuva; M. T. Rahman; A. A. M. Bulbul; R. T. Khan; M. S. Kaiser; M. A. Moni</t>
        </is>
      </c>
      <c r="C1092" s="86" t="n">
        <v>2024</v>
      </c>
      <c r="D1092" s="5" t="inlineStr">
        <is>
          <t>Outcome not related to interest</t>
        </is>
      </c>
      <c r="E1092" s="86" t="n"/>
      <c r="F1092" s="86" t="n"/>
    </row>
    <row r="1093" ht="16" customHeight="1" s="55">
      <c r="A1093" s="86" t="inlineStr">
        <is>
          <t>Enhancing Early Diagnosis and Precise Classification of Type 2 Diabetes with Diabetic Retinopathy Using Machine Learning and Image Processing</t>
        </is>
      </c>
      <c r="B1093" s="86" t="inlineStr">
        <is>
          <t>S. Hossain; M. T. Chowdhury; M. M. H. Akanda; S. M. S. Sobhani; H. Rahman; M. I. Sumon; M. S. Nawaj</t>
        </is>
      </c>
      <c r="C1093" s="86" t="n">
        <v>2024</v>
      </c>
      <c r="D1093" s="5" t="inlineStr">
        <is>
          <t>Outcome not related to interest</t>
        </is>
      </c>
      <c r="E1093" s="86" t="n"/>
      <c r="F1093" s="86" t="n"/>
    </row>
    <row r="1094" ht="16" customHeight="1" s="55">
      <c r="A1094" s="86" t="inlineStr">
        <is>
          <t>Enhancing Diabetic Retinopathy Management Through Personalized Recommendations with Reinforcement Learning</t>
        </is>
      </c>
      <c r="B1094" s="86" t="inlineStr">
        <is>
          <t>H. M. A. I. B. Herath; H. G. D. Sandakalum; T. F. Samoon; P. V. Thushan; D. Kasthurirathna; J. Krishara</t>
        </is>
      </c>
      <c r="C1094" s="86" t="n">
        <v>2024</v>
      </c>
      <c r="D1094" s="5" t="inlineStr">
        <is>
          <t>Outcome not related to interest</t>
        </is>
      </c>
      <c r="E1094" s="86" t="n"/>
      <c r="F1094" s="86" t="n"/>
    </row>
    <row r="1095" ht="16" customHeight="1" s="55">
      <c r="A1095" s="86" t="inlineStr">
        <is>
          <t>Integrative Predictive Analytics: A Multi-Algorithm Approach to Simultaneous Diabetes and Diabetic Retinopathy Diagnosis</t>
        </is>
      </c>
      <c r="B1095" s="86" t="inlineStr">
        <is>
          <t>G. M. Harshitha; Ranika; R. Prabhu</t>
        </is>
      </c>
      <c r="C1095" s="86" t="n">
        <v>2024</v>
      </c>
      <c r="D1095" s="5" t="inlineStr">
        <is>
          <t>Outcome not related to interest</t>
        </is>
      </c>
      <c r="E1095" s="86" t="n"/>
      <c r="F1095" s="86" t="n"/>
    </row>
    <row r="1096" ht="16" customHeight="1" s="55">
      <c r="A1096" s="86" t="inlineStr">
        <is>
          <t>Extreme Learning Machine (ELM) Algorithm for the Detection of Diabetic Retinopathy</t>
        </is>
      </c>
      <c r="B1096" s="86" t="inlineStr">
        <is>
          <t>P. Hariobulesu; F. Shaik; S. Karimullah; L. Bhanu; B. M; G. K; S. M. S</t>
        </is>
      </c>
      <c r="C1096" s="86" t="n">
        <v>2024</v>
      </c>
      <c r="D1096" s="5" t="inlineStr">
        <is>
          <t>Outcome not related to interest</t>
        </is>
      </c>
      <c r="E1096" s="86" t="n"/>
      <c r="F1096" s="86" t="n"/>
    </row>
    <row r="1097" ht="16" customHeight="1" s="55">
      <c r="A1097" s="86" t="inlineStr">
        <is>
          <t>SwinMedNet: Leveraging Swin Transformer for Robust Diabetic Retinopathy Classification from the RetinaMNIST2D Dataset</t>
        </is>
      </c>
      <c r="B1097" s="86" t="inlineStr">
        <is>
          <t>M. M. Haque; S. Akter; A. F. Ashrafi</t>
        </is>
      </c>
      <c r="C1097" s="86" t="n">
        <v>2024</v>
      </c>
      <c r="D1097" s="5" t="inlineStr">
        <is>
          <t>Outcome not related to interest</t>
        </is>
      </c>
      <c r="E1097" s="86" t="n"/>
      <c r="F1097" s="86" t="n"/>
    </row>
    <row r="1098" ht="16" customHeight="1" s="55">
      <c r="A1098" s="86" t="inlineStr">
        <is>
          <t>AI-Based Primary Diagnosis of Ocular Health via Smartphone</t>
        </is>
      </c>
      <c r="B1098" s="86" t="inlineStr">
        <is>
          <t>H. Hammoud; M. Y. A. Aref; M. A. Jabouli; M. Hammoud; W. Shehieb; K. Arshad</t>
        </is>
      </c>
      <c r="C1098" s="86" t="n">
        <v>2024</v>
      </c>
      <c r="D1098" s="5" t="inlineStr">
        <is>
          <t>Outcome not related to interest</t>
        </is>
      </c>
      <c r="E1098" s="86" t="n"/>
      <c r="F1098" s="86" t="n"/>
    </row>
    <row r="1099" ht="16" customHeight="1" s="55">
      <c r="A1099" s="86" t="inlineStr">
        <is>
          <t>Detection of Diabetic and Hypertensive Retinopathy Using Deep Learning Models</t>
        </is>
      </c>
      <c r="B1099" s="86" t="inlineStr">
        <is>
          <t>R. Gurthula; C. Vanukuru; V. Chiluka; M. S. G. L. Sumalata</t>
        </is>
      </c>
      <c r="C1099" s="86" t="n">
        <v>2024</v>
      </c>
      <c r="D1099" s="5" t="inlineStr">
        <is>
          <t>Outcome not related to interest</t>
        </is>
      </c>
      <c r="E1099" s="86" t="n"/>
      <c r="F1099" s="86" t="n"/>
    </row>
    <row r="1100" ht="16" customHeight="1" s="55">
      <c r="A1100" s="86" t="inlineStr">
        <is>
          <t>An Efficient Deep Learning Approach for Diabetic Retinopathy Classification</t>
        </is>
      </c>
      <c r="B1100" s="86" t="inlineStr">
        <is>
          <t>R. Gupta; V. Kumar; V. Tripathi</t>
        </is>
      </c>
      <c r="C1100" s="86" t="n">
        <v>2024</v>
      </c>
      <c r="D1100" s="5" t="inlineStr">
        <is>
          <t>Outcome not related to interest</t>
        </is>
      </c>
      <c r="E1100" s="86" t="n"/>
      <c r="F1100" s="86" t="n"/>
    </row>
    <row r="1101" ht="16" customHeight="1" s="55">
      <c r="A1101" s="86" t="inlineStr">
        <is>
          <t>RetinaFusion: A Comprehensive Ensemble for Diabetic Eye Care</t>
        </is>
      </c>
      <c r="B1101" s="86" t="inlineStr">
        <is>
          <t>P. Gupta; Ujjwal; J. S. P. Peter; B. P. Esther</t>
        </is>
      </c>
      <c r="C1101" s="86" t="n">
        <v>2024</v>
      </c>
      <c r="D1101" s="5" t="inlineStr">
        <is>
          <t>Outcome not related to interest</t>
        </is>
      </c>
      <c r="E1101" s="86" t="n"/>
      <c r="F1101" s="86" t="n"/>
    </row>
    <row r="1102" ht="16" customHeight="1" s="55">
      <c r="A1102" s="86" t="inlineStr">
        <is>
          <t>A Privacy-Preserving Collaborative Federated Learning Framework for Detecting Retinal Diseases</t>
        </is>
      </c>
      <c r="B1102" s="86" t="inlineStr">
        <is>
          <t>S. Gulati; K. Guleria; N. Goyal; A. A. AlZubi; Á. K. Castilla</t>
        </is>
      </c>
      <c r="C1102" s="86" t="n">
        <v>2024</v>
      </c>
      <c r="D1102" s="5" t="inlineStr">
        <is>
          <t>Outcome not related to interest</t>
        </is>
      </c>
      <c r="E1102" s="86" t="n"/>
      <c r="F1102" s="86" t="n"/>
    </row>
    <row r="1103" ht="16" customHeight="1" s="55">
      <c r="A1103" s="86" t="inlineStr">
        <is>
          <t>Development of A Novel Deep Neural Network Approach to Diabetic Retinopathy Diagnosis</t>
        </is>
      </c>
      <c r="B1103" s="86" t="inlineStr">
        <is>
          <t>V. Gopu; M. Selvi</t>
        </is>
      </c>
      <c r="C1103" s="86" t="n">
        <v>2024</v>
      </c>
      <c r="D1103" s="5" t="inlineStr">
        <is>
          <t>Outcome not related to interest</t>
        </is>
      </c>
      <c r="E1103" s="86" t="n"/>
      <c r="F1103" s="86" t="n"/>
    </row>
    <row r="1104" ht="16" customHeight="1" s="55">
      <c r="A1104" s="86" t="inlineStr">
        <is>
          <t>Attention-Boosted Ensemble of Pre-Trained Convolutional Neural Networks for Accurate Diabetic Retinopathy Detection</t>
        </is>
      </c>
      <c r="B1104" s="86" t="inlineStr">
        <is>
          <t>B. M. Golkhatmi; M. H. Moattar</t>
        </is>
      </c>
      <c r="C1104" s="86" t="n">
        <v>2024</v>
      </c>
      <c r="D1104" s="5" t="inlineStr">
        <is>
          <t>Outcome not related to interest</t>
        </is>
      </c>
      <c r="E1104" s="86" t="n"/>
      <c r="F1104" s="86" t="n"/>
    </row>
    <row r="1105" ht="16" customHeight="1" s="55">
      <c r="A1105" s="86" t="inlineStr">
        <is>
          <t>VGGAE-Net: A Two Stream Ensemble CNN for Diabetes Retinopathy Classification</t>
        </is>
      </c>
      <c r="B1105" s="86" t="inlineStr">
        <is>
          <t>S. Girepunje; P. Singh</t>
        </is>
      </c>
      <c r="C1105" s="86" t="n">
        <v>2024</v>
      </c>
      <c r="D1105" s="5" t="inlineStr">
        <is>
          <t>Outcome not related to interest</t>
        </is>
      </c>
      <c r="E1105" s="86" t="n"/>
      <c r="F1105" s="86" t="n"/>
    </row>
    <row r="1106" ht="16" customHeight="1" s="55">
      <c r="A1106" s="86" t="inlineStr">
        <is>
          <t>Classification of Retinal Fundus Images into Normal / Diabetic with Fused Deep Features</t>
        </is>
      </c>
      <c r="B1106" s="86" t="inlineStr">
        <is>
          <t>R. Geetha; A. Saranya; K. Vijayakumar; S. Prabha</t>
        </is>
      </c>
      <c r="C1106" s="86" t="n">
        <v>2024</v>
      </c>
      <c r="D1106" s="5" t="inlineStr">
        <is>
          <t>Outcome not related to interest</t>
        </is>
      </c>
      <c r="E1106" s="86" t="n"/>
      <c r="F1106" s="86" t="n"/>
    </row>
    <row r="1107" ht="16" customHeight="1" s="55">
      <c r="A1107" s="86" t="inlineStr">
        <is>
          <t>Diabetic Retinopathy Detection Using CNN With Res-LSTMDN</t>
        </is>
      </c>
      <c r="B1107" s="86" t="inlineStr">
        <is>
          <t>R. Gayathri; S. Karthikeyan; T. KausheekRaj; S. Keerthana</t>
        </is>
      </c>
      <c r="C1107" s="86" t="n">
        <v>2024</v>
      </c>
      <c r="D1107" s="5" t="inlineStr">
        <is>
          <t>Outcome not related to interest</t>
        </is>
      </c>
      <c r="E1107" s="86" t="n"/>
      <c r="F1107" s="86" t="n"/>
    </row>
    <row r="1108" ht="16" customHeight="1" s="55">
      <c r="A1108" s="86" t="inlineStr">
        <is>
          <t>Addressing Class Imbalance in Diabetic Retinopathy Segmentation: A Weighted Ensemble Approach with U-Net, U- Net++, and DuckNet</t>
        </is>
      </c>
      <c r="B1108" s="86" t="inlineStr">
        <is>
          <t>E. Gawate; S. Laddha</t>
        </is>
      </c>
      <c r="C1108" s="86" t="n">
        <v>2024</v>
      </c>
      <c r="D1108" s="5" t="inlineStr">
        <is>
          <t>Outcome not related to interest</t>
        </is>
      </c>
      <c r="E1108" s="86" t="n"/>
      <c r="F1108" s="86" t="n"/>
    </row>
    <row r="1109" ht="16" customHeight="1" s="55">
      <c r="A1109" s="86" t="inlineStr">
        <is>
          <t>Efficient Heart Disease Risk Management: A CNN-based Approach for Automated Prediction using Retinal Fundus Image</t>
        </is>
      </c>
      <c r="B1109" s="86" t="inlineStr">
        <is>
          <t>U. Gawande; A. Jadhao; O. Bhalerao; A. Halmare; P. Wandhare; R. Parate; A. Bodkhe; K. T. V. Reddy</t>
        </is>
      </c>
      <c r="C1109" s="86" t="n">
        <v>2024</v>
      </c>
      <c r="D1109" s="5" t="inlineStr">
        <is>
          <t>Outcome not related to interest</t>
        </is>
      </c>
      <c r="E1109" s="86" t="n"/>
      <c r="F1109" s="86" t="n"/>
    </row>
    <row r="1110" ht="16" customHeight="1" s="55">
      <c r="A1110" s="86" t="inlineStr">
        <is>
          <t>MSAmix-Net: Diabetic Retinopathy Classification</t>
        </is>
      </c>
      <c r="B1110" s="86" t="inlineStr">
        <is>
          <t>J. Gao; S. Li; Y. Chen; R. Xiang</t>
        </is>
      </c>
      <c r="C1110" s="86" t="n">
        <v>2024</v>
      </c>
      <c r="D1110" s="5" t="inlineStr">
        <is>
          <t>Outcome not related to interest</t>
        </is>
      </c>
      <c r="E1110" s="86" t="n"/>
      <c r="F1110" s="86" t="n"/>
    </row>
    <row r="1111" ht="16" customHeight="1" s="55">
      <c r="A1111" s="86" t="inlineStr">
        <is>
          <t>HealthScan AI-Deep Learning-Based Multi-Disease Diagnosis from Medical Imaging</t>
        </is>
      </c>
      <c r="B1111" s="86" t="inlineStr">
        <is>
          <t>P. S. Ganesh; C. M. G. K. Kiriti; P. Rama</t>
        </is>
      </c>
      <c r="C1111" s="86" t="n">
        <v>2024</v>
      </c>
      <c r="D1111" s="5" t="inlineStr">
        <is>
          <t>Outcome not related to interest</t>
        </is>
      </c>
      <c r="E1111" s="86" t="n"/>
      <c r="F1111" s="86" t="n"/>
    </row>
    <row r="1112" ht="16" customHeight="1" s="55">
      <c r="A1112" s="86" t="inlineStr">
        <is>
          <t>Generalizing to Unseen Domains in Diabetic Retinopathy Classification</t>
        </is>
      </c>
      <c r="B1112" s="86" t="inlineStr">
        <is>
          <t>C. J. Galappaththige; G. Kuruppu; M. H. Khan</t>
        </is>
      </c>
      <c r="C1112" s="86" t="n">
        <v>2024</v>
      </c>
      <c r="D1112" s="5" t="inlineStr">
        <is>
          <t>Outcome not related to interest</t>
        </is>
      </c>
      <c r="E1112" s="86" t="n"/>
      <c r="F1112" s="86" t="n"/>
    </row>
    <row r="1113" ht="16" customHeight="1" s="55">
      <c r="A1113" s="86" t="inlineStr">
        <is>
          <t>Performance Analysis of Diabetic Retinopathy Using Deep Learning Algorithm</t>
        </is>
      </c>
      <c r="B1113" s="86" t="inlineStr">
        <is>
          <t>T. G; C. Hema</t>
        </is>
      </c>
      <c r="C1113" s="86" t="n">
        <v>2024</v>
      </c>
      <c r="D1113" s="5" t="inlineStr">
        <is>
          <t>Outcome not related to interest</t>
        </is>
      </c>
      <c r="E1113" s="86" t="n"/>
      <c r="F1113" s="86" t="n"/>
    </row>
    <row r="1114" ht="16" customHeight="1" s="55">
      <c r="A1114" s="86" t="inlineStr">
        <is>
          <t>Diabetic Retinopathy Detection Using Capsule Network Modelled Deep Learning</t>
        </is>
      </c>
      <c r="B1114" s="86" t="inlineStr">
        <is>
          <t>I. G; R. V; K. A; H. R. E. T; R. A; K. D. K</t>
        </is>
      </c>
      <c r="C1114" s="86" t="n">
        <v>2024</v>
      </c>
      <c r="D1114" s="5" t="inlineStr">
        <is>
          <t>Outcome not related to interest</t>
        </is>
      </c>
      <c r="E1114" s="86" t="n"/>
      <c r="F1114" s="86" t="n"/>
    </row>
    <row r="1115" ht="16" customHeight="1" s="55">
      <c r="A1115" s="86" t="inlineStr">
        <is>
          <t>Machine Learning and Deep Learning Approaches for Automated Diabetic Retinopathy Diagnosis</t>
        </is>
      </c>
      <c r="B1115" s="86" t="inlineStr">
        <is>
          <t>B. Fulkar; R. Burle; P. Patil; S. Gaurkhade; S. Gundewar; U. Pacharaney</t>
        </is>
      </c>
      <c r="C1115" s="86" t="n">
        <v>2024</v>
      </c>
      <c r="D1115" s="5" t="inlineStr">
        <is>
          <t>Outcome not related to interest</t>
        </is>
      </c>
      <c r="E1115" s="86" t="n"/>
      <c r="F1115" s="86" t="n"/>
    </row>
    <row r="1116" ht="16" customHeight="1" s="55">
      <c r="A1116" s="86" t="inlineStr">
        <is>
          <t>Low-Rank Adaptation Applied to Multiclass Diabetic Retinopathy Classification</t>
        </is>
      </c>
      <c r="B1116" s="86" t="inlineStr">
        <is>
          <t>S. Ferreira-Caballero; D. P. Pinto-Roa; J. L. V. Noguera; J. Ayala; P. E. Gardel-Sotomayor; P. Pérez-Estigarribia</t>
        </is>
      </c>
      <c r="C1116" s="86" t="n">
        <v>2024</v>
      </c>
      <c r="D1116" s="5" t="inlineStr">
        <is>
          <t>Outcome not related to interest</t>
        </is>
      </c>
      <c r="E1116" s="86" t="n"/>
      <c r="F1116" s="86" t="n"/>
    </row>
    <row r="1117" ht="16" customHeight="1" s="55">
      <c r="A1117" s="86" t="inlineStr">
        <is>
          <t>Dual Convolutional Neural Network with Explainability Attention Mechanism for Diabetic Retinopathy Classification</t>
        </is>
      </c>
      <c r="B1117" s="86" t="inlineStr">
        <is>
          <t>X. Feng; Z. Chen; K. Wu; J. Peng; H. N. Monday; G. U. Nneji</t>
        </is>
      </c>
      <c r="C1117" s="86" t="n">
        <v>2024</v>
      </c>
      <c r="D1117" s="5" t="inlineStr">
        <is>
          <t>Outcome not related to interest</t>
        </is>
      </c>
      <c r="E1117" s="86" t="n"/>
      <c r="F1117" s="86" t="n"/>
    </row>
    <row r="1118" ht="16" customHeight="1" s="55">
      <c r="A1118" s="86" t="inlineStr">
        <is>
          <t>Ocular Disease Recognition System Using Convolutional Neural Network</t>
        </is>
      </c>
      <c r="B1118" s="86" t="inlineStr">
        <is>
          <t>N. I. Fauzi; H. Ismail; I. Ahmedy</t>
        </is>
      </c>
      <c r="C1118" s="86" t="n">
        <v>2024</v>
      </c>
      <c r="D1118" s="5" t="inlineStr">
        <is>
          <t>Outcome not related to interest</t>
        </is>
      </c>
      <c r="E1118" s="86" t="n"/>
      <c r="F1118" s="86" t="n"/>
    </row>
    <row r="1119" ht="16" customHeight="1" s="55">
      <c r="A1119" s="86" t="inlineStr">
        <is>
          <t>Generation of Synthetic data using GANs with CLAHE processed images and comparative study of model performance on real and synthetic Dataset</t>
        </is>
      </c>
      <c r="B1119" s="86" t="inlineStr">
        <is>
          <t>U. F; K. S; M. R</t>
        </is>
      </c>
      <c r="C1119" s="86" t="n">
        <v>2024</v>
      </c>
      <c r="D1119" s="5" t="inlineStr">
        <is>
          <t>Outcome not related to interest</t>
        </is>
      </c>
      <c r="E1119" s="86" t="n"/>
      <c r="F1119" s="86" t="n"/>
    </row>
    <row r="1120" ht="16" customHeight="1" s="55">
      <c r="A1120" s="86" t="inlineStr">
        <is>
          <t>Diabetic Retinal Disease Detection Through Transfer Learning Techniques</t>
        </is>
      </c>
      <c r="B1120" s="86" t="inlineStr">
        <is>
          <t>M. Ernest; S. Godakanda; S. Chandrasiri; P. Panduwawala</t>
        </is>
      </c>
      <c r="C1120" s="86" t="n">
        <v>2024</v>
      </c>
      <c r="D1120" s="5" t="inlineStr">
        <is>
          <t>Outcome not related to interest</t>
        </is>
      </c>
      <c r="E1120" s="86" t="n"/>
      <c r="F1120" s="86" t="n"/>
    </row>
    <row r="1121" ht="16" customHeight="1" s="55">
      <c r="A1121" s="86" t="inlineStr">
        <is>
          <t>A Deep Learning System for Early Detection of Diabetic Retinopathy</t>
        </is>
      </c>
      <c r="B1121" s="86" t="inlineStr">
        <is>
          <t>M. Emmales; F. Jemili; O. Korbaa; F. Kamel</t>
        </is>
      </c>
      <c r="C1121" s="86" t="n">
        <v>2024</v>
      </c>
      <c r="D1121" s="5" t="inlineStr">
        <is>
          <t>Outcome not related to interest</t>
        </is>
      </c>
      <c r="E1121" s="86" t="n"/>
      <c r="F1121" s="86" t="n"/>
    </row>
    <row r="1122" ht="16" customHeight="1" s="55">
      <c r="A1122" s="86" t="inlineStr">
        <is>
          <t>Improving Early Detection of Diabetic Retinopathy: A Hybrid Deep Learning Model Focused on Lesion Identification</t>
        </is>
      </c>
      <c r="B1122" s="86" t="inlineStr">
        <is>
          <t>R. K. Eluri; Y. G. Reddy; K. Valicharla; K. D. Prakash; B. Sudheer</t>
        </is>
      </c>
      <c r="C1122" s="86" t="n">
        <v>2024</v>
      </c>
      <c r="D1122" s="5" t="inlineStr">
        <is>
          <t>Outcome not related to interest</t>
        </is>
      </c>
      <c r="E1122" s="86" t="n"/>
      <c r="F1122" s="86" t="n"/>
    </row>
    <row r="1123" ht="16" customHeight="1" s="55">
      <c r="A1123" s="86" t="inlineStr">
        <is>
          <t>DR10K: Transfer Learning Using Weak Labels for Grading Diabetic Retinopathy on DR10K Dataset</t>
        </is>
      </c>
      <c r="B1123" s="86" t="inlineStr">
        <is>
          <t>M. ElHabebe; S. ElKordi; A. G. ElDin; N. Adly; M. Torki; A. Elmassry; I. S. Ahmed</t>
        </is>
      </c>
      <c r="C1123" s="86" t="n">
        <v>2024</v>
      </c>
      <c r="D1123" s="5" t="inlineStr">
        <is>
          <t>Outcome not related to interest</t>
        </is>
      </c>
      <c r="E1123" s="86" t="n"/>
      <c r="F1123" s="86" t="n"/>
    </row>
    <row r="1124" ht="16" customHeight="1" s="55">
      <c r="A1124" s="86" t="inlineStr">
        <is>
          <t>Gradient Based Insights Into Eye Disease Identification With AI</t>
        </is>
      </c>
      <c r="B1124" s="86" t="inlineStr">
        <is>
          <t>R. Elankavi; R. Surekha; U. Nuthalapati; V. C. Priya; A. Sathwik; M. R. Babu</t>
        </is>
      </c>
      <c r="C1124" s="86" t="n">
        <v>2024</v>
      </c>
      <c r="D1124" s="5" t="inlineStr">
        <is>
          <t>Outcome not related to interest</t>
        </is>
      </c>
      <c r="E1124" s="86" t="n"/>
      <c r="F1124" s="86" t="n"/>
    </row>
    <row r="1125" ht="16" customHeight="1" s="55">
      <c r="A1125" s="86" t="inlineStr">
        <is>
          <t>Detection of Diabetic Retinopathy Using CNN</t>
        </is>
      </c>
      <c r="B1125" s="86" t="inlineStr">
        <is>
          <t>V. S. V. Edara; J. Bonthala; U. K. Nathani; S. C. P. Panguluri; R. Abburi; S. Samanta</t>
        </is>
      </c>
      <c r="C1125" s="86" t="n">
        <v>2024</v>
      </c>
      <c r="D1125" s="5" t="inlineStr">
        <is>
          <t>Outcome not related to interest</t>
        </is>
      </c>
      <c r="E1125" s="86" t="n"/>
      <c r="F1125" s="86" t="n"/>
    </row>
    <row r="1126" ht="16" customHeight="1" s="55">
      <c r="A1126" s="86" t="inlineStr">
        <is>
          <t>Leveraging Innovative CNN Architectures for Diabetic Retinopathy Detection</t>
        </is>
      </c>
      <c r="B1126" s="86" t="inlineStr">
        <is>
          <t>R. E. G; S. S; S. S; S. R</t>
        </is>
      </c>
      <c r="C1126" s="86" t="n">
        <v>2024</v>
      </c>
      <c r="D1126" s="5" t="inlineStr">
        <is>
          <t>Outcome not related to interest</t>
        </is>
      </c>
      <c r="E1126" s="86" t="n"/>
      <c r="F1126" s="86" t="n"/>
    </row>
    <row r="1127" ht="16" customHeight="1" s="55">
      <c r="A1127" s="86" t="inlineStr">
        <is>
          <t>Neural Network-Based Approach to Eye Disease Classification from Fundus Images</t>
        </is>
      </c>
      <c r="B1127" s="86" t="inlineStr">
        <is>
          <t>M. Dragun; R. Roszczyk</t>
        </is>
      </c>
      <c r="C1127" s="86" t="n">
        <v>2024</v>
      </c>
      <c r="D1127" s="5" t="inlineStr">
        <is>
          <t>Outcome not related to interest</t>
        </is>
      </c>
      <c r="E1127" s="86" t="n"/>
      <c r="F1127" s="86" t="n"/>
    </row>
    <row r="1128" ht="16" customHeight="1" s="55">
      <c r="A1128" s="86" t="inlineStr">
        <is>
          <t>Optimizing Synergy in Deep Learning for Accurate Diabetic Retinopathy Identification and Staging</t>
        </is>
      </c>
      <c r="B1128" s="86" t="inlineStr">
        <is>
          <t>R. R. Dornala; A. R. Lakshmi; S. Ponnapalli; G. Ramanjaiah; K. P. Sairamakrishna</t>
        </is>
      </c>
      <c r="C1128" s="86" t="n">
        <v>2024</v>
      </c>
      <c r="D1128" s="5" t="inlineStr">
        <is>
          <t>Outcome not related to interest</t>
        </is>
      </c>
      <c r="E1128" s="86" t="n"/>
      <c r="F1128" s="86" t="n"/>
    </row>
    <row r="1129" ht="16" customHeight="1" s="55">
      <c r="A1129" s="86" t="inlineStr">
        <is>
          <t>Diabetic Eye Health: Deep Learning Classification</t>
        </is>
      </c>
      <c r="B1129" s="86" t="inlineStr">
        <is>
          <t>P. Dongre; S. Kedia; J. Banubakade; D. M. Kotambkar</t>
        </is>
      </c>
      <c r="C1129" s="86" t="n">
        <v>2024</v>
      </c>
      <c r="D1129" s="5" t="inlineStr">
        <is>
          <t>Outcome not related to interest</t>
        </is>
      </c>
      <c r="E1129" s="86" t="n"/>
      <c r="F1129" s="86" t="n"/>
    </row>
    <row r="1130" ht="16" customHeight="1" s="55">
      <c r="A1130" s="86" t="inlineStr">
        <is>
          <t>Deep Learning and Ensemble Techniques with XAI in Diabetic Retinopathy: a Performance-Driven Review</t>
        </is>
      </c>
      <c r="B1130" s="86" t="inlineStr">
        <is>
          <t>P. Dixit; S. Sharma; P. Vaishnav</t>
        </is>
      </c>
      <c r="C1130" s="86" t="n">
        <v>2024</v>
      </c>
      <c r="D1130" s="5" t="inlineStr">
        <is>
          <t>Outcome not related to interest</t>
        </is>
      </c>
      <c r="E1130" s="86" t="n"/>
      <c r="F1130" s="86" t="n"/>
    </row>
    <row r="1131" ht="16" customHeight="1" s="55">
      <c r="A1131" s="86" t="inlineStr">
        <is>
          <t>Reliable and Energy-Efficient Diabetic Retinopathy Screening Using Memristor-Based Neural Networks</t>
        </is>
      </c>
      <c r="B1131" s="86" t="inlineStr">
        <is>
          <t>S. Diware; K. Chilakala; R. V. Joshi; S. Hamdioui; R. Bishnoi</t>
        </is>
      </c>
      <c r="C1131" s="86" t="n">
        <v>2024</v>
      </c>
      <c r="D1131" s="5" t="inlineStr">
        <is>
          <t>Outcome not related to interest</t>
        </is>
      </c>
      <c r="E1131" s="86" t="n"/>
      <c r="F1131" s="86" t="n"/>
    </row>
    <row r="1132" ht="16" customHeight="1" s="55">
      <c r="A1132" s="86" t="inlineStr">
        <is>
          <t>A Deep Learning Approach for Enhanced Detection of Diabetic Retinopathy Using a Modified Fast RCNN</t>
        </is>
      </c>
      <c r="B1132" s="86" t="inlineStr">
        <is>
          <t>G. Divya; P. G. Paga; A. Chidananda; G. S. Teja; M. H. Reddy</t>
        </is>
      </c>
      <c r="C1132" s="86" t="n">
        <v>2024</v>
      </c>
      <c r="D1132" s="5" t="inlineStr">
        <is>
          <t>Outcome not related to interest</t>
        </is>
      </c>
      <c r="E1132" s="86" t="n"/>
      <c r="F1132" s="86" t="n"/>
    </row>
    <row r="1133" ht="16" customHeight="1" s="55">
      <c r="A1133" s="86" t="inlineStr">
        <is>
          <t>Improving DR Diagnosis Accuracy with Deep Learning Using Adjudicated Grading</t>
        </is>
      </c>
      <c r="B1133" s="86" t="inlineStr">
        <is>
          <t>S. Dhavale; P. M. Bangare</t>
        </is>
      </c>
      <c r="C1133" s="86" t="n">
        <v>2024</v>
      </c>
      <c r="D1133" s="5" t="inlineStr">
        <is>
          <t>Outcome not related to interest</t>
        </is>
      </c>
      <c r="E1133" s="86" t="n"/>
      <c r="F1133" s="86" t="n"/>
    </row>
    <row r="1134" ht="16" customHeight="1" s="55">
      <c r="A1134" s="86" t="inlineStr">
        <is>
          <t>Retinal Fundus Image Analysis and Classification for Diabetic Retinopathy</t>
        </is>
      </c>
      <c r="B1134" s="86" t="inlineStr">
        <is>
          <t>A. D. Dharmavaram; M. S. B; M. Gupta</t>
        </is>
      </c>
      <c r="C1134" s="86" t="n">
        <v>2024</v>
      </c>
      <c r="D1134" s="5" t="inlineStr">
        <is>
          <t>Outcome not related to interest</t>
        </is>
      </c>
      <c r="E1134" s="86" t="n"/>
      <c r="F1134" s="86" t="n"/>
    </row>
    <row r="1135" ht="16" customHeight="1" s="55">
      <c r="A1135" s="86" t="inlineStr">
        <is>
          <t>Diabetic Retinopathy Detection and Classification Using Deep-wavelet and multiple classifiers</t>
        </is>
      </c>
      <c r="B1135" s="86" t="inlineStr">
        <is>
          <t>H. Dhari; N. K. E. Abbadi</t>
        </is>
      </c>
      <c r="C1135" s="86" t="n">
        <v>2024</v>
      </c>
      <c r="D1135" s="5" t="inlineStr">
        <is>
          <t>Outcome not related to interest</t>
        </is>
      </c>
      <c r="E1135" s="86" t="n"/>
      <c r="F1135" s="86" t="n"/>
    </row>
    <row r="1136" ht="16" customHeight="1" s="55">
      <c r="A1136" s="86" t="inlineStr">
        <is>
          <t>A Hybrid Approach for Diagnosing Diabetic Retinopathy in Retinal Fundus Images using an Adaptive Canny Edge Detection approach</t>
        </is>
      </c>
      <c r="B1136" s="86" t="inlineStr">
        <is>
          <t>R. M. Devi; M. Kowsalya; P. M. Dinesh; P. Ponmurugan; A. Berlin; K. K. Kumar; M. Sangeetha; G. Chandrasekaran</t>
        </is>
      </c>
      <c r="C1136" s="86" t="n">
        <v>2024</v>
      </c>
      <c r="D1136" s="5" t="inlineStr">
        <is>
          <t>Outcome not related to interest</t>
        </is>
      </c>
      <c r="E1136" s="86" t="n"/>
      <c r="F1136" s="86" t="n"/>
    </row>
    <row r="1137" ht="16" customHeight="1" s="55">
      <c r="A1137" s="86" t="inlineStr">
        <is>
          <t>Decoding the Eye: AI-Driven Diabetic Retinopathy Classification for Precision Healthcare</t>
        </is>
      </c>
      <c r="B1137" s="86" t="inlineStr">
        <is>
          <t>B. R. Devi; R. S. Venkata; S. S. Kurada; N. A. Reddy; M. A. Muzamil; G. Harish</t>
        </is>
      </c>
      <c r="C1137" s="86" t="n">
        <v>2024</v>
      </c>
      <c r="D1137" s="5" t="inlineStr">
        <is>
          <t>Outcome not related to interest</t>
        </is>
      </c>
      <c r="E1137" s="86" t="n"/>
      <c r="F1137" s="86" t="n"/>
    </row>
    <row r="1138" ht="16" customHeight="1" s="55">
      <c r="A1138" s="86" t="inlineStr">
        <is>
          <t>Machine Learning-Based Diabetic Retinopathy Detection: A Comprehensive Study Using InceptionV3 Model</t>
        </is>
      </c>
      <c r="B1138" s="86" t="inlineStr">
        <is>
          <t>G. Deshpande; Y. Govardhan; A. Jain</t>
        </is>
      </c>
      <c r="C1138" s="86" t="n">
        <v>2024</v>
      </c>
      <c r="D1138" s="5" t="inlineStr">
        <is>
          <t>Outcome not related to interest</t>
        </is>
      </c>
      <c r="E1138" s="86" t="n"/>
      <c r="F1138" s="86" t="n"/>
    </row>
    <row r="1139" ht="16" customHeight="1" s="55">
      <c r="A1139" s="86" t="inlineStr">
        <is>
          <t>Deep Learning-based Automated System for Identification and Gradation of Severity Levels in Diabetic Retinopathy</t>
        </is>
      </c>
      <c r="B1139" s="86" t="inlineStr">
        <is>
          <t>P. R. Deshmukh; V. R. Pawar; A. N. Gaikwad</t>
        </is>
      </c>
      <c r="C1139" s="86" t="n">
        <v>2024</v>
      </c>
      <c r="D1139" s="5" t="inlineStr">
        <is>
          <t>Outcome not related to interest</t>
        </is>
      </c>
      <c r="E1139" s="86" t="n"/>
      <c r="F1139" s="86" t="n"/>
    </row>
    <row r="1140" ht="16" customHeight="1" s="55">
      <c r="A1140" s="86" t="inlineStr">
        <is>
          <t>Detection of Diabetic Retinopathy Using Deep Learning Techniques</t>
        </is>
      </c>
      <c r="B1140" s="86" t="inlineStr">
        <is>
          <t>S. Desai; S. Dodani</t>
        </is>
      </c>
      <c r="C1140" s="86" t="n">
        <v>2024</v>
      </c>
      <c r="D1140" s="5" t="inlineStr">
        <is>
          <t>Outcome not related to interest</t>
        </is>
      </c>
      <c r="E1140" s="86" t="n"/>
      <c r="F1140" s="86" t="n"/>
    </row>
    <row r="1141" ht="16" customHeight="1" s="55">
      <c r="A1141" s="86" t="inlineStr">
        <is>
          <t>Cooperation Among Multiple Medical Institutions on Retinal Disease Identification Based on Federated Learning and Unlearning</t>
        </is>
      </c>
      <c r="B1141" s="86" t="inlineStr">
        <is>
          <t>P. Deng; W. Jia; N. Yang; L. Xiao</t>
        </is>
      </c>
      <c r="C1141" s="86" t="n">
        <v>2024</v>
      </c>
      <c r="D1141" s="5" t="inlineStr">
        <is>
          <t>Outcome not related to interest</t>
        </is>
      </c>
      <c r="E1141" s="86" t="n"/>
      <c r="F1141" s="86" t="n"/>
    </row>
    <row r="1142" ht="16" customHeight="1" s="55">
      <c r="A1142" s="86" t="inlineStr">
        <is>
          <t>Automated Diabetic Retinopathy Detection Using Multi-Column Deep Neural Networks</t>
        </is>
      </c>
      <c r="B1142" s="86" t="inlineStr">
        <is>
          <t>L. Deka; A. V. Singh</t>
        </is>
      </c>
      <c r="C1142" s="86" t="n">
        <v>2024</v>
      </c>
      <c r="D1142" s="5" t="inlineStr">
        <is>
          <t>Outcome not related to interest</t>
        </is>
      </c>
      <c r="E1142" s="86" t="n"/>
      <c r="F1142" s="86" t="n"/>
    </row>
    <row r="1143" ht="16" customHeight="1" s="55">
      <c r="A1143" s="86" t="inlineStr">
        <is>
          <t>Comparative Analysis of Machine Learning Models for the Detection of Diabetic Retinopathy: A Performance Evaluation</t>
        </is>
      </c>
      <c r="B1143" s="86" t="inlineStr">
        <is>
          <t>Deepali; Y. Singh; K. Kaur; H. Verma; R. Mohana</t>
        </is>
      </c>
      <c r="C1143" s="86" t="n">
        <v>2024</v>
      </c>
      <c r="D1143" s="5" t="inlineStr">
        <is>
          <t>Outcome not related to interest</t>
        </is>
      </c>
      <c r="E1143" s="86" t="n"/>
      <c r="F1143" s="86" t="n"/>
    </row>
    <row r="1144" ht="16" customHeight="1" s="55">
      <c r="A1144" s="86" t="inlineStr">
        <is>
          <t>Deep Learning-Based Classification of Diabetic Retinopathy Severity Using DenseNet201 and SVM with Cubic Kernel</t>
        </is>
      </c>
      <c r="B1144" s="86" t="inlineStr">
        <is>
          <t>S. Dash; S. Jena; P. K. Sethy</t>
        </is>
      </c>
      <c r="C1144" s="86" t="n">
        <v>2024</v>
      </c>
      <c r="D1144" s="5" t="inlineStr">
        <is>
          <t>Outcome not related to interest</t>
        </is>
      </c>
      <c r="E1144" s="86" t="n"/>
      <c r="F1144" s="86" t="n"/>
    </row>
    <row r="1145" ht="16" customHeight="1" s="55">
      <c r="A1145" s="86" t="inlineStr">
        <is>
          <t>Enhanced Method for Classification of Diabetic Retinopathy using Capsule Networks</t>
        </is>
      </c>
      <c r="B1145" s="86" t="inlineStr">
        <is>
          <t>S. Dasari; B. Poonguzhali; S. A. Kumari</t>
        </is>
      </c>
      <c r="C1145" s="86" t="n">
        <v>2024</v>
      </c>
      <c r="D1145" s="5" t="inlineStr">
        <is>
          <t>Outcome not related to interest</t>
        </is>
      </c>
      <c r="E1145" s="86" t="n"/>
      <c r="F1145" s="86" t="n"/>
    </row>
    <row r="1146" ht="16" customHeight="1" s="55">
      <c r="A1146" s="86" t="inlineStr">
        <is>
          <t>Detection Of Diabetic Retinopathy Using Deep Learning Algorithms</t>
        </is>
      </c>
      <c r="B1146" s="86" t="inlineStr">
        <is>
          <t>U. Das; J. Haloi; P. Hassam; S. Kashyap; M. Sharma</t>
        </is>
      </c>
      <c r="C1146" s="86" t="n">
        <v>2024</v>
      </c>
      <c r="D1146" s="5" t="inlineStr">
        <is>
          <t>Outcome not related to interest</t>
        </is>
      </c>
      <c r="E1146" s="86" t="n"/>
      <c r="F1146" s="86" t="n"/>
    </row>
    <row r="1147" ht="16" customHeight="1" s="55">
      <c r="A1147" s="86" t="inlineStr">
        <is>
          <t>XAI-CAD: An Explainable CAD Framework for the Classification of Diabetic Retinopathy</t>
        </is>
      </c>
      <c r="B1147" s="86" t="inlineStr">
        <is>
          <t>P. Das; R. Nayak; M. Dhar; M. N. Islam; M. Mishra; S. Dan</t>
        </is>
      </c>
      <c r="C1147" s="86" t="n">
        <v>2024</v>
      </c>
      <c r="D1147" s="5" t="inlineStr">
        <is>
          <t>Outcome not related to interest</t>
        </is>
      </c>
      <c r="E1147" s="86" t="n"/>
      <c r="F1147" s="86" t="n"/>
    </row>
    <row r="1148" ht="16" customHeight="1" s="55">
      <c r="A1148" s="86" t="inlineStr">
        <is>
          <t>Smart Phone-Based Fundus Imaging and Transformer-Integrated Machine Learning for Enhanced Retinal Health Care Access</t>
        </is>
      </c>
      <c r="B1148" s="86" t="inlineStr">
        <is>
          <t>N. Das; M. Patra; G. Chakraborty; H. K. Tripathy</t>
        </is>
      </c>
      <c r="C1148" s="86" t="n">
        <v>2024</v>
      </c>
      <c r="D1148" s="5" t="inlineStr">
        <is>
          <t>Outcome not related to interest</t>
        </is>
      </c>
      <c r="E1148" s="86" t="n"/>
      <c r="F1148" s="86" t="n"/>
    </row>
    <row r="1149" ht="16" customHeight="1" s="55">
      <c r="A1149" s="86" t="inlineStr">
        <is>
          <t>X-RetinaAI: Interpretable AI for Eye Disease Classification in Healthcare Environment</t>
        </is>
      </c>
      <c r="B1149" s="86" t="inlineStr">
        <is>
          <t>K. Darji; K. A. Parikh; J. Patel; N. Mahida; R. Gupta; S. Tanwar; T. Vyas</t>
        </is>
      </c>
      <c r="C1149" s="86" t="n">
        <v>2024</v>
      </c>
      <c r="D1149" s="5" t="inlineStr">
        <is>
          <t>Outcome not related to interest</t>
        </is>
      </c>
      <c r="E1149" s="86" t="n"/>
      <c r="F1149" s="86" t="n"/>
    </row>
    <row r="1150" ht="16" customHeight="1" s="55">
      <c r="A1150" s="86" t="inlineStr">
        <is>
          <t>Small Object Detection in Fundus Images</t>
        </is>
      </c>
      <c r="B1150" s="86" t="inlineStr">
        <is>
          <t>T. Danko; M. Oravec; V. Kurilová; J. Pavlovicova</t>
        </is>
      </c>
      <c r="C1150" s="86" t="n">
        <v>2024</v>
      </c>
      <c r="D1150" s="5" t="inlineStr">
        <is>
          <t>Outcome not related to interest</t>
        </is>
      </c>
      <c r="E1150" s="86" t="n"/>
      <c r="F1150" s="86" t="n"/>
    </row>
    <row r="1151" ht="16" customHeight="1" s="55">
      <c r="A1151" s="86" t="inlineStr">
        <is>
          <t>Diabetic Disease Detection using Machine Learning Techniques</t>
        </is>
      </c>
      <c r="B1151" s="86" t="inlineStr">
        <is>
          <t>V. Dambra; M. Roccotelli; M. P. Fanti</t>
        </is>
      </c>
      <c r="C1151" s="86" t="n">
        <v>2024</v>
      </c>
      <c r="D1151" s="5" t="inlineStr">
        <is>
          <t>Outcome not related to interest</t>
        </is>
      </c>
      <c r="E1151" s="86" t="n"/>
      <c r="F1151" s="86" t="n"/>
    </row>
    <row r="1152" ht="16" customHeight="1" s="55">
      <c r="A1152" s="86" t="inlineStr">
        <is>
          <t>Early Prediction and Grading of Diabetic Retinopathy using Fusion Based Learning System</t>
        </is>
      </c>
      <c r="B1152" s="86" t="inlineStr">
        <is>
          <t>V. D; K. Baskar; S. Ayyadurai; B. S</t>
        </is>
      </c>
      <c r="C1152" s="86" t="n">
        <v>2024</v>
      </c>
      <c r="D1152" s="5" t="inlineStr">
        <is>
          <t>Outcome not related to interest</t>
        </is>
      </c>
      <c r="E1152" s="86" t="n"/>
      <c r="F1152" s="86" t="n"/>
    </row>
    <row r="1153" ht="16" customHeight="1" s="55">
      <c r="A1153" s="86" t="inlineStr">
        <is>
          <t>Diabetic Retinopathy Detection from Fundus Images Using Deep Convolutional Neural Networks</t>
        </is>
      </c>
      <c r="B1153" s="86" t="inlineStr">
        <is>
          <t>A. Chowdhury; S. Mahfuz</t>
        </is>
      </c>
      <c r="C1153" s="86" t="n">
        <v>2024</v>
      </c>
      <c r="D1153" s="5" t="inlineStr">
        <is>
          <t>Outcome not related to interest</t>
        </is>
      </c>
      <c r="E1153" s="86" t="n"/>
      <c r="F1153" s="86" t="n"/>
    </row>
    <row r="1154" ht="16" customHeight="1" s="55">
      <c r="A1154" s="86" t="inlineStr">
        <is>
          <t>ML and Deep Learning for Diabetic Retinopathy Severity Detection</t>
        </is>
      </c>
      <c r="B1154" s="86" t="inlineStr">
        <is>
          <t>V. Chourasia; S. Gupta</t>
        </is>
      </c>
      <c r="C1154" s="86" t="n">
        <v>2024</v>
      </c>
      <c r="D1154" s="5" t="inlineStr">
        <is>
          <t>Outcome not related to interest</t>
        </is>
      </c>
      <c r="E1154" s="86" t="n"/>
      <c r="F1154" s="86" t="n"/>
    </row>
    <row r="1155" ht="16" customHeight="1" s="55">
      <c r="A1155" s="86" t="inlineStr">
        <is>
          <t>Detection of Diabetic Retinopathy (DR) Severity from Fundus Photographs using Conv-ViT</t>
        </is>
      </c>
      <c r="B1155" s="86" t="inlineStr">
        <is>
          <t>D. Chintamreddy; U. R. Seshasayee</t>
        </is>
      </c>
      <c r="C1155" s="86" t="n">
        <v>2024</v>
      </c>
      <c r="D1155" s="5" t="inlineStr">
        <is>
          <t>Outcome not related to interest</t>
        </is>
      </c>
      <c r="E1155" s="86" t="n"/>
      <c r="F1155" s="86" t="n"/>
    </row>
    <row r="1156" ht="16" customHeight="1" s="55">
      <c r="A1156" s="86" t="inlineStr">
        <is>
          <t>Guided Context Gating: Learning To Leverage Salient Lesions in Retinal Fundus Images</t>
        </is>
      </c>
      <c r="B1156" s="86" t="inlineStr">
        <is>
          <t>T. K. Cherukuri; N. S. Shaik; D. H. Ye</t>
        </is>
      </c>
      <c r="C1156" s="86" t="n">
        <v>2024</v>
      </c>
      <c r="D1156" s="5" t="inlineStr">
        <is>
          <t>Outcome not related to interest</t>
        </is>
      </c>
      <c r="E1156" s="86" t="n"/>
      <c r="F1156" s="86" t="n"/>
    </row>
    <row r="1157" ht="16" customHeight="1" s="55">
      <c r="A1157" s="86" t="inlineStr">
        <is>
          <t>Classification of Multiple Eye Diseases Using Pretrained Convolution Neural Network</t>
        </is>
      </c>
      <c r="B1157" s="86" t="inlineStr">
        <is>
          <t>R. B. Cheruku; V. M. Badiyani; F. D. Chauhan; M. A. Mehta; R. S. Oza</t>
        </is>
      </c>
      <c r="C1157" s="86" t="n">
        <v>2024</v>
      </c>
      <c r="D1157" s="5" t="inlineStr">
        <is>
          <t>Outcome not related to interest</t>
        </is>
      </c>
      <c r="E1157" s="86" t="n"/>
      <c r="F1157" s="86" t="n"/>
    </row>
    <row r="1158" ht="16" customHeight="1" s="55">
      <c r="A1158" s="86" t="inlineStr">
        <is>
          <t>ResNet-18 for Automated Eye Disease Diagnosis: A Neural Network Solution</t>
        </is>
      </c>
      <c r="B1158" s="86" t="inlineStr">
        <is>
          <t>S. Chauhan</t>
        </is>
      </c>
      <c r="C1158" s="86" t="n">
        <v>2024</v>
      </c>
      <c r="D1158" s="5" t="inlineStr">
        <is>
          <t>Outcome not related to interest</t>
        </is>
      </c>
      <c r="E1158" s="86" t="n"/>
      <c r="F1158" s="86" t="n"/>
    </row>
    <row r="1159" ht="16" customHeight="1" s="55">
      <c r="A1159" s="86" t="inlineStr">
        <is>
          <t>Deep Learning Solution for Diabetic Retinopathy</t>
        </is>
      </c>
      <c r="B1159" s="86" t="inlineStr">
        <is>
          <t>R. Chauhan; R. Negi; C. Bhatt; R. Rawat; R. R. Kumar</t>
        </is>
      </c>
      <c r="C1159" s="86" t="n">
        <v>2024</v>
      </c>
      <c r="D1159" s="5" t="inlineStr">
        <is>
          <t>Outcome not related to interest</t>
        </is>
      </c>
      <c r="E1159" s="86" t="n"/>
      <c r="F1159" s="86" t="n"/>
    </row>
    <row r="1160" ht="16" customHeight="1" s="55">
      <c r="A1160" s="86" t="inlineStr">
        <is>
          <t>Real Time Diagnosis of Ocular Diseases using AI</t>
        </is>
      </c>
      <c r="B1160" s="86" t="inlineStr">
        <is>
          <t>A. Chandran; S. Arathy; R. Gowri; S. Valsaraj; R. S. Jeena</t>
        </is>
      </c>
      <c r="C1160" s="86" t="n">
        <v>2024</v>
      </c>
      <c r="D1160" s="5" t="inlineStr">
        <is>
          <t>Outcome not related to interest</t>
        </is>
      </c>
      <c r="E1160" s="86" t="n"/>
      <c r="F1160" s="86" t="n"/>
    </row>
    <row r="1161" ht="16" customHeight="1" s="55">
      <c r="A1161" s="86" t="inlineStr">
        <is>
          <t>AI in Ophthalmic Imaging: Enhancing Retina Analysis for Early Disease Detection</t>
        </is>
      </c>
      <c r="B1161" s="86" t="inlineStr">
        <is>
          <t>T. S. Chandrakantha; B. N. Jagadale; G. R. Madhuri; T. E. Abhishek</t>
        </is>
      </c>
      <c r="C1161" s="86" t="n">
        <v>2024</v>
      </c>
      <c r="D1161" s="5" t="inlineStr">
        <is>
          <t>Outcome not related to interest</t>
        </is>
      </c>
      <c r="E1161" s="86" t="n"/>
      <c r="F1161" s="86" t="n"/>
    </row>
    <row r="1162" ht="16" customHeight="1" s="55">
      <c r="A1162" s="86" t="inlineStr">
        <is>
          <t>Diabetic Retinopathy Prediction Based on CNN and AlexNet Model</t>
        </is>
      </c>
      <c r="B1162" s="86" t="inlineStr">
        <is>
          <t>R. Chandra; S. Tiwari; S. S. Kumar; S. Agarwal</t>
        </is>
      </c>
      <c r="C1162" s="86" t="n">
        <v>2024</v>
      </c>
      <c r="D1162" s="5" t="inlineStr">
        <is>
          <t>Outcome not related to interest</t>
        </is>
      </c>
      <c r="E1162" s="86" t="n"/>
      <c r="F1162" s="86" t="n"/>
    </row>
    <row r="1163" ht="16" customHeight="1" s="55">
      <c r="A1163" s="86" t="inlineStr">
        <is>
          <t>Diabetic Retinopathy Detection: An Automatic Modelling Using Artificial Intelligence &amp; Deep Learning</t>
        </is>
      </c>
      <c r="B1163" s="86" t="inlineStr">
        <is>
          <t>M. Chandra; S. Shah; S. Mehta; D. Jajal; R. Thanki</t>
        </is>
      </c>
      <c r="C1163" s="86" t="n">
        <v>2024</v>
      </c>
      <c r="D1163" s="5" t="inlineStr">
        <is>
          <t>Outcome not related to interest</t>
        </is>
      </c>
      <c r="E1163" s="86" t="n"/>
      <c r="F1163" s="86" t="n"/>
    </row>
    <row r="1164" ht="16" customHeight="1" s="55">
      <c r="A1164" s="86" t="inlineStr">
        <is>
          <t>Transfer Learning for Severity and Stages Detection of Diabetic Retinopathy</t>
        </is>
      </c>
      <c r="B1164" s="86" t="inlineStr">
        <is>
          <t>E. M. Chakour; A. Mansouri; A. Ahaitouf</t>
        </is>
      </c>
      <c r="C1164" s="86" t="n">
        <v>2024</v>
      </c>
      <c r="D1164" s="5" t="inlineStr">
        <is>
          <t>Outcome not related to interest</t>
        </is>
      </c>
      <c r="E1164" s="86" t="n"/>
      <c r="F1164" s="86" t="n"/>
    </row>
    <row r="1165" ht="16" customHeight="1" s="55">
      <c r="A1165" s="86" t="inlineStr">
        <is>
          <t>Improving Diagnosis and Classification of Severity in Diabetic Retinopathy Using Transfer Learning R</t>
        </is>
      </c>
      <c r="B1165" s="86" t="inlineStr">
        <is>
          <t>E. C; S. Vinodhini; V. K; L. Jenefa; S. R</t>
        </is>
      </c>
      <c r="C1165" s="86" t="n">
        <v>2024</v>
      </c>
      <c r="D1165" s="5" t="inlineStr">
        <is>
          <t>Outcome not related to interest</t>
        </is>
      </c>
      <c r="E1165" s="86" t="n"/>
      <c r="F1165" s="86" t="n"/>
    </row>
    <row r="1166" ht="16" customHeight="1" s="55">
      <c r="A1166" s="86" t="inlineStr">
        <is>
          <t>Utilizing Conceptual Deep Learning Networks for Diabetic Retinopathy Based on Feature Extraction and Classification</t>
        </is>
      </c>
      <c r="B1166" s="86" t="inlineStr">
        <is>
          <t>R. Burle; S. Gaurkhede; M. Sharma; U. Pacharaney; P. Verma</t>
        </is>
      </c>
      <c r="C1166" s="86" t="n">
        <v>2024</v>
      </c>
      <c r="D1166" s="5" t="inlineStr">
        <is>
          <t>Outcome not related to interest</t>
        </is>
      </c>
      <c r="E1166" s="86" t="n"/>
      <c r="F1166" s="86" t="n"/>
    </row>
    <row r="1167" ht="16" customHeight="1" s="55">
      <c r="A1167" s="86" t="inlineStr">
        <is>
          <t>Deep Learning for Diabetic Retinopathy Early Detection and Severity Grading</t>
        </is>
      </c>
      <c r="B1167" s="86" t="inlineStr">
        <is>
          <t>D. E. Bouslimi; Y. Bouslimi; A. K. Echi; L. B. Ayed</t>
        </is>
      </c>
      <c r="C1167" s="86" t="n">
        <v>2024</v>
      </c>
      <c r="D1167" s="5" t="inlineStr">
        <is>
          <t>Outcome not related to interest</t>
        </is>
      </c>
      <c r="E1167" s="86" t="n"/>
      <c r="F1167" s="86" t="n"/>
    </row>
    <row r="1168" ht="16" customHeight="1" s="55">
      <c r="A1168" s="86" t="inlineStr">
        <is>
          <t>Advanced Segmentation of Diabetic Retinopathy Lesions Using DeepLabv3+</t>
        </is>
      </c>
      <c r="B1168" s="86" t="inlineStr">
        <is>
          <t>M. Boulaabi; T. B. A. Gader; A. K. Echi; S. Mbarek</t>
        </is>
      </c>
      <c r="C1168" s="86" t="n">
        <v>2024</v>
      </c>
      <c r="D1168" s="5" t="inlineStr">
        <is>
          <t>Outcome not related to interest</t>
        </is>
      </c>
      <c r="E1168" s="86" t="n"/>
      <c r="F1168" s="86" t="n"/>
    </row>
    <row r="1169" ht="16" customHeight="1" s="55">
      <c r="A1169" s="86" t="inlineStr">
        <is>
          <t>Beyond Vision: Unveiling The Potential of AI and IOT in Diabetic Retinopathy Diagnosis</t>
        </is>
      </c>
      <c r="B1169" s="86" t="inlineStr">
        <is>
          <t>B. S. Bhuvanachandran; A. M. A. Bhamini; D. Brindha</t>
        </is>
      </c>
      <c r="C1169" s="86" t="n">
        <v>2024</v>
      </c>
      <c r="D1169" s="5" t="inlineStr">
        <is>
          <t>Outcome not related to interest</t>
        </is>
      </c>
      <c r="E1169" s="86" t="n"/>
      <c r="F1169" s="86" t="n"/>
    </row>
    <row r="1170" ht="16" customHeight="1" s="55">
      <c r="A1170" s="86" t="inlineStr">
        <is>
          <t>Eyecheck Diabscan: A Productive Approach for Few-Shot Excellence in Retinopathy Diagnosis</t>
        </is>
      </c>
      <c r="B1170" s="86" t="inlineStr">
        <is>
          <t>N. Bhaskar; E. Krishnaveni; S. J. Rao; K. P. Reddy; G. V. Reddy; A. R. Reddy</t>
        </is>
      </c>
      <c r="C1170" s="86" t="n">
        <v>2024</v>
      </c>
      <c r="D1170" s="5" t="inlineStr">
        <is>
          <t>Outcome not related to interest</t>
        </is>
      </c>
      <c r="E1170" s="86" t="n"/>
      <c r="F1170" s="86" t="n"/>
    </row>
    <row r="1171" ht="16" customHeight="1" s="55">
      <c r="A1171" s="86" t="inlineStr">
        <is>
          <t>Diabetic Retinopathy Detection Using Image Analysis with Deep Learning</t>
        </is>
      </c>
      <c r="B1171" s="86" t="inlineStr">
        <is>
          <t>A. Bhadoriya; N. Sharma; R. Mehrotra; R. N. S. Chouhan; S. Sharma; J. Kukade</t>
        </is>
      </c>
      <c r="C1171" s="86" t="n">
        <v>2024</v>
      </c>
      <c r="D1171" s="5" t="inlineStr">
        <is>
          <t>Outcome not related to interest</t>
        </is>
      </c>
      <c r="E1171" s="86" t="n"/>
      <c r="F1171" s="86" t="n"/>
    </row>
    <row r="1172" ht="16" customHeight="1" s="55">
      <c r="A1172" s="86" t="inlineStr">
        <is>
          <t>Automated Detection of Diabetic Retinopathy Segmented Images using ResNet50 and VGG16 Deep Learning Algorithms</t>
        </is>
      </c>
      <c r="B1172" s="86" t="inlineStr">
        <is>
          <t>S. K. Betha; J. B. Seventline</t>
        </is>
      </c>
      <c r="C1172" s="86" t="n">
        <v>2024</v>
      </c>
      <c r="D1172" s="5" t="inlineStr">
        <is>
          <t>Outcome not related to interest</t>
        </is>
      </c>
      <c r="E1172" s="86" t="n"/>
      <c r="F1172" s="86" t="n"/>
    </row>
    <row r="1173" ht="16" customHeight="1" s="55">
      <c r="A1173" s="86" t="inlineStr">
        <is>
          <t>Efficient Diabetic Retinopathy Segmentation and Classification using Residual Encoder-Decoder Architecture</t>
        </is>
      </c>
      <c r="B1173" s="86" t="inlineStr">
        <is>
          <t>S. K. Betha; J. B. Seventline</t>
        </is>
      </c>
      <c r="C1173" s="86" t="n">
        <v>2024</v>
      </c>
      <c r="D1173" s="5" t="inlineStr">
        <is>
          <t>Outcome not related to interest</t>
        </is>
      </c>
      <c r="E1173" s="86" t="n"/>
      <c r="F1173" s="86" t="n"/>
    </row>
    <row r="1174" ht="16" customHeight="1" s="55">
      <c r="A1174" s="86" t="inlineStr">
        <is>
          <t>Diabetic retinopathy detection using modified U-Net architecture and artificial metaplasticity algorithm</t>
        </is>
      </c>
      <c r="B1174" s="86" t="inlineStr">
        <is>
          <t>Y. Benchaib; Z. A. Elaouaber; M. E. A. Lazouni; M. Messadi</t>
        </is>
      </c>
      <c r="C1174" s="86" t="n">
        <v>2024</v>
      </c>
      <c r="D1174" s="5" t="inlineStr">
        <is>
          <t>Outcome not related to interest</t>
        </is>
      </c>
      <c r="E1174" s="86" t="n"/>
      <c r="F1174" s="86" t="n"/>
    </row>
    <row r="1175" ht="16" customHeight="1" s="55">
      <c r="A1175" s="86" t="inlineStr">
        <is>
          <t>Medical Image Recognition using Deep Learning: Applications in Diagnosis</t>
        </is>
      </c>
      <c r="B1175" s="86" t="inlineStr">
        <is>
          <t>S. Behera; J. Seth; M. K. Lodi</t>
        </is>
      </c>
      <c r="C1175" s="86" t="n">
        <v>2024</v>
      </c>
      <c r="D1175" s="5" t="inlineStr">
        <is>
          <t>Outcome not related to interest</t>
        </is>
      </c>
      <c r="E1175" s="86" t="n"/>
      <c r="F1175" s="86" t="n"/>
    </row>
    <row r="1176" ht="16" customHeight="1" s="55">
      <c r="A1176" s="86" t="inlineStr">
        <is>
          <t>Deep CNNs for Diabetic Retinopathy Classification: A Transfer Learning Perspective</t>
        </is>
      </c>
      <c r="B1176" s="86" t="inlineStr">
        <is>
          <t>R. Baskar; E. Sabu; C. Mazo</t>
        </is>
      </c>
      <c r="C1176" s="86" t="n">
        <v>2024</v>
      </c>
      <c r="D1176" s="5" t="inlineStr">
        <is>
          <t>Outcome not related to interest</t>
        </is>
      </c>
      <c r="E1176" s="86" t="n"/>
      <c r="F1176" s="86" t="n"/>
    </row>
    <row r="1177" ht="16" customHeight="1" s="55">
      <c r="A1177" s="86" t="inlineStr">
        <is>
          <t>Light Weight CNN Based on Knowledge Distillation for Diabetic Retinopathy Detection</t>
        </is>
      </c>
      <c r="B1177" s="86" t="inlineStr">
        <is>
          <t>B. Baranidharan; J. J; H. Chhipa</t>
        </is>
      </c>
      <c r="C1177" s="86" t="n">
        <v>2024</v>
      </c>
      <c r="D1177" s="5" t="inlineStr">
        <is>
          <t>Outcome not related to interest</t>
        </is>
      </c>
      <c r="E1177" s="86" t="n"/>
      <c r="F1177" s="86" t="n"/>
    </row>
    <row r="1178" ht="16" customHeight="1" s="55">
      <c r="A1178" s="86" t="inlineStr">
        <is>
          <t>Fundus Image Classification for Diabetic Retinopathy Using ResNet50V2 and InceptionV3</t>
        </is>
      </c>
      <c r="B1178" s="86" t="inlineStr">
        <is>
          <t>E. Banjarnahor; Y. A. S. Abraham; Y. Siahaan</t>
        </is>
      </c>
      <c r="C1178" s="86" t="n">
        <v>2024</v>
      </c>
      <c r="D1178" s="5" t="inlineStr">
        <is>
          <t>Outcome not related to interest</t>
        </is>
      </c>
      <c r="E1178" s="86" t="n"/>
      <c r="F1178" s="86" t="n"/>
    </row>
    <row r="1179" ht="16" customHeight="1" s="55">
      <c r="A1179" s="86" t="inlineStr">
        <is>
          <t>Ocular Disease Detection using Machine Learning</t>
        </is>
      </c>
      <c r="B1179" s="86" t="inlineStr">
        <is>
          <t>V. Bangera; Rajashree; S. R. Bhagawath; S. A. Shetty; B. Spoorthi</t>
        </is>
      </c>
      <c r="C1179" s="86" t="n">
        <v>2024</v>
      </c>
      <c r="D1179" s="5" t="inlineStr">
        <is>
          <t>Outcome not related to interest</t>
        </is>
      </c>
      <c r="E1179" s="86" t="n"/>
      <c r="F1179" s="86" t="n"/>
    </row>
    <row r="1180" ht="16" customHeight="1" s="55">
      <c r="A1180" s="86" t="inlineStr">
        <is>
          <t>Enhancing Diabetic Retinopathy Image Classification using CNN, Resnet, and Googlenet Models with Z-Score Normalization and GLCM Feature Extraction</t>
        </is>
      </c>
      <c r="B1180" s="86" t="inlineStr">
        <is>
          <t>S. Balaji; B. Karthik; D. Gokulakrishnan</t>
        </is>
      </c>
      <c r="C1180" s="86" t="n">
        <v>2024</v>
      </c>
      <c r="D1180" s="5" t="inlineStr">
        <is>
          <t>Outcome not related to interest</t>
        </is>
      </c>
      <c r="E1180" s="86" t="n"/>
      <c r="F1180" s="86" t="n"/>
    </row>
    <row r="1181" ht="16" customHeight="1" s="55">
      <c r="A1181" s="86" t="inlineStr">
        <is>
          <t>A Context for Effective Prediction and Classification of Diabetic Retinopathy Disease using Deep Ensemble AlexNet &amp; LeNet Classifier</t>
        </is>
      </c>
      <c r="B1181" s="86" t="inlineStr">
        <is>
          <t>S. Balaji; B. Karthik</t>
        </is>
      </c>
      <c r="C1181" s="86" t="n">
        <v>2024</v>
      </c>
      <c r="D1181" s="5" t="inlineStr">
        <is>
          <t>Outcome not related to interest</t>
        </is>
      </c>
      <c r="E1181" s="86" t="n"/>
      <c r="F1181" s="86" t="n"/>
    </row>
    <row r="1182" ht="16" customHeight="1" s="55">
      <c r="A1182" s="86" t="inlineStr">
        <is>
          <t>Diabetic Retinopathy Detection Using Retinal Images</t>
        </is>
      </c>
      <c r="B1182" s="86" t="inlineStr">
        <is>
          <t>N. Balaji; A. Srilekha; V. Thejashri; A. Priya; B. Umamaheswari; K. Mohanraj</t>
        </is>
      </c>
      <c r="C1182" s="86" t="n">
        <v>2024</v>
      </c>
      <c r="D1182" s="5" t="inlineStr">
        <is>
          <t>Outcome not related to interest</t>
        </is>
      </c>
      <c r="E1182" s="86" t="n"/>
      <c r="F1182" s="86" t="n"/>
    </row>
    <row r="1183" ht="16" customHeight="1" s="55">
      <c r="A1183" s="86" t="inlineStr">
        <is>
          <t>Predicting Diabetic Retinopathy with Machine Learning: Disentangling the Diabetes-Ocular Health Complex</t>
        </is>
      </c>
      <c r="B1183" s="86" t="inlineStr">
        <is>
          <t>B. V. Baiju; D. Jain; D. A. Mehta; S. Thakur; A. R. Jha</t>
        </is>
      </c>
      <c r="C1183" s="86" t="n">
        <v>2024</v>
      </c>
      <c r="D1183" s="5" t="inlineStr">
        <is>
          <t>Outcome not related to interest</t>
        </is>
      </c>
      <c r="E1183" s="86" t="n"/>
      <c r="F1183" s="86" t="n"/>
    </row>
    <row r="1184" ht="16" customHeight="1" s="55">
      <c r="A1184" s="86" t="inlineStr">
        <is>
          <t>Application of multi-path network combined with attention mechanism in the diagnosis of diabetes retinopathy</t>
        </is>
      </c>
      <c r="B1184" s="86" t="inlineStr">
        <is>
          <t>Y. Bai; D. Wei; H. Cao</t>
        </is>
      </c>
      <c r="C1184" s="86" t="n">
        <v>2024</v>
      </c>
      <c r="D1184" s="5" t="inlineStr">
        <is>
          <t>Outcome not related to interest</t>
        </is>
      </c>
      <c r="E1184" s="86" t="n"/>
      <c r="F1184" s="86" t="n"/>
    </row>
    <row r="1185" ht="16" customHeight="1" s="55">
      <c r="A1185" s="86" t="inlineStr">
        <is>
          <t>A Novel Attention Informed Voting Ensemble Framework for Retinal Disease Classification</t>
        </is>
      </c>
      <c r="B1185" s="86" t="inlineStr">
        <is>
          <t>A. Baggu; V. A. Polisetti; J. Nidamanuri</t>
        </is>
      </c>
      <c r="C1185" s="86" t="n">
        <v>2024</v>
      </c>
      <c r="D1185" s="5" t="inlineStr">
        <is>
          <t>Outcome not related to interest</t>
        </is>
      </c>
      <c r="E1185" s="86" t="n"/>
      <c r="F1185" s="86" t="n"/>
    </row>
    <row r="1186" ht="16" customHeight="1" s="55">
      <c r="A1186" s="86" t="inlineStr">
        <is>
          <t>Smartsight: Android-Based Retinal Disease Detection using Retinal Fundus Images with XAI</t>
        </is>
      </c>
      <c r="B1186" s="86" t="inlineStr">
        <is>
          <t>M. Bagewadi; B. M. Reshmi; N. Kalligud; K. Badiger; S. Sonagaj; S. Giraddi</t>
        </is>
      </c>
      <c r="C1186" s="86" t="n">
        <v>2024</v>
      </c>
      <c r="D1186" s="5" t="inlineStr">
        <is>
          <t>Outcome not related to interest</t>
        </is>
      </c>
      <c r="E1186" s="86" t="n"/>
      <c r="F1186" s="86" t="n"/>
    </row>
    <row r="1187" ht="16" customHeight="1" s="55">
      <c r="A1187" s="86" t="inlineStr">
        <is>
          <t>Early Detection of Diabetes Using Supervised Learning Approach</t>
        </is>
      </c>
      <c r="B1187" s="86" t="inlineStr">
        <is>
          <t>B. Badeji-Ajisafe; S. E. Obamiyi; A. Oguntimilehin; A. IdowuVictor; O. Toyin; O. Akinduyite; A. O. Olubadeji; B. A. O</t>
        </is>
      </c>
      <c r="C1187" s="86" t="n">
        <v>2024</v>
      </c>
      <c r="D1187" s="5" t="inlineStr">
        <is>
          <t>Outcome not related to interest</t>
        </is>
      </c>
      <c r="E1187" s="86" t="n"/>
      <c r="F1187" s="86" t="n"/>
    </row>
    <row r="1188" ht="16" customHeight="1" s="55">
      <c r="A1188" s="86" t="inlineStr">
        <is>
          <t>Deep Convolutional Neural Networks for Automated Screening and Diagnosis of Ophthalmic Diseases</t>
        </is>
      </c>
      <c r="B1188" s="86" t="inlineStr">
        <is>
          <t>T. Babu; P. K. Naik; R. R. Nair; P. G. Janhavi</t>
        </is>
      </c>
      <c r="C1188" s="86" t="n">
        <v>2024</v>
      </c>
      <c r="D1188" s="5" t="inlineStr">
        <is>
          <t>Outcome not related to interest</t>
        </is>
      </c>
      <c r="E1188" s="86" t="n"/>
      <c r="F1188" s="86" t="n"/>
    </row>
    <row r="1189" ht="16" customHeight="1" s="55">
      <c r="A1189" s="86" t="inlineStr">
        <is>
          <t>Optimized Deep Learning for Multi-Class Retinal Disease Classification Using ResNet-101</t>
        </is>
      </c>
      <c r="B1189" s="86" t="inlineStr">
        <is>
          <t>K. S. Babu; G. Saranya; K. Santhoshkumar; T. Babu; M. V. Thirumala; D. Venkatareddy</t>
        </is>
      </c>
      <c r="C1189" s="86" t="n">
        <v>2024</v>
      </c>
      <c r="D1189" s="5" t="inlineStr">
        <is>
          <t>Outcome not related to interest</t>
        </is>
      </c>
      <c r="E1189" s="86" t="n"/>
      <c r="F1189" s="86" t="n"/>
    </row>
    <row r="1190" ht="16" customHeight="1" s="55">
      <c r="A1190" s="86" t="inlineStr">
        <is>
          <t>VisionSaver: Revolutionizing Ocular Disease Detection with AI-Powered Real-Time Screening</t>
        </is>
      </c>
      <c r="B1190" s="86" t="inlineStr">
        <is>
          <t>V. B. V; V. I; M. V. Reddy; N. Nikhitha; R. P. Pramila</t>
        </is>
      </c>
      <c r="C1190" s="86" t="n">
        <v>2024</v>
      </c>
      <c r="D1190" s="5" t="inlineStr">
        <is>
          <t>Outcome not related to interest</t>
        </is>
      </c>
      <c r="E1190" s="86" t="n"/>
      <c r="F1190" s="86" t="n"/>
    </row>
    <row r="1191" ht="16" customHeight="1" s="55">
      <c r="A1191" s="86" t="inlineStr">
        <is>
          <t>Optimizing Retinal Fundus Images for the Automated Diabetic Retinopathy Diagnosis</t>
        </is>
      </c>
      <c r="B1191" s="86" t="inlineStr">
        <is>
          <t>S. Awad; Y. Gharaibeh; A. Obeid; S. Awwad</t>
        </is>
      </c>
      <c r="C1191" s="86" t="n">
        <v>2024</v>
      </c>
      <c r="D1191" s="5" t="inlineStr">
        <is>
          <t>Outcome not related to interest</t>
        </is>
      </c>
      <c r="E1191" s="86" t="n"/>
      <c r="F1191" s="86" t="n"/>
    </row>
    <row r="1192" ht="16" customHeight="1" s="55">
      <c r="A1192" s="86" t="inlineStr">
        <is>
          <t>Enhancing Diabetic Retinopathy and Glaucoma Diagnosis through Efficient Retinal Vessel Segmentation and Disease Classification</t>
        </is>
      </c>
      <c r="B1192" s="86" t="inlineStr">
        <is>
          <t>S. Asadi</t>
        </is>
      </c>
      <c r="C1192" s="86" t="n">
        <v>2024</v>
      </c>
      <c r="D1192" s="5" t="inlineStr">
        <is>
          <t>Outcome not related to interest</t>
        </is>
      </c>
      <c r="E1192" s="86" t="n"/>
      <c r="F1192" s="86" t="n"/>
    </row>
    <row r="1193" ht="16" customHeight="1" s="55">
      <c r="A1193" s="86" t="inlineStr">
        <is>
          <t>Decoding Diabetics: Diabetic Retinopathy Detection using Machine Learning</t>
        </is>
      </c>
      <c r="B1193" s="86" t="inlineStr">
        <is>
          <t>V. Arunthavarajah; W. Tissera; K. Rajendran</t>
        </is>
      </c>
      <c r="C1193" s="86" t="n">
        <v>2024</v>
      </c>
      <c r="D1193" s="5" t="inlineStr">
        <is>
          <t>Outcome not related to interest</t>
        </is>
      </c>
      <c r="E1193" s="86" t="n"/>
      <c r="F1193" s="86" t="n"/>
    </row>
    <row r="1194" ht="16" customHeight="1" s="55">
      <c r="A1194" s="86" t="inlineStr">
        <is>
          <t>Visionary AI: Transforming Diabetic Retinopathy Discovery through Advanced Deep Learning Models</t>
        </is>
      </c>
      <c r="B1194" s="86" t="inlineStr">
        <is>
          <t>B. A. Arun; B. N. Bansode</t>
        </is>
      </c>
      <c r="C1194" s="86" t="n">
        <v>2024</v>
      </c>
      <c r="D1194" s="5" t="inlineStr">
        <is>
          <t>Outcome not related to interest</t>
        </is>
      </c>
      <c r="E1194" s="86" t="n"/>
      <c r="F1194" s="86" t="n"/>
    </row>
    <row r="1195" ht="16" customHeight="1" s="55">
      <c r="A1195" s="86" t="inlineStr">
        <is>
          <t>Multi-label Classification of Retinal Diseases using Hybrid Vision Transformer</t>
        </is>
      </c>
      <c r="B1195" s="86" t="inlineStr">
        <is>
          <t>Anshika; B. D. K. Patro</t>
        </is>
      </c>
      <c r="C1195" s="86" t="n">
        <v>2024</v>
      </c>
      <c r="D1195" s="5" t="inlineStr">
        <is>
          <t>Outcome not related to interest</t>
        </is>
      </c>
      <c r="E1195" s="86" t="n"/>
      <c r="F1195" s="86" t="n"/>
    </row>
    <row r="1196" ht="16" customHeight="1" s="55">
      <c r="A1196" s="86" t="inlineStr">
        <is>
          <t>Diabetic Retinopathy Detection using EfficientNet-based Framework with Segmentation</t>
        </is>
      </c>
      <c r="B1196" s="86" t="inlineStr">
        <is>
          <t>J. Anitha; S. C. Sangapu</t>
        </is>
      </c>
      <c r="C1196" s="86" t="n">
        <v>2024</v>
      </c>
      <c r="D1196" s="5" t="inlineStr">
        <is>
          <t>Outcome not related to interest</t>
        </is>
      </c>
      <c r="E1196" s="86" t="n"/>
      <c r="F1196" s="86" t="n"/>
    </row>
    <row r="1197" ht="16" customHeight="1" s="55">
      <c r="A1197" s="86" t="inlineStr">
        <is>
          <t>A Mobile Feature-Based Cascaded Deep Learning Approach for Diabetic Retinopathy Classification</t>
        </is>
      </c>
      <c r="B1197" s="86" t="inlineStr">
        <is>
          <t>M. Alhalabi; N. Eissa; H. Salman; A. Sheibani; A. Amin; M. Ghazal</t>
        </is>
      </c>
      <c r="C1197" s="86" t="n">
        <v>2024</v>
      </c>
      <c r="D1197" s="5" t="inlineStr">
        <is>
          <t>Outcome not related to interest</t>
        </is>
      </c>
      <c r="E1197" s="86" t="n"/>
      <c r="F1197" s="86" t="n"/>
    </row>
    <row r="1198" ht="16" customHeight="1" s="55">
      <c r="A1198" s="86" t="inlineStr">
        <is>
          <t>DeepDiabetic: An Identification System of Diabetic Eye Diseases Using Deep Neural Networks</t>
        </is>
      </c>
      <c r="B1198" s="86" t="inlineStr">
        <is>
          <t>A. Albelaihi; D. M. Ibrahim</t>
        </is>
      </c>
      <c r="C1198" s="86" t="n">
        <v>2024</v>
      </c>
      <c r="D1198" s="5" t="inlineStr">
        <is>
          <t>Outcome not related to interest</t>
        </is>
      </c>
      <c r="E1198" s="86" t="n"/>
      <c r="F1198" s="86" t="n"/>
    </row>
    <row r="1199" ht="16" customHeight="1" s="55">
      <c r="A1199" s="86" t="inlineStr">
        <is>
          <t>Enhancing Early Detection of Diabetic Retinopathy Through the Integration of Deep Learning Models and Explainable Artificial Intelligence</t>
        </is>
      </c>
      <c r="B1199" s="86" t="inlineStr">
        <is>
          <t>K. A. Alavee; M. Hasan; A. H. Zillanee; M. Mostakim; J. Uddin; E. S. Alvarado; I. d. l. T. Diez; I. Ashraf; M. A. Samad</t>
        </is>
      </c>
      <c r="C1199" s="86" t="n">
        <v>2024</v>
      </c>
      <c r="D1199" s="5" t="inlineStr">
        <is>
          <t>Outcome not related to interest</t>
        </is>
      </c>
      <c r="E1199" s="86" t="n"/>
      <c r="F1199" s="86" t="n"/>
    </row>
    <row r="1200" ht="16" customHeight="1" s="55">
      <c r="A1200" s="86" t="inlineStr">
        <is>
          <t>Towards Efficient Diabetic Retinopathy Diagnosis: A Comparative Study of Classification Techniques</t>
        </is>
      </c>
      <c r="B1200" s="86" t="inlineStr">
        <is>
          <t>K. A. Al-Tayeb; A. Jarndal; T. Bonny; S. Majzoub; E. Almajali; S. A. Mahmoud</t>
        </is>
      </c>
      <c r="C1200" s="86" t="n">
        <v>2024</v>
      </c>
      <c r="D1200" s="5" t="inlineStr">
        <is>
          <t>Outcome not related to interest</t>
        </is>
      </c>
      <c r="E1200" s="86" t="n"/>
      <c r="F1200" s="86" t="n"/>
    </row>
    <row r="1201" ht="16" customHeight="1" s="55">
      <c r="A1201" s="86" t="inlineStr">
        <is>
          <t>Comparative Approach on Machine Learning and Deep Learning Techniques based Diabetic Retinopathy Detection</t>
        </is>
      </c>
      <c r="B1201" s="86" t="inlineStr">
        <is>
          <t>M. Al-Farouni; B. Panduri; M. A. Alkhafaij; R. R. V. S. S. Bharattej; Y. Chanti</t>
        </is>
      </c>
      <c r="C1201" s="86" t="n">
        <v>2024</v>
      </c>
      <c r="D1201" s="5" t="inlineStr">
        <is>
          <t>Outcome not related to interest</t>
        </is>
      </c>
      <c r="E1201" s="86" t="n"/>
      <c r="F1201" s="86" t="n"/>
    </row>
    <row r="1202" ht="16" customHeight="1" s="55">
      <c r="A1202" s="86" t="inlineStr">
        <is>
          <t>Insight Retina: A Deep Learning Approach to Diagnose Diabetic Retinopathy</t>
        </is>
      </c>
      <c r="B1202" s="86" t="inlineStr">
        <is>
          <t>V. Akshaya; S. Sashank; G. M. Subhash</t>
        </is>
      </c>
      <c r="C1202" s="86" t="n">
        <v>2024</v>
      </c>
      <c r="D1202" s="5" t="inlineStr">
        <is>
          <t>Outcome not related to interest</t>
        </is>
      </c>
      <c r="E1202" s="86" t="n"/>
      <c r="F1202" s="86" t="n"/>
    </row>
    <row r="1203" ht="16" customHeight="1" s="55">
      <c r="A1203" s="86" t="inlineStr">
        <is>
          <t>A Severity Grading Framework for Diabetic Retinopathy Detection using Transfer Learning</t>
        </is>
      </c>
      <c r="B1203" s="86" t="inlineStr">
        <is>
          <t>S. Akhtar; S. Aftab; S. Kousar; A. Rehman; M. Ahmad; A. Q. Saeed</t>
        </is>
      </c>
      <c r="C1203" s="86" t="n">
        <v>2024</v>
      </c>
      <c r="D1203" s="5" t="inlineStr">
        <is>
          <t>Outcome not related to interest</t>
        </is>
      </c>
      <c r="E1203" s="86" t="n"/>
      <c r="F1203" s="86" t="n"/>
    </row>
    <row r="1204" ht="16" customHeight="1" s="55">
      <c r="A1204" s="86" t="inlineStr">
        <is>
          <t>Performance Analysis of Training Optimizers on Diabetic Retinopathy Detection Using SP-Net CNN</t>
        </is>
      </c>
      <c r="B1204" s="86" t="inlineStr">
        <is>
          <t>S. Akhtar; S. Aftab; S. Kousar; A. Rehman; M. Ahmad; A. Q. Saeed</t>
        </is>
      </c>
      <c r="C1204" s="86" t="n">
        <v>2024</v>
      </c>
      <c r="D1204" s="5" t="inlineStr">
        <is>
          <t>Outcome not related to interest</t>
        </is>
      </c>
      <c r="E1204" s="86" t="n"/>
      <c r="F1204" s="86" t="n"/>
    </row>
    <row r="1205" ht="16" customHeight="1" s="55">
      <c r="A1205" s="86" t="inlineStr">
        <is>
          <t>A Transfer Learning Based Framework for Diabetic Retinopathy Detection Using Data Fusion</t>
        </is>
      </c>
      <c r="B1205" s="86" t="inlineStr">
        <is>
          <t>S. Akhtar; S. Aftab; M. Ahmad; B. Ihnaini</t>
        </is>
      </c>
      <c r="C1205" s="86" t="n">
        <v>2024</v>
      </c>
      <c r="D1205" s="5" t="inlineStr">
        <is>
          <t>Outcome not related to interest</t>
        </is>
      </c>
      <c r="E1205" s="86" t="n"/>
      <c r="F1205" s="86" t="n"/>
    </row>
    <row r="1206" ht="16" customHeight="1" s="55">
      <c r="A1206" s="86" t="inlineStr">
        <is>
          <t>A Classification Framework for Diabetic Retinopathy Detection Using Transfer Learning</t>
        </is>
      </c>
      <c r="B1206" s="86" t="inlineStr">
        <is>
          <t>S. Akhtar; S. Aftab; M. Ahmad; B. Ihnaini</t>
        </is>
      </c>
      <c r="C1206" s="86" t="n">
        <v>2024</v>
      </c>
      <c r="D1206" s="5" t="inlineStr">
        <is>
          <t>Outcome not related to interest</t>
        </is>
      </c>
      <c r="E1206" s="86" t="n"/>
      <c r="F1206" s="86" t="n"/>
    </row>
    <row r="1207" ht="16" customHeight="1" s="55">
      <c r="A1207" s="86" t="inlineStr">
        <is>
          <t>Identification of the Diabetic Retinopathy Using ResNet-18</t>
        </is>
      </c>
      <c r="B1207" s="86" t="inlineStr">
        <is>
          <t>F. Ahmed; A. Fatima; M. Mamoon; S. Khan</t>
        </is>
      </c>
      <c r="C1207" s="86" t="n">
        <v>2024</v>
      </c>
      <c r="D1207" s="5" t="inlineStr">
        <is>
          <t>Outcome not related to interest</t>
        </is>
      </c>
      <c r="E1207" s="86" t="n"/>
      <c r="F1207" s="86" t="n"/>
    </row>
    <row r="1208" ht="16" customHeight="1" s="55">
      <c r="A1208" s="86" t="inlineStr">
        <is>
          <t>Utilizing Transfer Learning for Automated Detection of Diabetic Retinopathy</t>
        </is>
      </c>
      <c r="B1208" s="86" t="inlineStr">
        <is>
          <t>M. Agarwal; R. B. Pachori</t>
        </is>
      </c>
      <c r="C1208" s="86" t="n">
        <v>2024</v>
      </c>
      <c r="D1208" s="5" t="inlineStr">
        <is>
          <t>Outcome not related to interest</t>
        </is>
      </c>
      <c r="E1208" s="86" t="n"/>
      <c r="F1208" s="86" t="n"/>
    </row>
    <row r="1209" ht="16" customHeight="1" s="55">
      <c r="A1209" s="86" t="inlineStr">
        <is>
          <t>Deep Learning in Automatic Diabetic Retinopathy Detection and Grading Systems: A Comprehensive Survey and Comparison of Methods</t>
        </is>
      </c>
      <c r="B1209" s="86" t="inlineStr">
        <is>
          <t>I. Y. Abushawish; S. Modak; E. Abdel-Raheem; S. A. Mahmoud; A. J. Hussain</t>
        </is>
      </c>
      <c r="C1209" s="86" t="n">
        <v>2024</v>
      </c>
      <c r="D1209" s="5" t="inlineStr">
        <is>
          <t>Outcome not related to interest</t>
        </is>
      </c>
      <c r="E1209" s="86" t="n"/>
      <c r="F1209" s="86" t="n"/>
    </row>
    <row r="1210" ht="16" customHeight="1" s="55">
      <c r="A1210" s="86" t="inlineStr">
        <is>
          <t>Disseminating the Risk Factors With Enhancement in Precision Medicine Using Comparative Machine Learning Models for Healthcare Data</t>
        </is>
      </c>
      <c r="B1210" s="86" t="inlineStr">
        <is>
          <t>A. S. Abdullah; V. N. P. Shashank; D. A. L. Hudson</t>
        </is>
      </c>
      <c r="C1210" s="86" t="n">
        <v>2024</v>
      </c>
      <c r="D1210" s="5" t="inlineStr">
        <is>
          <t>Outcome not related to interest</t>
        </is>
      </c>
      <c r="E1210" s="86" t="n"/>
      <c r="F1210" s="86" t="n"/>
    </row>
    <row r="1211" ht="16" customHeight="1" s="55">
      <c r="A1211" s="86" t="inlineStr">
        <is>
          <t>Detection and Classification of Eye Diseases using Hybrid Deep Features with Decision Tree Algorithm</t>
        </is>
      </c>
      <c r="B1211" s="86" t="inlineStr">
        <is>
          <t>A. A. Abdullah; A. Aldhahab; H. M. A. Abboodi</t>
        </is>
      </c>
      <c r="C1211" s="86" t="n">
        <v>2024</v>
      </c>
      <c r="D1211" s="5" t="inlineStr">
        <is>
          <t>Outcome not related to interest</t>
        </is>
      </c>
      <c r="E1211" s="86" t="n"/>
      <c r="F1211" s="86" t="n"/>
    </row>
    <row r="1212" ht="16" customHeight="1" s="55">
      <c r="A1212" s="86" t="inlineStr">
        <is>
          <t>Automatic Detection of Diabetic Retinopathy Using CNN and SVM</t>
        </is>
      </c>
      <c r="B1212" s="86" t="inlineStr">
        <is>
          <t>C. A. A. P; K. S. Bhargav; R. Akki; R. S; V. V</t>
        </is>
      </c>
      <c r="C1212" s="86" t="n">
        <v>2024</v>
      </c>
      <c r="D1212" s="5" t="inlineStr">
        <is>
          <t>Outcome not related to interest</t>
        </is>
      </c>
      <c r="E1212" s="86" t="n"/>
      <c r="F1212" s="86" t="n"/>
    </row>
    <row r="1213" ht="16" customHeight="1" s="55">
      <c r="A1213" s="86" t="inlineStr">
        <is>
          <t>SENet-based Diabetic Retinopathy Classification Using Data Augmentation</t>
        </is>
      </c>
      <c r="B1213" s="86" t="inlineStr">
        <is>
          <t>S. A; J. M. V; N. Nair; P. Mohan; R. Rajan</t>
        </is>
      </c>
      <c r="C1213" s="86" t="n">
        <v>2024</v>
      </c>
      <c r="D1213" s="5" t="inlineStr">
        <is>
          <t>Outcome not related to interest</t>
        </is>
      </c>
      <c r="E1213" s="86" t="n"/>
      <c r="F1213" s="86" t="n"/>
    </row>
    <row r="1214" ht="16" customHeight="1" s="55">
      <c r="A1214" s="86" t="inlineStr">
        <is>
          <t>AI-based Diabetic Retinopathy Grading Using Raspberry Pi</t>
        </is>
      </c>
      <c r="B1214" s="86" t="inlineStr">
        <is>
          <t>S. A; V. J. M; N. Nair; P. Mohan; R. Rajan</t>
        </is>
      </c>
      <c r="C1214" s="86" t="n">
        <v>2024</v>
      </c>
      <c r="D1214" s="5" t="inlineStr">
        <is>
          <t>Outcome not related to interest</t>
        </is>
      </c>
      <c r="E1214" s="86" t="n"/>
      <c r="F1214" s="86" t="n"/>
    </row>
    <row r="1215" ht="16" customHeight="1" s="55">
      <c r="A1215" s="86" t="inlineStr">
        <is>
          <t>Comparative Analysis of Deep Learning Models for Diabetic Retinopathy Classification</t>
        </is>
      </c>
      <c r="B1215" s="86" t="inlineStr">
        <is>
          <t>M. V. A; M. S. J. S; S. N; A. Mohanarathinam</t>
        </is>
      </c>
      <c r="C1215" s="86" t="n">
        <v>2024</v>
      </c>
      <c r="D1215" s="5" t="inlineStr">
        <is>
          <t>Outcome not related to interest</t>
        </is>
      </c>
      <c r="E1215" s="86" t="n"/>
      <c r="F1215" s="86" t="n"/>
    </row>
    <row r="1216" ht="16" customHeight="1" s="55">
      <c r="A1216" s="86" t="inlineStr">
        <is>
          <t>14 Determining the Severity of Diabetic Retinopathy through Neural Network Models</t>
        </is>
      </c>
      <c r="B1216" s="86" t="n"/>
      <c r="C1216" s="86" t="n">
        <v>2024</v>
      </c>
      <c r="D1216" s="5" t="inlineStr">
        <is>
          <t>Outcome not related to interest</t>
        </is>
      </c>
      <c r="E1216" s="86" t="n"/>
      <c r="F1216" s="86" t="n"/>
    </row>
    <row r="1217" ht="16" customHeight="1" s="55">
      <c r="A1217" s="86" t="inlineStr">
        <is>
          <t>Few-Shot Image Classification for Rare Ocular Disease with an Ensemble of Pretrained Feature Extractors and a Statistical Classifier</t>
        </is>
      </c>
      <c r="B1217" s="86" t="inlineStr">
        <is>
          <t>S. Zorek; S. Luo; V. Aguiar-Pulido</t>
        </is>
      </c>
      <c r="C1217" s="86" t="n">
        <v>2023</v>
      </c>
      <c r="D1217" s="5" t="inlineStr">
        <is>
          <t>Outcome not related to interest</t>
        </is>
      </c>
      <c r="E1217" s="86" t="n"/>
      <c r="F1217" s="86" t="n"/>
    </row>
    <row r="1218" ht="16" customHeight="1" s="55">
      <c r="A1218" s="86" t="inlineStr">
        <is>
          <t>Risk assessment of diabetic retinopathy with machine and deep learning models with PPG signals and PWV</t>
        </is>
      </c>
      <c r="B1218" s="86" t="inlineStr">
        <is>
          <t>S. Zanelli; K. Eveilleau; M. Ammi; M. Hallab; M. A. E. Yacoubi</t>
        </is>
      </c>
      <c r="C1218" s="86" t="n">
        <v>2023</v>
      </c>
      <c r="D1218" s="5" t="inlineStr">
        <is>
          <t>Outcome not related to interest</t>
        </is>
      </c>
      <c r="E1218" s="86" t="n"/>
      <c r="F1218" s="86" t="n"/>
    </row>
    <row r="1219" ht="16" customHeight="1" s="55">
      <c r="A1219" s="86" t="inlineStr">
        <is>
          <t>Classification and Prediction of Diabetic Retinopathy Severity using Transfer Learning Algorithm</t>
        </is>
      </c>
      <c r="B1219" s="86" t="inlineStr">
        <is>
          <t>J. Yogapriya; Dhanalakshmi</t>
        </is>
      </c>
      <c r="C1219" s="86" t="n">
        <v>2023</v>
      </c>
      <c r="D1219" s="5" t="inlineStr">
        <is>
          <t>Outcome not related to interest</t>
        </is>
      </c>
      <c r="E1219" s="86" t="n"/>
      <c r="F1219" s="86" t="n"/>
    </row>
    <row r="1220" ht="16" customHeight="1" s="55">
      <c r="A1220" s="86" t="inlineStr">
        <is>
          <t>A Generalized Grayscale Image Processing Framework for Retinal Fundus Images</t>
        </is>
      </c>
      <c r="B1220" s="86" t="inlineStr">
        <is>
          <t>S. Yerramneni; K. S. V. Nitya; S. Nalluri; R. Senapati</t>
        </is>
      </c>
      <c r="C1220" s="86" t="n">
        <v>2023</v>
      </c>
      <c r="D1220" s="5" t="inlineStr">
        <is>
          <t>Outcome not related to interest</t>
        </is>
      </c>
      <c r="E1220" s="86" t="n"/>
      <c r="F1220" s="86" t="n"/>
    </row>
    <row r="1221" ht="16" customHeight="1" s="55">
      <c r="A1221" s="86" t="inlineStr">
        <is>
          <t>Fundus Image-Label Pairs Synthesis and Retinopathy Screening via GANs With Class-Imbalanced Semi-Supervised Learning</t>
        </is>
      </c>
      <c r="B1221" s="86" t="inlineStr">
        <is>
          <t>Y. Xie; Q. Wan; H. Xie; Y. Xu; T. Wang; S. Wang; B. Lei</t>
        </is>
      </c>
      <c r="C1221" s="86" t="n">
        <v>2023</v>
      </c>
      <c r="D1221" s="5" t="inlineStr">
        <is>
          <t>Outcome not related to interest</t>
        </is>
      </c>
      <c r="E1221" s="86" t="n"/>
      <c r="F1221" s="86" t="n"/>
    </row>
    <row r="1222" ht="16" customHeight="1" s="55">
      <c r="A1222" s="86" t="inlineStr">
        <is>
          <t>A Two-stream Channel Cross Enhancement Network for Diabetic Retinopathy Classification</t>
        </is>
      </c>
      <c r="B1222" s="86" t="inlineStr">
        <is>
          <t>Z. Xia; Q. Jiang; W. Li; H. Hu; C. Zhu; Z. Zou</t>
        </is>
      </c>
      <c r="C1222" s="86" t="n">
        <v>2023</v>
      </c>
      <c r="D1222" s="5" t="inlineStr">
        <is>
          <t>Outcome not related to interest</t>
        </is>
      </c>
      <c r="E1222" s="86" t="n"/>
      <c r="F1222" s="86" t="n"/>
    </row>
    <row r="1223" ht="16" customHeight="1" s="55">
      <c r="A1223" s="86" t="inlineStr">
        <is>
          <t>A Framework for Identifying Diabetic Retinopathy Based on patch attention and lesion location</t>
        </is>
      </c>
      <c r="B1223" s="86" t="inlineStr">
        <is>
          <t>Z. Xia; H. Hu; W. Li; Q. Jiang; C. Zhu; Z. Zou</t>
        </is>
      </c>
      <c r="C1223" s="86" t="n">
        <v>2023</v>
      </c>
      <c r="D1223" s="5" t="inlineStr">
        <is>
          <t>Outcome not related to interest</t>
        </is>
      </c>
      <c r="E1223" s="86" t="n"/>
      <c r="F1223" s="86" t="n"/>
    </row>
    <row r="1224" ht="16" customHeight="1" s="55">
      <c r="A1224" s="86" t="inlineStr">
        <is>
          <t>Diabetic Retinopathy Detection and Grading: A Transfer Learning Approach Using Simultaneous Parameter Optimization and Feature-Weighted ECOC Ensemble</t>
        </is>
      </c>
      <c r="B1224" s="86" t="inlineStr">
        <is>
          <t>W. K. Wong; F. H. Juwono; C. Apriono</t>
        </is>
      </c>
      <c r="C1224" s="86" t="n">
        <v>2023</v>
      </c>
      <c r="D1224" s="5" t="inlineStr">
        <is>
          <t>Outcome not related to interest</t>
        </is>
      </c>
      <c r="E1224" s="86" t="n"/>
      <c r="F1224" s="86" t="n"/>
    </row>
    <row r="1225" ht="16" customHeight="1" s="55">
      <c r="A1225" s="86" t="inlineStr">
        <is>
          <t>Diabetic Retinopathy Detection Using Convolutional Neural Network</t>
        </is>
      </c>
      <c r="B1225" s="86" t="inlineStr">
        <is>
          <t>Y. Wankhede; P. Shinde; S. Naik; R. Raut; A. Devkar</t>
        </is>
      </c>
      <c r="C1225" s="86" t="n">
        <v>2023</v>
      </c>
      <c r="D1225" s="5" t="inlineStr">
        <is>
          <t>Outcome not related to interest</t>
        </is>
      </c>
      <c r="E1225" s="86" t="n"/>
      <c r="F1225" s="86" t="n"/>
    </row>
    <row r="1226" ht="16" customHeight="1" s="55">
      <c r="A1226" s="86" t="inlineStr">
        <is>
          <t>Retinal Layer and Fluid Segmentation with Transformer Based Architecture</t>
        </is>
      </c>
      <c r="B1226" s="86" t="inlineStr">
        <is>
          <t>Y. K. Wang; K. K. Wen; C. K. Lu; C. H. Lin</t>
        </is>
      </c>
      <c r="C1226" s="86" t="n">
        <v>2023</v>
      </c>
      <c r="D1226" s="5" t="inlineStr">
        <is>
          <t>Outcome not related to interest</t>
        </is>
      </c>
      <c r="E1226" s="86" t="n"/>
      <c r="F1226" s="86" t="n"/>
    </row>
    <row r="1227" ht="16" customHeight="1" s="55">
      <c r="A1227" s="86" t="inlineStr">
        <is>
          <t>Revolutionizing Healthcare: Early Disease Detection through Retinal Imaging and AI-Driven Approaches</t>
        </is>
      </c>
      <c r="B1227" s="86" t="inlineStr">
        <is>
          <t>H. Z. Wala; T. P. Nevagi; S. G. Jagtap</t>
        </is>
      </c>
      <c r="C1227" s="86" t="n">
        <v>2023</v>
      </c>
      <c r="D1227" s="5" t="inlineStr">
        <is>
          <t>Outcome not related to interest</t>
        </is>
      </c>
      <c r="E1227" s="86" t="n"/>
      <c r="F1227" s="86" t="n"/>
    </row>
    <row r="1228" ht="16" customHeight="1" s="55">
      <c r="A1228" s="86" t="inlineStr">
        <is>
          <t>Identification of Diabetic Related Eye Diseases Using Deep Learning</t>
        </is>
      </c>
      <c r="B1228" s="86" t="inlineStr">
        <is>
          <t>K. H. W; U. K. T. D; K. B. G. L. D; M. A. U. T; S. Kasthuriarachchi; S. Rajapaksha</t>
        </is>
      </c>
      <c r="C1228" s="86" t="n">
        <v>2023</v>
      </c>
      <c r="D1228" s="5" t="inlineStr">
        <is>
          <t>Outcome not related to interest</t>
        </is>
      </c>
      <c r="E1228" s="86" t="n"/>
      <c r="F1228" s="86" t="n"/>
    </row>
    <row r="1229" ht="16" customHeight="1" s="55">
      <c r="A1229" s="86" t="inlineStr">
        <is>
          <t>Early Diagnosis of Cataract and Diabetic Retinopathy for Rural India using a Cloud-Based Deep Learning Model</t>
        </is>
      </c>
      <c r="B1229" s="86" t="inlineStr">
        <is>
          <t>N. Vora; V. Iyer; H. Dalvi</t>
        </is>
      </c>
      <c r="C1229" s="86" t="n">
        <v>2023</v>
      </c>
      <c r="D1229" s="5" t="inlineStr">
        <is>
          <t>Outcome not related to interest</t>
        </is>
      </c>
      <c r="E1229" s="86" t="n"/>
      <c r="F1229" s="86" t="n"/>
    </row>
    <row r="1230" ht="16" customHeight="1" s="55">
      <c r="A1230" s="86" t="inlineStr">
        <is>
          <t>Gradient-based Explainable Artificial Intelligence Methods for Eye Disease Classification</t>
        </is>
      </c>
      <c r="B1230" s="86" t="inlineStr">
        <is>
          <t>E. N. Volkov; A. N. Averkin</t>
        </is>
      </c>
      <c r="C1230" s="86" t="n">
        <v>2023</v>
      </c>
      <c r="D1230" s="5" t="inlineStr">
        <is>
          <t>Outcome not related to interest</t>
        </is>
      </c>
      <c r="E1230" s="86" t="n"/>
      <c r="F1230" s="86" t="n"/>
    </row>
    <row r="1231" ht="16" customHeight="1" s="55">
      <c r="A1231" s="86" t="inlineStr">
        <is>
          <t>Detection of Diabetic Retinopathy Image Analysis using Convolution Graph Neural Network</t>
        </is>
      </c>
      <c r="B1231" s="86" t="inlineStr">
        <is>
          <t>R. Vignesh; N. Muthukumaran; M. P. Austin</t>
        </is>
      </c>
      <c r="C1231" s="86" t="n">
        <v>2023</v>
      </c>
      <c r="D1231" s="5" t="inlineStr">
        <is>
          <t>Outcome not related to interest</t>
        </is>
      </c>
      <c r="E1231" s="86" t="n"/>
      <c r="F1231" s="86" t="n"/>
    </row>
    <row r="1232" ht="16" customHeight="1" s="55">
      <c r="A1232" s="86" t="inlineStr">
        <is>
          <t>Improving Diabetic Retinopathy Diagnosis with Transfer Learning and Filtered Fundus Images: An Automated Approach</t>
        </is>
      </c>
      <c r="B1232" s="86" t="inlineStr">
        <is>
          <t>P. Verma; S. Elango</t>
        </is>
      </c>
      <c r="C1232" s="86" t="n">
        <v>2023</v>
      </c>
      <c r="D1232" s="5" t="inlineStr">
        <is>
          <t>Outcome not related to interest</t>
        </is>
      </c>
      <c r="E1232" s="86" t="n"/>
      <c r="F1232" s="86" t="n"/>
    </row>
    <row r="1233" ht="16" customHeight="1" s="55">
      <c r="A1233" s="86" t="inlineStr">
        <is>
          <t>Comparative Analysis of CNN Models for Retinal Disease Detection</t>
        </is>
      </c>
      <c r="B1233" s="86" t="inlineStr">
        <is>
          <t>H. D. Verma; M. K. Gourisaria; S. Ghosh; B. K. Dewangan</t>
        </is>
      </c>
      <c r="C1233" s="86" t="n">
        <v>2023</v>
      </c>
      <c r="D1233" s="5" t="inlineStr">
        <is>
          <t>Outcome not related to interest</t>
        </is>
      </c>
      <c r="E1233" s="86" t="n"/>
      <c r="F1233" s="86" t="n"/>
    </row>
    <row r="1234" ht="16" customHeight="1" s="55">
      <c r="A1234" s="86" t="inlineStr">
        <is>
          <t>Inception-Resnet V2 Based Eye Disease Classification Using Retinal Images</t>
        </is>
      </c>
      <c r="B1234" s="86" t="inlineStr">
        <is>
          <t>R. E. Varghese; I. A. Pandian</t>
        </is>
      </c>
      <c r="C1234" s="86" t="n">
        <v>2023</v>
      </c>
      <c r="D1234" s="5" t="inlineStr">
        <is>
          <t>Outcome not related to interest</t>
        </is>
      </c>
      <c r="E1234" s="86" t="n"/>
      <c r="F1234" s="86" t="n"/>
    </row>
    <row r="1235" ht="16" customHeight="1" s="55">
      <c r="A1235" s="86" t="inlineStr">
        <is>
          <t>Noise and performance analysis on fundus images with CNN and transformer models</t>
        </is>
      </c>
      <c r="B1235" s="86" t="inlineStr">
        <is>
          <t>N. Vannadil; P. Kokil</t>
        </is>
      </c>
      <c r="C1235" s="86" t="n">
        <v>2023</v>
      </c>
      <c r="D1235" s="5" t="inlineStr">
        <is>
          <t>Outcome not related to interest</t>
        </is>
      </c>
      <c r="E1235" s="86" t="n"/>
      <c r="F1235" s="86" t="n"/>
    </row>
    <row r="1236" ht="16" customHeight="1" s="55">
      <c r="A1236" s="86" t="inlineStr">
        <is>
          <t>Enhancing Ocular Healthcare: Deep Learning-Based Multi-Class Diabetic Eye Disease Segmentation and Classification</t>
        </is>
      </c>
      <c r="B1236" s="86" t="inlineStr">
        <is>
          <t>M. Vadduri; P. Kuppusamy</t>
        </is>
      </c>
      <c r="C1236" s="86" t="n">
        <v>2023</v>
      </c>
      <c r="D1236" s="5" t="inlineStr">
        <is>
          <t>Outcome not related to interest</t>
        </is>
      </c>
      <c r="E1236" s="86" t="n"/>
      <c r="F1236" s="86" t="n"/>
    </row>
    <row r="1237" ht="16" customHeight="1" s="55">
      <c r="A1237" s="86" t="inlineStr">
        <is>
          <t>Visualizing Diabetic Retinopathy: A Deep Learning Approach to Enhance Fundus Image Analysis</t>
        </is>
      </c>
      <c r="B1237" s="86" t="inlineStr">
        <is>
          <t>M. V. K; S. S; G. R; C. N; M. S</t>
        </is>
      </c>
      <c r="C1237" s="86" t="n">
        <v>2023</v>
      </c>
      <c r="D1237" s="5" t="inlineStr">
        <is>
          <t>Outcome not related to interest</t>
        </is>
      </c>
      <c r="E1237" s="86" t="n"/>
      <c r="F1237" s="86" t="n"/>
    </row>
    <row r="1238" ht="16" customHeight="1" s="55">
      <c r="A1238" s="86" t="inlineStr">
        <is>
          <t>Comparative Analysis of Self-Supervised and Supervised Deep Learning Models for Ocular Disease Recognition</t>
        </is>
      </c>
      <c r="B1238" s="86" t="inlineStr">
        <is>
          <t>S. V; K. R. K; R. S. M; S. N. S</t>
        </is>
      </c>
      <c r="C1238" s="86" t="n">
        <v>2023</v>
      </c>
      <c r="D1238" s="5" t="inlineStr">
        <is>
          <t>Outcome not related to interest</t>
        </is>
      </c>
      <c r="E1238" s="86" t="n"/>
      <c r="F1238" s="86" t="n"/>
    </row>
    <row r="1239" ht="16" customHeight="1" s="55">
      <c r="A1239" s="86" t="inlineStr">
        <is>
          <t>Hybrid ResNet with Bidirectional LSTM for Eye Disease Classification with Evaluation Optimizers Techniques</t>
        </is>
      </c>
      <c r="B1239" s="86" t="inlineStr">
        <is>
          <t>R. V; N. Muthukumaran; M. P. Austin</t>
        </is>
      </c>
      <c r="C1239" s="86" t="n">
        <v>2023</v>
      </c>
      <c r="D1239" s="5" t="inlineStr">
        <is>
          <t>Outcome not related to interest</t>
        </is>
      </c>
      <c r="E1239" s="86" t="n"/>
      <c r="F1239" s="86" t="n"/>
    </row>
    <row r="1240" ht="16" customHeight="1" s="55">
      <c r="A1240" s="86" t="inlineStr">
        <is>
          <t>Detecting Diabetic Retinopathy using ResNet50 and Explainable AI</t>
        </is>
      </c>
      <c r="B1240" s="86" t="inlineStr">
        <is>
          <t>S. Tyagi; S. Pingulkar; A. Tiwary</t>
        </is>
      </c>
      <c r="C1240" s="86" t="n">
        <v>2023</v>
      </c>
      <c r="D1240" s="5" t="inlineStr">
        <is>
          <t>Outcome not related to interest</t>
        </is>
      </c>
      <c r="E1240" s="86" t="n"/>
      <c r="F1240" s="86" t="n"/>
    </row>
    <row r="1241" ht="16" customHeight="1" s="55">
      <c r="A1241" s="86" t="inlineStr">
        <is>
          <t>Broad Analysis of Deep Learning Techniques for Diabetic Retinopathy Screening</t>
        </is>
      </c>
      <c r="B1241" s="86" t="inlineStr">
        <is>
          <t>S. Tiwari; A. Shukla; A. Jain; A. Alferaidi</t>
        </is>
      </c>
      <c r="C1241" s="86" t="n">
        <v>2023</v>
      </c>
      <c r="D1241" s="5" t="inlineStr">
        <is>
          <t>Outcome not related to interest</t>
        </is>
      </c>
      <c r="E1241" s="86" t="n"/>
      <c r="F1241" s="86" t="n"/>
    </row>
    <row r="1242" ht="16" customHeight="1" s="55">
      <c r="A1242" s="86" t="inlineStr">
        <is>
          <t>Classification of Diabetic Retinopathy Disease Levels by Extracting Topological Features Using Graph Neural Networks</t>
        </is>
      </c>
      <c r="B1242" s="86" t="inlineStr">
        <is>
          <t>S. Sundar; S. Sumathy</t>
        </is>
      </c>
      <c r="C1242" s="86" t="n">
        <v>2023</v>
      </c>
      <c r="D1242" s="5" t="inlineStr">
        <is>
          <t>Outcome not related to interest</t>
        </is>
      </c>
      <c r="E1242" s="86" t="n"/>
      <c r="F1242" s="86" t="n"/>
    </row>
    <row r="1243" ht="16" customHeight="1" s="55">
      <c r="A1243" s="86" t="inlineStr">
        <is>
          <t>Detecting Diabetic Retinopathy Using Deep Learning Techniques</t>
        </is>
      </c>
      <c r="B1243" s="86" t="inlineStr">
        <is>
          <t>S. Sumadithya; F. N. Latheef; M. Sameer; R. M. L. G</t>
        </is>
      </c>
      <c r="C1243" s="86" t="n">
        <v>2023</v>
      </c>
      <c r="D1243" s="5" t="inlineStr">
        <is>
          <t>Outcome not related to interest</t>
        </is>
      </c>
      <c r="E1243" s="86" t="n"/>
      <c r="F1243" s="86" t="n"/>
    </row>
    <row r="1244" ht="16" customHeight="1" s="55">
      <c r="A1244" s="86" t="inlineStr">
        <is>
          <t>Early Detection of Diabetic Rethinopathy Using Machine Learning</t>
        </is>
      </c>
      <c r="B1244" s="86" t="inlineStr">
        <is>
          <t>D. Sugathan; S. J. Sugumar; B. SamarasimhaReddy; S. Darshan; R. Naveen; K. Sachin</t>
        </is>
      </c>
      <c r="C1244" s="86" t="n">
        <v>2023</v>
      </c>
      <c r="D1244" s="5" t="inlineStr">
        <is>
          <t>Outcome not related to interest</t>
        </is>
      </c>
      <c r="E1244" s="86" t="n"/>
      <c r="F1244" s="86" t="n"/>
    </row>
    <row r="1245" ht="16" customHeight="1" s="55">
      <c r="A1245" s="86" t="inlineStr">
        <is>
          <t>Diabetic Retinopathy Using AI</t>
        </is>
      </c>
      <c r="B1245" s="86" t="inlineStr">
        <is>
          <t>D. Sugathan; R. H; H. V. Rajath; H. G. K; M. G</t>
        </is>
      </c>
      <c r="C1245" s="86" t="n">
        <v>2023</v>
      </c>
      <c r="D1245" s="5" t="inlineStr">
        <is>
          <t>Outcome not related to interest</t>
        </is>
      </c>
      <c r="E1245" s="86" t="n"/>
      <c r="F1245" s="86" t="n"/>
    </row>
    <row r="1246" ht="16" customHeight="1" s="55">
      <c r="A1246" s="86" t="inlineStr">
        <is>
          <t>A Collective Machine Learning and Deep Learning Prototypical to Expect Diabetic Retinopathy</t>
        </is>
      </c>
      <c r="B1246" s="86" t="inlineStr">
        <is>
          <t>V. Srisuma; S. Gurumoorthy; W. Yassin; S. Macherla; A. V. Naik</t>
        </is>
      </c>
      <c r="C1246" s="86" t="n">
        <v>2023</v>
      </c>
      <c r="D1246" s="5" t="inlineStr">
        <is>
          <t>Outcome not related to interest</t>
        </is>
      </c>
      <c r="E1246" s="86" t="n"/>
      <c r="F1246" s="86" t="n"/>
    </row>
    <row r="1247" ht="16" customHeight="1" s="55">
      <c r="A1247" s="86" t="inlineStr">
        <is>
          <t>Detection of Diabetic Retinopathy by Segmentation using U-Net with Hyper-Parameter Tuning</t>
        </is>
      </c>
      <c r="B1247" s="86" t="inlineStr">
        <is>
          <t>R. Sowmiya; R. Kalpana</t>
        </is>
      </c>
      <c r="C1247" s="86" t="n">
        <v>2023</v>
      </c>
      <c r="D1247" s="5" t="inlineStr">
        <is>
          <t>Outcome not related to interest</t>
        </is>
      </c>
      <c r="E1247" s="86" t="n"/>
      <c r="F1247" s="86" t="n"/>
    </row>
    <row r="1248" ht="16" customHeight="1" s="55">
      <c r="A1248" s="86" t="inlineStr">
        <is>
          <t>Hybrid Fuzzy Assisted RNN Algorithm for Diabetic Retinopathy Identification</t>
        </is>
      </c>
      <c r="B1248" s="86" t="inlineStr">
        <is>
          <t>P. Sivaprakash; G. G. Jerith; H. Packiaraj; R. A. Manikandan; T. T. Kumar; S. Ashok</t>
        </is>
      </c>
      <c r="C1248" s="86" t="n">
        <v>2023</v>
      </c>
      <c r="D1248" s="5" t="inlineStr">
        <is>
          <t>Outcome not related to interest</t>
        </is>
      </c>
      <c r="E1248" s="86" t="n"/>
      <c r="F1248" s="86" t="n"/>
    </row>
    <row r="1249" ht="16" customHeight="1" s="55">
      <c r="A1249" s="86" t="inlineStr">
        <is>
          <t>A Critique on Deep Learning Methodologies Employed for the Identification of Diabetic Retinopathy Using Fundus Images</t>
        </is>
      </c>
      <c r="B1249" s="86" t="inlineStr">
        <is>
          <t>P. Sivakamasundari; G. Niranjana</t>
        </is>
      </c>
      <c r="C1249" s="86" t="n">
        <v>2023</v>
      </c>
      <c r="D1249" s="5" t="inlineStr">
        <is>
          <t>Outcome not related to interest</t>
        </is>
      </c>
      <c r="E1249" s="86" t="n"/>
      <c r="F1249" s="86" t="n"/>
    </row>
    <row r="1250" ht="16" customHeight="1" s="55">
      <c r="A1250" s="86" t="inlineStr">
        <is>
          <t>Fundus Image Based DR Detection Using Image Processing</t>
        </is>
      </c>
      <c r="B1250" s="86" t="inlineStr">
        <is>
          <t>T. Singh; A. Suresh</t>
        </is>
      </c>
      <c r="C1250" s="86" t="n">
        <v>2023</v>
      </c>
      <c r="D1250" s="5" t="inlineStr">
        <is>
          <t>Outcome not related to interest</t>
        </is>
      </c>
      <c r="E1250" s="86" t="n"/>
      <c r="F1250" s="86" t="n"/>
    </row>
    <row r="1251" ht="16" customHeight="1" s="55">
      <c r="A1251" s="86" t="inlineStr">
        <is>
          <t>The Proposed Convolutional Neural Network Architecture for the Detection and Classification of Eye Diseases</t>
        </is>
      </c>
      <c r="B1251" s="86" t="inlineStr">
        <is>
          <t>R. Singh; N. Sharma; R. Gupta</t>
        </is>
      </c>
      <c r="C1251" s="86" t="n">
        <v>2023</v>
      </c>
      <c r="D1251" s="5" t="inlineStr">
        <is>
          <t>Outcome not related to interest</t>
        </is>
      </c>
      <c r="E1251" s="86" t="n"/>
      <c r="F1251" s="86" t="n"/>
    </row>
    <row r="1252" ht="16" customHeight="1" s="55">
      <c r="A1252" s="86" t="inlineStr">
        <is>
          <t>VGG 16 Pre-Trained Model for Early Detection of Retinal Diseases</t>
        </is>
      </c>
      <c r="B1252" s="86" t="inlineStr">
        <is>
          <t>R. Singh; N. Sharma; R. Chauhan; S. Dangi; R. Gupta</t>
        </is>
      </c>
      <c r="C1252" s="86" t="n">
        <v>2023</v>
      </c>
      <c r="D1252" s="5" t="inlineStr">
        <is>
          <t>Outcome not related to interest</t>
        </is>
      </c>
      <c r="E1252" s="86" t="n"/>
      <c r="F1252" s="86" t="n"/>
    </row>
    <row r="1253" ht="16" customHeight="1" s="55">
      <c r="A1253" s="86" t="inlineStr">
        <is>
          <t>The development of a new edge computing device based on deep learning YOLOv8 algorithm for diabetic retinopathy Detection</t>
        </is>
      </c>
      <c r="B1253" s="86" t="inlineStr">
        <is>
          <t>D. Singh; L. Mohan; J. Pant; A. Mittal; D. C. Dobhal</t>
        </is>
      </c>
      <c r="C1253" s="86" t="n">
        <v>2023</v>
      </c>
      <c r="D1253" s="5" t="inlineStr">
        <is>
          <t>Outcome not related to interest</t>
        </is>
      </c>
      <c r="E1253" s="86" t="n"/>
      <c r="F1253" s="86" t="n"/>
    </row>
    <row r="1254" ht="16" customHeight="1" s="55">
      <c r="A1254" s="86" t="inlineStr">
        <is>
          <t>Comparison of Machine Learning Techniques Based on Feature Reduction to Detect Diabetic Retinopathy</t>
        </is>
      </c>
      <c r="B1254" s="86" t="inlineStr">
        <is>
          <t>D. Singh; D. Joshi; D. C. Dobhal; J. Pant; H. Pant</t>
        </is>
      </c>
      <c r="C1254" s="86" t="n">
        <v>2023</v>
      </c>
      <c r="D1254" s="5" t="inlineStr">
        <is>
          <t>Outcome not related to interest</t>
        </is>
      </c>
      <c r="E1254" s="86" t="n"/>
      <c r="F1254" s="86" t="n"/>
    </row>
    <row r="1255" ht="16" customHeight="1" s="55">
      <c r="A1255" s="86" t="inlineStr">
        <is>
          <t>Uncertainty Analysis of Deep Kernel Learning Methods on Diabetic Retinopathy Grading</t>
        </is>
      </c>
      <c r="B1255" s="86" t="inlineStr">
        <is>
          <t>M. Siebert; J. Graßhoff; P. Rostalski</t>
        </is>
      </c>
      <c r="C1255" s="86" t="n">
        <v>2023</v>
      </c>
      <c r="D1255" s="5" t="inlineStr">
        <is>
          <t>Outcome not related to interest</t>
        </is>
      </c>
      <c r="E1255" s="86" t="n"/>
      <c r="F1255" s="86" t="n"/>
    </row>
    <row r="1256" ht="16" customHeight="1" s="55">
      <c r="A1256" s="86" t="inlineStr">
        <is>
          <t>Image Filtering and Utilization of Deep Learning Algorithms to Detect the Severity of Diabetic Retinopathy</t>
        </is>
      </c>
      <c r="B1256" s="86" t="inlineStr">
        <is>
          <t>S. Shrimali</t>
        </is>
      </c>
      <c r="C1256" s="86" t="n">
        <v>2023</v>
      </c>
      <c r="D1256" s="5" t="inlineStr">
        <is>
          <t>Outcome not related to interest</t>
        </is>
      </c>
      <c r="E1256" s="86" t="n"/>
      <c r="F1256" s="86" t="n"/>
    </row>
    <row r="1257" ht="16" customHeight="1" s="55">
      <c r="A1257" s="86" t="inlineStr">
        <is>
          <t>Identification of Suitable Machine Learning or Deep Learning Algorithmfor Diabetic Retinopathy Detection</t>
        </is>
      </c>
      <c r="B1257" s="86" t="inlineStr">
        <is>
          <t>G. Shraddha; S. S; P. Valsalan; M. S. B; P. J</t>
        </is>
      </c>
      <c r="C1257" s="86" t="n">
        <v>2023</v>
      </c>
      <c r="D1257" s="5" t="inlineStr">
        <is>
          <t>Outcome not related to interest</t>
        </is>
      </c>
      <c r="E1257" s="86" t="n"/>
      <c r="F1257" s="86" t="n"/>
    </row>
    <row r="1258" ht="16" customHeight="1" s="55">
      <c r="A1258" s="86" t="inlineStr">
        <is>
          <t>A Robust Approach for the Detection of Diabetic Retinopathy at an Early Stage Using Deep CNN</t>
        </is>
      </c>
      <c r="B1258" s="86" t="inlineStr">
        <is>
          <t>N. Shivaanivarsha; P. Kavipriya</t>
        </is>
      </c>
      <c r="C1258" s="86" t="n">
        <v>2023</v>
      </c>
      <c r="D1258" s="5" t="inlineStr">
        <is>
          <t>Outcome not related to interest</t>
        </is>
      </c>
      <c r="E1258" s="86" t="n"/>
      <c r="F1258" s="86" t="n"/>
    </row>
    <row r="1259" ht="16" customHeight="1" s="55">
      <c r="A1259" s="86" t="inlineStr">
        <is>
          <t>An Ensemble Approach to Detect Diabetic Retinopathy using the Residual Contrast Limited Adaptable Histogram Equalization Method</t>
        </is>
      </c>
      <c r="B1259" s="86" t="inlineStr">
        <is>
          <t>S. Shilpa; B. Karthik</t>
        </is>
      </c>
      <c r="C1259" s="86" t="n">
        <v>2023</v>
      </c>
      <c r="D1259" s="5" t="inlineStr">
        <is>
          <t>Outcome not related to interest</t>
        </is>
      </c>
      <c r="E1259" s="86" t="n"/>
      <c r="F1259" s="86" t="n"/>
    </row>
    <row r="1260" ht="16" customHeight="1" s="55">
      <c r="A1260" s="86" t="inlineStr">
        <is>
          <t>A Computational Intelligence-Based Approach for Detection of Diabetic Retinopathy Using Residual Recurrent Neural Network</t>
        </is>
      </c>
      <c r="B1260" s="86" t="inlineStr">
        <is>
          <t>S. Shilpa; B. Karthik</t>
        </is>
      </c>
      <c r="C1260" s="86" t="n">
        <v>2023</v>
      </c>
      <c r="D1260" s="5" t="inlineStr">
        <is>
          <t>Outcome not related to interest</t>
        </is>
      </c>
      <c r="E1260" s="86" t="n"/>
      <c r="F1260" s="86" t="n"/>
    </row>
    <row r="1261" ht="16" customHeight="1" s="55">
      <c r="A1261" s="86" t="inlineStr">
        <is>
          <t>A Multi-stage Transfer Learning Framework for Diabetic Retinopathy Grading on Small Data</t>
        </is>
      </c>
      <c r="B1261" s="86" t="inlineStr">
        <is>
          <t>L. Shi; B. Wang; J. Zhang</t>
        </is>
      </c>
      <c r="C1261" s="86" t="n">
        <v>2023</v>
      </c>
      <c r="D1261" s="5" t="inlineStr">
        <is>
          <t>Outcome not related to interest</t>
        </is>
      </c>
      <c r="E1261" s="86" t="n"/>
      <c r="F1261" s="86" t="n"/>
    </row>
    <row r="1262" ht="16" customHeight="1" s="55">
      <c r="A1262" s="86" t="inlineStr">
        <is>
          <t>Ophthalmic diagnostic assistance system based on deep learning algorithm</t>
        </is>
      </c>
      <c r="B1262" s="86" t="inlineStr">
        <is>
          <t>J. ShenTu; Y. Ma; Y. Dai</t>
        </is>
      </c>
      <c r="C1262" s="86" t="n">
        <v>2023</v>
      </c>
      <c r="D1262" s="5" t="inlineStr">
        <is>
          <t>Outcome not related to interest</t>
        </is>
      </c>
      <c r="E1262" s="86" t="n"/>
      <c r="F1262" s="86" t="n"/>
    </row>
    <row r="1263" ht="16" customHeight="1" s="55">
      <c r="A1263" s="86" t="inlineStr">
        <is>
          <t>Modified EfficientNetB3 Deep Learning Model to Classify Colour Fundus Images of Eye Diseases</t>
        </is>
      </c>
      <c r="B1263" s="86" t="inlineStr">
        <is>
          <t>R. Sharma; J. Gangrade; S. Gangrade; A. Mishra; G. Kumar; V. K. Gunjan</t>
        </is>
      </c>
      <c r="C1263" s="86" t="n">
        <v>2023</v>
      </c>
      <c r="D1263" s="5" t="inlineStr">
        <is>
          <t>Outcome not related to interest</t>
        </is>
      </c>
      <c r="E1263" s="86" t="n"/>
      <c r="F1263" s="86" t="n"/>
    </row>
    <row r="1264" ht="16" customHeight="1" s="55">
      <c r="A1264" s="86" t="inlineStr">
        <is>
          <t>Deep Transfer Learning Methods for the Prediction of Diabetic Eye Disease: An Experimental Analysis</t>
        </is>
      </c>
      <c r="B1264" s="86" t="inlineStr">
        <is>
          <t>P. Sharma; A. K. Sandhu</t>
        </is>
      </c>
      <c r="C1264" s="86" t="n">
        <v>2023</v>
      </c>
      <c r="D1264" s="5" t="inlineStr">
        <is>
          <t>Outcome not related to interest</t>
        </is>
      </c>
      <c r="E1264" s="86" t="n"/>
      <c r="F1264" s="86" t="n"/>
    </row>
    <row r="1265" ht="16" customHeight="1" s="55">
      <c r="A1265" s="86" t="inlineStr">
        <is>
          <t>A Hybrid Model for the Prediction of Diabetic Retinopathy in Type 2 Diabetes</t>
        </is>
      </c>
      <c r="B1265" s="86" t="inlineStr">
        <is>
          <t>P. Sharma; A. K. Sandhu</t>
        </is>
      </c>
      <c r="C1265" s="86" t="n">
        <v>2023</v>
      </c>
      <c r="D1265" s="5" t="inlineStr">
        <is>
          <t>Outcome not related to interest</t>
        </is>
      </c>
      <c r="E1265" s="86" t="n"/>
      <c r="F1265" s="86" t="n"/>
    </row>
    <row r="1266" ht="16" customHeight="1" s="55">
      <c r="A1266" s="86" t="inlineStr">
        <is>
          <t>Optimizing Diabetes Prediction with Ensemble Learning with Voting and Cross-Validation: A Comprehensive Approach</t>
        </is>
      </c>
      <c r="B1266" s="86" t="inlineStr">
        <is>
          <t>M. A. Shaik; M. V. R. Sundari; J. Yadla; V. Priyadarshini; V. Narasimha; H. M. T. Gadiyar</t>
        </is>
      </c>
      <c r="C1266" s="86" t="n">
        <v>2023</v>
      </c>
      <c r="D1266" s="5" t="inlineStr">
        <is>
          <t>Outcome not related to interest</t>
        </is>
      </c>
      <c r="E1266" s="86" t="n"/>
      <c r="F1266" s="86" t="n"/>
    </row>
    <row r="1267" ht="16" customHeight="1" s="55">
      <c r="A1267" s="86" t="inlineStr">
        <is>
          <t>A comparative study on Diabetic Retinopathy Detection and Classification</t>
        </is>
      </c>
      <c r="B1267" s="86" t="inlineStr">
        <is>
          <t>S. Shah; S. Punjabi; S. Chavan; S. R. A; K. Kavitha</t>
        </is>
      </c>
      <c r="C1267" s="86" t="n">
        <v>2023</v>
      </c>
      <c r="D1267" s="5" t="inlineStr">
        <is>
          <t>Outcome not related to interest</t>
        </is>
      </c>
      <c r="E1267" s="86" t="n"/>
      <c r="F1267" s="86" t="n"/>
    </row>
    <row r="1268" ht="16" customHeight="1" s="55">
      <c r="A1268" s="86" t="inlineStr">
        <is>
          <t>Classification of Eye Disease from Retinal Images Using Deep Learning</t>
        </is>
      </c>
      <c r="B1268" s="86" t="inlineStr">
        <is>
          <t>B. Şener; E. Sümer</t>
        </is>
      </c>
      <c r="C1268" s="86" t="n">
        <v>2023</v>
      </c>
      <c r="D1268" s="5" t="inlineStr">
        <is>
          <t>Outcome not related to interest</t>
        </is>
      </c>
      <c r="E1268" s="86" t="n"/>
      <c r="F1268" s="86" t="n"/>
    </row>
    <row r="1269" ht="16" customHeight="1" s="55">
      <c r="A1269" s="86" t="inlineStr">
        <is>
          <t>Diabetic Retinopathy Diagnosis Using Retinal Fundus Images through MobileNetV3</t>
        </is>
      </c>
      <c r="B1269" s="86" t="inlineStr">
        <is>
          <t>A. Y. Sejal; M. M. Thiruthuvanathan</t>
        </is>
      </c>
      <c r="C1269" s="86" t="n">
        <v>2023</v>
      </c>
      <c r="D1269" s="5" t="inlineStr">
        <is>
          <t>Outcome not related to interest</t>
        </is>
      </c>
      <c r="E1269" s="86" t="n"/>
      <c r="F1269" s="86" t="n"/>
    </row>
    <row r="1270" ht="16" customHeight="1" s="55">
      <c r="A1270" s="86" t="inlineStr">
        <is>
          <t>Enhancing Diabetic Retinopathy Classification for Small Sample Training Data Through Supervised Feature Attention: Transfer and Multitask Learning Approach</t>
        </is>
      </c>
      <c r="B1270" s="86" t="inlineStr">
        <is>
          <t>R. Sanguantrakool; P. Padungweang</t>
        </is>
      </c>
      <c r="C1270" s="86" t="n">
        <v>2023</v>
      </c>
      <c r="D1270" s="5" t="inlineStr">
        <is>
          <t>Outcome not related to interest</t>
        </is>
      </c>
      <c r="E1270" s="86" t="n"/>
      <c r="F1270" s="86" t="n"/>
    </row>
    <row r="1271" ht="16" customHeight="1" s="55">
      <c r="A1271" s="86" t="inlineStr">
        <is>
          <t>Multi-Headed CNN and Vision Transformer-Based Diabetic Retinopathy Classification</t>
        </is>
      </c>
      <c r="B1271" s="86" t="inlineStr">
        <is>
          <t>N. K. Saini; D. Ram; M. Gyanchandani</t>
        </is>
      </c>
      <c r="C1271" s="86" t="n">
        <v>2023</v>
      </c>
      <c r="D1271" s="5" t="inlineStr">
        <is>
          <t>Outcome not related to interest</t>
        </is>
      </c>
      <c r="E1271" s="86" t="n"/>
      <c r="F1271" s="86" t="n"/>
    </row>
    <row r="1272" ht="16" customHeight="1" s="55">
      <c r="A1272" s="86" t="inlineStr">
        <is>
          <t>An Efficient Deep Learning Model for Eye Disease Classification</t>
        </is>
      </c>
      <c r="B1272" s="86" t="inlineStr">
        <is>
          <t>A. Saini; K. Guleria; S. Sharma</t>
        </is>
      </c>
      <c r="C1272" s="86" t="n">
        <v>2023</v>
      </c>
      <c r="D1272" s="5" t="inlineStr">
        <is>
          <t>Outcome not related to interest</t>
        </is>
      </c>
      <c r="E1272" s="86" t="n"/>
      <c r="F1272" s="86" t="n"/>
    </row>
    <row r="1273" ht="16" customHeight="1" s="55">
      <c r="A1273" s="86" t="inlineStr">
        <is>
          <t>Analysis of Transfers Learning Techniques for Early Detection and Grading of Diabetic Retinopathy on Retinal Images</t>
        </is>
      </c>
      <c r="B1273" s="86" t="inlineStr">
        <is>
          <t>S. K. Sahu; A. D. Sawarkar; A. K. Sahu; A. Anjikar; A. P. Bhopale; J. Chakole</t>
        </is>
      </c>
      <c r="C1273" s="86" t="n">
        <v>2023</v>
      </c>
      <c r="D1273" s="5" t="inlineStr">
        <is>
          <t>Outcome not related to interest</t>
        </is>
      </c>
      <c r="E1273" s="86" t="n"/>
      <c r="F1273" s="86" t="n"/>
    </row>
    <row r="1274" ht="16" customHeight="1" s="55">
      <c r="A1274" s="86" t="inlineStr">
        <is>
          <t>Intelligent Systems for Medical Diagnostics with the Detection of Diabetic Retinopathy at Reduced Entropy</t>
        </is>
      </c>
      <c r="B1274" s="86" t="inlineStr">
        <is>
          <t>G. S. M; D. S. R; R. M. T; T. Rajan; K. V; K. S. H</t>
        </is>
      </c>
      <c r="C1274" s="86" t="n">
        <v>2023</v>
      </c>
      <c r="D1274" s="5" t="inlineStr">
        <is>
          <t>Outcome not related to interest</t>
        </is>
      </c>
      <c r="E1274" s="86" t="n"/>
      <c r="F1274" s="86" t="n"/>
    </row>
    <row r="1275" ht="16" customHeight="1" s="55">
      <c r="A1275" s="86" t="inlineStr">
        <is>
          <t>Diabetic Retinopathy Classification using Deep Learning Techniques</t>
        </is>
      </c>
      <c r="B1275" s="86" t="inlineStr">
        <is>
          <t>S. S; G. R. P</t>
        </is>
      </c>
      <c r="C1275" s="86" t="n">
        <v>2023</v>
      </c>
      <c r="D1275" s="5" t="inlineStr">
        <is>
          <t>Outcome not related to interest</t>
        </is>
      </c>
      <c r="E1275" s="86" t="n"/>
      <c r="F1275" s="86" t="n"/>
    </row>
    <row r="1276" ht="16" customHeight="1" s="55">
      <c r="A1276" s="86" t="inlineStr">
        <is>
          <t>Multi-Classification of Non-Proliferative Diabetic Retinopathy Through Integrated Machine Learning Approach in Fundus Images</t>
        </is>
      </c>
      <c r="B1276" s="86" t="inlineStr">
        <is>
          <t>R. S; S. S; T. Raajaseharan</t>
        </is>
      </c>
      <c r="C1276" s="86" t="n">
        <v>2023</v>
      </c>
      <c r="D1276" s="5" t="inlineStr">
        <is>
          <t>Outcome not related to interest</t>
        </is>
      </c>
      <c r="E1276" s="86" t="n"/>
      <c r="F1276" s="86" t="n"/>
    </row>
    <row r="1277" ht="16" customHeight="1" s="55">
      <c r="A1277" s="86" t="inlineStr">
        <is>
          <t>Soft Computing Approach for Early Diabetic Retinopathy Detection with Modified Water Cycle Algorithm</t>
        </is>
      </c>
      <c r="B1277" s="86" t="inlineStr">
        <is>
          <t>L. S; S. Thiyagarajan</t>
        </is>
      </c>
      <c r="C1277" s="86" t="n">
        <v>2023</v>
      </c>
      <c r="D1277" s="5" t="inlineStr">
        <is>
          <t>Outcome not related to interest</t>
        </is>
      </c>
      <c r="E1277" s="86" t="n"/>
      <c r="F1277" s="86" t="n"/>
    </row>
    <row r="1278" ht="16" customHeight="1" s="55">
      <c r="A1278" s="86" t="inlineStr">
        <is>
          <t>A New Approach to Recognize a Patient with Diabetic Retinopathy using Pre-trained Deep Neural Network EfficientNetB0</t>
        </is>
      </c>
      <c r="B1278" s="86" t="inlineStr">
        <is>
          <t>H. S; V. Petli; V. K. Jalihal; B. K. J; S. Patil</t>
        </is>
      </c>
      <c r="C1278" s="86" t="n">
        <v>2023</v>
      </c>
      <c r="D1278" s="5" t="inlineStr">
        <is>
          <t>Outcome not related to interest</t>
        </is>
      </c>
      <c r="E1278" s="86" t="n"/>
      <c r="F1278" s="86" t="n"/>
    </row>
    <row r="1279" ht="16" customHeight="1" s="55">
      <c r="A1279" s="86" t="inlineStr">
        <is>
          <t>RetNet: Retinal Disease Detection using Convolutional Neural Network</t>
        </is>
      </c>
      <c r="B1279" s="86" t="inlineStr">
        <is>
          <t>A. Roy; R. Abdullah; F. Ahmed; S. Mashfi; S. H. Khan; D. Z. Karim</t>
        </is>
      </c>
      <c r="C1279" s="86" t="n">
        <v>2023</v>
      </c>
      <c r="D1279" s="5" t="inlineStr">
        <is>
          <t>Outcome not related to interest</t>
        </is>
      </c>
      <c r="E1279" s="86" t="n"/>
      <c r="F1279" s="86" t="n"/>
    </row>
    <row r="1280" ht="16" customHeight="1" s="55">
      <c r="A1280" s="86" t="inlineStr">
        <is>
          <t>Automatic Retinopathic Diabetic Detection</t>
        </is>
      </c>
      <c r="B1280" s="86" t="inlineStr">
        <is>
          <t>S. Rinesh; O. Mahdi Ismael; K. Thamaraiselvi; V. Karthick; M. Vigneshwar</t>
        </is>
      </c>
      <c r="C1280" s="86" t="n">
        <v>2023</v>
      </c>
      <c r="D1280" s="5" t="inlineStr">
        <is>
          <t>Outcome not related to interest</t>
        </is>
      </c>
      <c r="E1280" s="86" t="n"/>
      <c r="F1280" s="86" t="n"/>
    </row>
    <row r="1281" ht="16" customHeight="1" s="55">
      <c r="A1281" s="86" t="inlineStr">
        <is>
          <t>Particle Swarm Optimization based Detection of Diabetic Retinopathy using a Novel Deep CNN</t>
        </is>
      </c>
      <c r="B1281" s="86" t="inlineStr">
        <is>
          <t>B. Revathi; S. K. K. Elizabeth; P. Nagaraj; S. S. Birunda; D. Nithya</t>
        </is>
      </c>
      <c r="C1281" s="86" t="n">
        <v>2023</v>
      </c>
      <c r="D1281" s="5" t="inlineStr">
        <is>
          <t>Outcome not related to interest</t>
        </is>
      </c>
      <c r="E1281" s="86" t="n"/>
      <c r="F1281" s="86" t="n"/>
    </row>
    <row r="1282" ht="16" customHeight="1" s="55">
      <c r="A1282" s="86" t="inlineStr">
        <is>
          <t>An Efficiency way to analyse Diabetic Retinopathy Detection and Classification using Deep Learning Techniques</t>
        </is>
      </c>
      <c r="B1282" s="86" t="inlineStr">
        <is>
          <t>K. S. Reddy; M. Narayanan</t>
        </is>
      </c>
      <c r="C1282" s="86" t="n">
        <v>2023</v>
      </c>
      <c r="D1282" s="5" t="inlineStr">
        <is>
          <t>Outcome not related to interest</t>
        </is>
      </c>
      <c r="E1282" s="86" t="n"/>
      <c r="F1282" s="86" t="n"/>
    </row>
    <row r="1283" ht="16" customHeight="1" s="55">
      <c r="A1283" s="86" t="inlineStr">
        <is>
          <t>Multimodal Deep Neural Network for Diabetic Retinopathy Detection</t>
        </is>
      </c>
      <c r="B1283" s="86" t="inlineStr">
        <is>
          <t>V. Ravichander; A. Mittal; P. Nithyakani</t>
        </is>
      </c>
      <c r="C1283" s="86" t="n">
        <v>2023</v>
      </c>
      <c r="D1283" s="5" t="inlineStr">
        <is>
          <t>Outcome not related to interest</t>
        </is>
      </c>
      <c r="E1283" s="86" t="n"/>
      <c r="F1283" s="86" t="n"/>
    </row>
    <row r="1284" ht="16" customHeight="1" s="55">
      <c r="A1284" s="86" t="inlineStr">
        <is>
          <t>Deep Learning Approach for Detection of Diabetic Retinopathy</t>
        </is>
      </c>
      <c r="B1284" s="86" t="inlineStr">
        <is>
          <t>K. Ratna; A. Shedage; R. Agal; B. Maheshwari; A. Aggarwal; S. R. Goyal</t>
        </is>
      </c>
      <c r="C1284" s="86" t="n">
        <v>2023</v>
      </c>
      <c r="D1284" s="5" t="inlineStr">
        <is>
          <t>Outcome not related to interest</t>
        </is>
      </c>
      <c r="E1284" s="86" t="n"/>
      <c r="F1284" s="86" t="n"/>
    </row>
    <row r="1285" ht="16" customHeight="1" s="55">
      <c r="A1285" s="86" t="inlineStr">
        <is>
          <t>Deep Learning based Diabetic Retinopathy Detection using Image Processing</t>
        </is>
      </c>
      <c r="B1285" s="86" t="inlineStr">
        <is>
          <t>S. Rathor; A. Tiwari</t>
        </is>
      </c>
      <c r="C1285" s="86" t="n">
        <v>2023</v>
      </c>
      <c r="D1285" s="5" t="inlineStr">
        <is>
          <t>Outcome not related to interest</t>
        </is>
      </c>
      <c r="E1285" s="86" t="n"/>
      <c r="F1285" s="86" t="n"/>
    </row>
    <row r="1286" ht="16" customHeight="1" s="55">
      <c r="A1286" s="86" t="inlineStr">
        <is>
          <t>Diabetic Retinopathy - An Ensemble Approach</t>
        </is>
      </c>
      <c r="B1286" s="86" t="inlineStr">
        <is>
          <t>A. Rastogi; T. Z. Rizvi; D. D. Kanan</t>
        </is>
      </c>
      <c r="C1286" s="86" t="n">
        <v>2023</v>
      </c>
      <c r="D1286" s="5" t="inlineStr">
        <is>
          <t>Outcome not related to interest</t>
        </is>
      </c>
      <c r="E1286" s="86" t="n"/>
      <c r="F1286" s="86" t="n"/>
    </row>
    <row r="1287" ht="16" customHeight="1" s="55">
      <c r="A1287" s="86" t="inlineStr">
        <is>
          <t>Automatic Detection and Classification of Microaneurysms for Early Detection of Diabetic Retinopathy in Color Fundus Images</t>
        </is>
      </c>
      <c r="B1287" s="86" t="inlineStr">
        <is>
          <t>M. V. G. Rao; V. C. Prakash; M. V. M. G. G. Charan; G. V. Bhargav; M. N. Rao</t>
        </is>
      </c>
      <c r="C1287" s="86" t="n">
        <v>2023</v>
      </c>
      <c r="D1287" s="5" t="inlineStr">
        <is>
          <t>Outcome not related to interest</t>
        </is>
      </c>
      <c r="E1287" s="86" t="n"/>
      <c r="F1287" s="86" t="n"/>
    </row>
    <row r="1288" ht="16" customHeight="1" s="55">
      <c r="A1288" s="86" t="inlineStr">
        <is>
          <t>An Approach To Predict And Classify Retinopathy Stages In Diabetic Patients Using Deep Learning</t>
        </is>
      </c>
      <c r="B1288" s="86" t="inlineStr">
        <is>
          <t>V. V. Rani; V. A; M. Santosh</t>
        </is>
      </c>
      <c r="C1288" s="86" t="n">
        <v>2023</v>
      </c>
      <c r="D1288" s="5" t="inlineStr">
        <is>
          <t>Outcome not related to interest</t>
        </is>
      </c>
      <c r="E1288" s="86" t="n"/>
      <c r="F1288" s="86" t="n"/>
    </row>
    <row r="1289" ht="16" customHeight="1" s="55">
      <c r="A1289" s="86" t="inlineStr">
        <is>
          <t>Deep Learning with Heuristic Optimization Driven Diabetic Retinopathy Detection on Fundus Images</t>
        </is>
      </c>
      <c r="B1289" s="86" t="inlineStr">
        <is>
          <t>R. Ramesh; S. Sathiamoorthy</t>
        </is>
      </c>
      <c r="C1289" s="86" t="n">
        <v>2023</v>
      </c>
      <c r="D1289" s="5" t="inlineStr">
        <is>
          <t>Outcome not related to interest</t>
        </is>
      </c>
      <c r="E1289" s="86" t="n"/>
      <c r="F1289" s="86" t="n"/>
    </row>
    <row r="1290" ht="16" customHeight="1" s="55">
      <c r="A1290" s="86" t="inlineStr">
        <is>
          <t>Diagnosis of Diabetic Retinopathy by using EfficientNet-B7 CNN Architecture in Deep Learning</t>
        </is>
      </c>
      <c r="B1290" s="86" t="inlineStr">
        <is>
          <t>D. R. Raman; S. Nishanthi; P. Babysha</t>
        </is>
      </c>
      <c r="C1290" s="86" t="n">
        <v>2023</v>
      </c>
      <c r="D1290" s="5" t="inlineStr">
        <is>
          <t>Outcome not related to interest</t>
        </is>
      </c>
      <c r="E1290" s="86" t="n"/>
      <c r="F1290" s="86" t="n"/>
    </row>
    <row r="1291" ht="16" customHeight="1" s="55">
      <c r="A1291" s="86" t="inlineStr">
        <is>
          <t>Microaneurysm Detection on Retinal Fundus Images with Multi-Resolution GlobalNet to Support the Diagnosis of Diabetic Retinopathy</t>
        </is>
      </c>
      <c r="B1291" s="86" t="inlineStr">
        <is>
          <t>F. Ramadiastri; A. Handayani</t>
        </is>
      </c>
      <c r="C1291" s="86" t="n">
        <v>2023</v>
      </c>
      <c r="D1291" s="5" t="inlineStr">
        <is>
          <t>Outcome not related to interest</t>
        </is>
      </c>
      <c r="E1291" s="86" t="n"/>
      <c r="F1291" s="86" t="n"/>
    </row>
    <row r="1292" ht="16" customHeight="1" s="55">
      <c r="A1292" s="86" t="inlineStr">
        <is>
          <t>Diabetic Retinopathy Segmentation and Classification Using U-Net with Convolutional Neural Network</t>
        </is>
      </c>
      <c r="B1292" s="86" t="inlineStr">
        <is>
          <t>G. M. Ramadan; M. M. Adnan; Z. L. Naser; B. V. Kumar; K. Parthiban</t>
        </is>
      </c>
      <c r="C1292" s="86" t="n">
        <v>2023</v>
      </c>
      <c r="D1292" s="5" t="inlineStr">
        <is>
          <t>Outcome not related to interest</t>
        </is>
      </c>
      <c r="E1292" s="86" t="n"/>
      <c r="F1292" s="86" t="n"/>
    </row>
    <row r="1293" ht="16" customHeight="1" s="55">
      <c r="A1293" s="86" t="inlineStr">
        <is>
          <t>Detection and Classification of Non-Proliferation Diabetic Retinopathy using VGG-19 CNN Algorithm</t>
        </is>
      </c>
      <c r="B1293" s="86" t="inlineStr">
        <is>
          <t>B. Rakesh; D. Ragavi; M. K. Reddy; G. L. Sumalata</t>
        </is>
      </c>
      <c r="C1293" s="86" t="n">
        <v>2023</v>
      </c>
      <c r="D1293" s="5" t="inlineStr">
        <is>
          <t>Outcome not related to interest</t>
        </is>
      </c>
      <c r="E1293" s="86" t="n"/>
      <c r="F1293" s="86" t="n"/>
    </row>
    <row r="1294" ht="16" customHeight="1" s="55">
      <c r="A1294" s="86" t="inlineStr">
        <is>
          <t>A Transfer Learning Approach For Retinal Disease Classification</t>
        </is>
      </c>
      <c r="B1294" s="86" t="inlineStr">
        <is>
          <t>R. B. J. Rajee; S. M. M. Roomi; V. PooAnnamalai; M. P. Begam</t>
        </is>
      </c>
      <c r="C1294" s="86" t="n">
        <v>2023</v>
      </c>
      <c r="D1294" s="5" t="inlineStr">
        <is>
          <t>Outcome not related to interest</t>
        </is>
      </c>
      <c r="E1294" s="86" t="n"/>
      <c r="F1294" s="86" t="n"/>
    </row>
    <row r="1295" ht="16" customHeight="1" s="55">
      <c r="A1295" s="86" t="inlineStr">
        <is>
          <t>A Lightweight Robust Deep Learning Model Gained High Accuracy in Classifying a Wide Range of Diabetic Retinopathy Images</t>
        </is>
      </c>
      <c r="B1295" s="86" t="inlineStr">
        <is>
          <t>M. A. K. Raiaan; K. Fatema; I. U. Khan; S. Azam; M. R. U. Rashid; M. S. H. Mukta; M. Jonkman; F. D. Boer</t>
        </is>
      </c>
      <c r="C1295" s="86" t="n">
        <v>2023</v>
      </c>
      <c r="D1295" s="5" t="inlineStr">
        <is>
          <t>Outcome not related to interest</t>
        </is>
      </c>
      <c r="E1295" s="86" t="n"/>
      <c r="F1295" s="86" t="n"/>
    </row>
    <row r="1296" ht="16" customHeight="1" s="55">
      <c r="A1296" s="86" t="inlineStr">
        <is>
          <t>Retinal Disease Diagnosis Reimagined: A Deep Transfer Learning and Multi-Scale Attention Network Algorithm for Precision Ophthalmology</t>
        </is>
      </c>
      <c r="B1296" s="86" t="inlineStr">
        <is>
          <t>S. R; M. A. K; S. S. A; K. S. N; C. S</t>
        </is>
      </c>
      <c r="C1296" s="86" t="n">
        <v>2023</v>
      </c>
      <c r="D1296" s="5" t="inlineStr">
        <is>
          <t>Outcome not related to interest</t>
        </is>
      </c>
      <c r="E1296" s="86" t="n"/>
      <c r="F1296" s="86" t="n"/>
    </row>
    <row r="1297" ht="16" customHeight="1" s="55">
      <c r="A1297" s="86" t="inlineStr">
        <is>
          <t>Classification Of Retinal Fundus Images Using Convolution Neural Network (CNN)</t>
        </is>
      </c>
      <c r="B1297" s="86" t="inlineStr">
        <is>
          <t>M. Qaddour; Y. B. Touimi; K. Minaoui</t>
        </is>
      </c>
      <c r="C1297" s="86" t="n">
        <v>2023</v>
      </c>
      <c r="D1297" s="5" t="inlineStr">
        <is>
          <t>Outcome not related to interest</t>
        </is>
      </c>
      <c r="E1297" s="86" t="n"/>
      <c r="F1297" s="86" t="n"/>
    </row>
    <row r="1298" ht="16" customHeight="1" s="55">
      <c r="A1298" s="86" t="inlineStr">
        <is>
          <t>Expression of Concern for: Deep Learning based Approach for Prediction of Diabetes</t>
        </is>
      </c>
      <c r="B1298" s="86" t="inlineStr">
        <is>
          <t>S. Priyanka; C. Kavitha; M. P. Kumar</t>
        </is>
      </c>
      <c r="C1298" s="86" t="n">
        <v>2023</v>
      </c>
      <c r="D1298" s="5" t="inlineStr">
        <is>
          <t>Outcome not related to interest</t>
        </is>
      </c>
      <c r="E1298" s="86" t="n"/>
      <c r="F1298" s="86" t="n"/>
    </row>
    <row r="1299" ht="16" customHeight="1" s="55">
      <c r="A1299" s="86" t="inlineStr">
        <is>
          <t>Deep Learning based Approach for Prediction of Diabetes</t>
        </is>
      </c>
      <c r="B1299" s="86" t="inlineStr">
        <is>
          <t>S. Priyanka; C. Kavitha; M. P. Kumar</t>
        </is>
      </c>
      <c r="C1299" s="86" t="n">
        <v>2023</v>
      </c>
      <c r="D1299" s="5" t="inlineStr">
        <is>
          <t>Outcome not related to interest</t>
        </is>
      </c>
      <c r="E1299" s="86" t="n"/>
      <c r="F1299" s="86" t="n"/>
    </row>
    <row r="1300" ht="16" customHeight="1" s="55">
      <c r="A1300" s="86" t="inlineStr">
        <is>
          <t>Automated Eye Disease Classification using MobileNetV3 and EfficientNetB0 Models using Transfer Learning</t>
        </is>
      </c>
      <c r="B1300" s="86" t="inlineStr">
        <is>
          <t>S. Prasher; L. Nelson; S. Gomathi</t>
        </is>
      </c>
      <c r="C1300" s="86" t="n">
        <v>2023</v>
      </c>
      <c r="D1300" s="5" t="inlineStr">
        <is>
          <t>Outcome not related to interest</t>
        </is>
      </c>
      <c r="E1300" s="86" t="n"/>
      <c r="F1300" s="86" t="n"/>
    </row>
    <row r="1301" ht="16" customHeight="1" s="55">
      <c r="A1301" s="86" t="inlineStr">
        <is>
          <t>Comparing Convolutional Neural Network Models with MobileNet-Based in Diabetic Retinopathy Classification</t>
        </is>
      </c>
      <c r="B1301" s="86" t="inlineStr">
        <is>
          <t>S. Y. Prasetyo; A. Wulandari; Z. N. Izdihar; G. Z. Nabiilah; H. A. Saputri</t>
        </is>
      </c>
      <c r="C1301" s="86" t="n">
        <v>2023</v>
      </c>
      <c r="D1301" s="5" t="inlineStr">
        <is>
          <t>Outcome not related to interest</t>
        </is>
      </c>
      <c r="E1301" s="86" t="n"/>
      <c r="F1301" s="86" t="n"/>
    </row>
    <row r="1302" ht="16" customHeight="1" s="55">
      <c r="A1302" s="86" t="inlineStr">
        <is>
          <t>Comparative Evaluation of Several Convolutional Neural Network Architectures in Diabetic Retinopathy Classification</t>
        </is>
      </c>
      <c r="B1302" s="86" t="inlineStr">
        <is>
          <t>S. Y. Prasetyo; Nurhasanah; M. F. Hidayat; Z. N. Izdihar</t>
        </is>
      </c>
      <c r="C1302" s="86" t="n">
        <v>2023</v>
      </c>
      <c r="D1302" s="5" t="inlineStr">
        <is>
          <t>Outcome not related to interest</t>
        </is>
      </c>
      <c r="E1302" s="86" t="n"/>
      <c r="F1302" s="86" t="n"/>
    </row>
    <row r="1303" ht="16" customHeight="1" s="55">
      <c r="A1303" s="86" t="inlineStr">
        <is>
          <t>VGG-Powered Convolutional Neural Networks in Diabetic Retinopathy Classification: A Comparative Investigation</t>
        </is>
      </c>
      <c r="B1303" s="86" t="inlineStr">
        <is>
          <t>S. Y. Prasetyo; I. N. Alam; I. D. A. Rachmawati; E. S. Purwanto; H. Ngarianto</t>
        </is>
      </c>
      <c r="C1303" s="86" t="n">
        <v>2023</v>
      </c>
      <c r="D1303" s="5" t="inlineStr">
        <is>
          <t>Outcome not related to interest</t>
        </is>
      </c>
      <c r="E1303" s="86" t="n"/>
      <c r="F1303" s="86" t="n"/>
    </row>
    <row r="1304" ht="16" customHeight="1" s="55">
      <c r="A1304" s="86" t="inlineStr">
        <is>
          <t>Diabetics Mellitius Caused Vision Impairment Discernment Using ML</t>
        </is>
      </c>
      <c r="B1304" s="86" t="inlineStr">
        <is>
          <t>A. Prasad; V. Asha; Neha; P. N. K; I. Pasha; M. J. P</t>
        </is>
      </c>
      <c r="C1304" s="86" t="n">
        <v>2023</v>
      </c>
      <c r="D1304" s="5" t="inlineStr">
        <is>
          <t>Outcome not related to interest</t>
        </is>
      </c>
      <c r="E1304" s="86" t="n"/>
      <c r="F1304" s="86" t="n"/>
    </row>
    <row r="1305" ht="16" customHeight="1" s="55">
      <c r="A1305" s="86" t="inlineStr">
        <is>
          <t>Detection Analysis of Diabetic Retinopathy Using Modified DensNet-121</t>
        </is>
      </c>
      <c r="B1305" s="86" t="inlineStr">
        <is>
          <t>G. Pranay; O. Misra; S. Mishra; S. S. Rathore; M. Bhattacharya</t>
        </is>
      </c>
      <c r="C1305" s="86" t="n">
        <v>2023</v>
      </c>
      <c r="D1305" s="5" t="inlineStr">
        <is>
          <t>Outcome not related to interest</t>
        </is>
      </c>
      <c r="E1305" s="86" t="n"/>
      <c r="F1305" s="86" t="n"/>
    </row>
    <row r="1306" ht="16" customHeight="1" s="55">
      <c r="A1306" s="86" t="inlineStr">
        <is>
          <t>Retinal and Semantic Segmentation of Diabetic Retinopathy Images Using MobileNetV3</t>
        </is>
      </c>
      <c r="B1306" s="86" t="inlineStr">
        <is>
          <t>M. Prajapati; S. K. Baliarsingh; J. Hota; P. P. Dev; S. Das</t>
        </is>
      </c>
      <c r="C1306" s="86" t="n">
        <v>2023</v>
      </c>
      <c r="D1306" s="5" t="inlineStr">
        <is>
          <t>Outcome not related to interest</t>
        </is>
      </c>
      <c r="E1306" s="86" t="n"/>
      <c r="F1306" s="86" t="n"/>
    </row>
    <row r="1307" ht="16" customHeight="1" s="55">
      <c r="A1307" s="86" t="inlineStr">
        <is>
          <t>MobileNetV3 based Classification Model for Diabetic Retinopathy</t>
        </is>
      </c>
      <c r="B1307" s="86" t="inlineStr">
        <is>
          <t>M. Prajapati; S. K. Baliarsingh; J. Hota</t>
        </is>
      </c>
      <c r="C1307" s="86" t="n">
        <v>2023</v>
      </c>
      <c r="D1307" s="5" t="inlineStr">
        <is>
          <t>Outcome not related to interest</t>
        </is>
      </c>
      <c r="E1307" s="86" t="n"/>
      <c r="F1307" s="86" t="n"/>
    </row>
    <row r="1308" ht="16" customHeight="1" s="55">
      <c r="A1308" s="86" t="inlineStr">
        <is>
          <t>Improving Classification Efficiency Based on Combination of Extreme Gradient Boosting and Deep Transfer Learning</t>
        </is>
      </c>
      <c r="B1308" s="86" t="inlineStr">
        <is>
          <t>M. Phankokkruad; S. Wacharawichanant</t>
        </is>
      </c>
      <c r="C1308" s="86" t="n">
        <v>2023</v>
      </c>
      <c r="D1308" s="5" t="inlineStr">
        <is>
          <t>Outcome not related to interest</t>
        </is>
      </c>
      <c r="E1308" s="86" t="n"/>
      <c r="F1308" s="86" t="n"/>
    </row>
    <row r="1309" ht="16" customHeight="1" s="55">
      <c r="A1309" s="86" t="inlineStr">
        <is>
          <t>Digital Imaging System for the Detection of Diabetic Retinopathy</t>
        </is>
      </c>
      <c r="B1309" s="86" t="inlineStr">
        <is>
          <t>R. Perez-Siguas; E. Matta-Solis; A. Remuzgo-Artezano; H. Matta-Solis; H. Matta-Perez; L. Perez-Siguas</t>
        </is>
      </c>
      <c r="C1309" s="86" t="n">
        <v>2023</v>
      </c>
      <c r="D1309" s="5" t="inlineStr">
        <is>
          <t>Outcome not related to interest</t>
        </is>
      </c>
      <c r="E1309" s="86" t="n"/>
      <c r="F1309" s="86" t="n"/>
    </row>
    <row r="1310" ht="16" customHeight="1" s="55">
      <c r="A1310" s="86" t="inlineStr">
        <is>
          <t>Detection of retinal microlesions through YOLOR-CSP architecture and image slicing with the SAHI algorithm</t>
        </is>
      </c>
      <c r="B1310" s="86" t="inlineStr">
        <is>
          <t>A. Pereira; C. Santos; M. Aguiar; D. Welfer; M. Dias; M. Ribeiro; R. Ahmadi</t>
        </is>
      </c>
      <c r="C1310" s="86" t="n">
        <v>2023</v>
      </c>
      <c r="D1310" s="5" t="inlineStr">
        <is>
          <t>Outcome not related to interest</t>
        </is>
      </c>
      <c r="E1310" s="86" t="n"/>
      <c r="F1310" s="86" t="n"/>
    </row>
    <row r="1311" ht="16" customHeight="1" s="55">
      <c r="A1311" s="86" t="inlineStr">
        <is>
          <t>Improved Detection of Fundus Lesions Using YOLOR-CSP Architecture and Slicing Aided Hyper Inference</t>
        </is>
      </c>
      <c r="B1311" s="86" t="inlineStr">
        <is>
          <t>A. Pereira; C. Santos; M. Aguiar; D. Welfer; M. Dias; M. Ribeiro</t>
        </is>
      </c>
      <c r="C1311" s="86" t="n">
        <v>2023</v>
      </c>
      <c r="D1311" s="5" t="inlineStr">
        <is>
          <t>Outcome not related to interest</t>
        </is>
      </c>
      <c r="E1311" s="86" t="n"/>
      <c r="F1311" s="86" t="n"/>
    </row>
    <row r="1312" ht="16" customHeight="1" s="55">
      <c r="A1312" s="86" t="inlineStr">
        <is>
          <t>Blindness Risk Prediction caused by Diabetic Retinopathy from Retinal Image</t>
        </is>
      </c>
      <c r="B1312" s="86" t="inlineStr">
        <is>
          <t>L. Paul; K. H. Talukder</t>
        </is>
      </c>
      <c r="C1312" s="86" t="n">
        <v>2023</v>
      </c>
      <c r="D1312" s="5" t="inlineStr">
        <is>
          <t>Outcome not related to interest</t>
        </is>
      </c>
      <c r="E1312" s="86" t="n"/>
      <c r="F1312" s="86" t="n"/>
    </row>
    <row r="1313" ht="16" customHeight="1" s="55">
      <c r="A1313" s="86" t="inlineStr">
        <is>
          <t>Expeditious Detection of Diabetic Retinopathy Using ResNet 50 CNN Algorithm</t>
        </is>
      </c>
      <c r="B1313" s="86" t="inlineStr">
        <is>
          <t>R. Patil; A. Bhamare; S. S. Devdas; A. Bandawar; A. Ahirkar; S. Chaudhari</t>
        </is>
      </c>
      <c r="C1313" s="86" t="n">
        <v>2023</v>
      </c>
      <c r="D1313" s="5" t="inlineStr">
        <is>
          <t>Outcome not related to interest</t>
        </is>
      </c>
      <c r="E1313" s="86" t="n"/>
      <c r="F1313" s="86" t="n"/>
    </row>
    <row r="1314" ht="16" customHeight="1" s="55">
      <c r="A1314" s="86" t="inlineStr">
        <is>
          <t>GSO-VGG-16 Model for Predicting Diabetic Retinopathy by Analysing Up-Sampled Gaussian Filtered Fundus Images</t>
        </is>
      </c>
      <c r="B1314" s="86" t="inlineStr">
        <is>
          <t>S. Parthasarathy; V. Jayaraman; V. Vijayan</t>
        </is>
      </c>
      <c r="C1314" s="86" t="n">
        <v>2023</v>
      </c>
      <c r="D1314" s="5" t="inlineStr">
        <is>
          <t>Outcome not related to interest</t>
        </is>
      </c>
      <c r="E1314" s="86" t="n"/>
      <c r="F1314" s="86" t="n"/>
    </row>
    <row r="1315" ht="16" customHeight="1" s="55">
      <c r="A1315" s="86" t="inlineStr">
        <is>
          <t>U-Net based Segmentation and Transfer Learning Based-Classification for Diabetic-Retinopathy Diagnosis</t>
        </is>
      </c>
      <c r="B1315" s="86" t="inlineStr">
        <is>
          <t>B. D. Parameshachari; B. M. Nalini; H. M. LeenaShruthi; P. Diggi</t>
        </is>
      </c>
      <c r="C1315" s="86" t="n">
        <v>2023</v>
      </c>
      <c r="D1315" s="5" t="inlineStr">
        <is>
          <t>Outcome not related to interest</t>
        </is>
      </c>
      <c r="E1315" s="86" t="n"/>
      <c r="F1315" s="86" t="n"/>
    </row>
    <row r="1316" ht="16" customHeight="1" s="55">
      <c r="A1316" s="86" t="inlineStr">
        <is>
          <t>An Empirical Study of Deep Learning Techniques for Diabetic Retinopathy Detection</t>
        </is>
      </c>
      <c r="B1316" s="86" t="inlineStr">
        <is>
          <t>T. N. Pandey; S. S. Pattnaik; S. Sharma; V. Ravalekar; B. B. Dash; S. S. Patra</t>
        </is>
      </c>
      <c r="C1316" s="86" t="n">
        <v>2023</v>
      </c>
      <c r="D1316" s="5" t="inlineStr">
        <is>
          <t>Outcome not related to interest</t>
        </is>
      </c>
      <c r="E1316" s="86" t="n"/>
      <c r="F1316" s="86" t="n"/>
    </row>
    <row r="1317" ht="16" customHeight="1" s="55">
      <c r="A1317" s="86" t="inlineStr">
        <is>
          <t>The use of Image Processing for the Classification of Diabetic Retinopathy</t>
        </is>
      </c>
      <c r="B1317" s="86" t="inlineStr">
        <is>
          <t>S. Pandey; S. Perti; A. Somaddar; A. Agnihotri; Y. Dubey; A. Kaur</t>
        </is>
      </c>
      <c r="C1317" s="86" t="n">
        <v>2023</v>
      </c>
      <c r="D1317" s="5" t="inlineStr">
        <is>
          <t>Outcome not related to interest</t>
        </is>
      </c>
      <c r="E1317" s="86" t="n"/>
      <c r="F1317" s="86" t="n"/>
    </row>
    <row r="1318" ht="16" customHeight="1" s="55">
      <c r="A1318" s="86" t="inlineStr">
        <is>
          <t>Changes Detection of Retinal Diabetic Retinopathy Based on Fundus Images Registration</t>
        </is>
      </c>
      <c r="B1318" s="86" t="inlineStr">
        <is>
          <t>A. Pan; Y. Dong; J. Yang; Y. Yang</t>
        </is>
      </c>
      <c r="C1318" s="86" t="n">
        <v>2023</v>
      </c>
      <c r="D1318" s="5" t="inlineStr">
        <is>
          <t>Outcome not related to interest</t>
        </is>
      </c>
      <c r="E1318" s="86" t="n"/>
      <c r="F1318" s="86" t="n"/>
    </row>
    <row r="1319" ht="16" customHeight="1" s="55">
      <c r="A1319" s="86" t="inlineStr">
        <is>
          <t>Internet of Things and Deep Learning Enabled Diabetic Retinopathy Diagnosis Using Retinal Fundus Images</t>
        </is>
      </c>
      <c r="B1319" s="86" t="inlineStr">
        <is>
          <t>T. Palaniswamy; M. Vellingiri</t>
        </is>
      </c>
      <c r="C1319" s="86" t="n">
        <v>2023</v>
      </c>
      <c r="D1319" s="5" t="inlineStr">
        <is>
          <t>Outcome not related to interest</t>
        </is>
      </c>
      <c r="E1319" s="86" t="n"/>
      <c r="F1319" s="86" t="n"/>
    </row>
    <row r="1320" ht="16" customHeight="1" s="55">
      <c r="A1320" s="86" t="inlineStr">
        <is>
          <t>Early detection of DR with an Effective Optimal Stochastic Deep Network in fundus images using the Monte Carlo Method</t>
        </is>
      </c>
      <c r="B1320" s="86" t="inlineStr">
        <is>
          <t>B. Padmini; Y. Kalpana</t>
        </is>
      </c>
      <c r="C1320" s="86" t="n">
        <v>2023</v>
      </c>
      <c r="D1320" s="5" t="inlineStr">
        <is>
          <t>Outcome not related to interest</t>
        </is>
      </c>
      <c r="E1320" s="86" t="n"/>
      <c r="F1320" s="86" t="n"/>
    </row>
    <row r="1321" ht="16" customHeight="1" s="55">
      <c r="A1321" s="86" t="inlineStr">
        <is>
          <t>Automatic Detection And Segmentation Of Retinal Manifestations Due To Diabetic Retinopathy</t>
        </is>
      </c>
      <c r="B1321" s="86" t="inlineStr">
        <is>
          <t>N. Padmasini; G. K. Krithika; P. Lithiga; S. J. Akshaya</t>
        </is>
      </c>
      <c r="C1321" s="86" t="n">
        <v>2023</v>
      </c>
      <c r="D1321" s="5" t="inlineStr">
        <is>
          <t>Outcome not related to interest</t>
        </is>
      </c>
      <c r="E1321" s="86" t="n"/>
      <c r="F1321" s="86" t="n"/>
    </row>
    <row r="1322" ht="16" customHeight="1" s="55">
      <c r="A1322" s="86" t="inlineStr">
        <is>
          <t>Deep Learning-Based Ocular Disease Classification in Fundus Images</t>
        </is>
      </c>
      <c r="B1322" s="86" t="inlineStr">
        <is>
          <t>S. Ortiz; M. A. G. Jimenez</t>
        </is>
      </c>
      <c r="C1322" s="86" t="n">
        <v>2023</v>
      </c>
      <c r="D1322" s="5" t="inlineStr">
        <is>
          <t>Outcome not related to interest</t>
        </is>
      </c>
      <c r="E1322" s="86" t="n"/>
      <c r="F1322" s="86" t="n"/>
    </row>
    <row r="1323" ht="16" customHeight="1" s="55">
      <c r="A1323" s="86" t="inlineStr">
        <is>
          <t>Transfer Learning for Classification of Retinal Disease using Fundus Imaging</t>
        </is>
      </c>
      <c r="B1323" s="86" t="inlineStr">
        <is>
          <t>J. Ogden; D. M. Lee; H. Moradi</t>
        </is>
      </c>
      <c r="C1323" s="86" t="n">
        <v>2023</v>
      </c>
      <c r="D1323" s="5" t="inlineStr">
        <is>
          <t>Outcome not related to interest</t>
        </is>
      </c>
      <c r="E1323" s="86" t="n"/>
      <c r="F1323" s="86" t="n"/>
    </row>
    <row r="1324" ht="16" customHeight="1" s="55">
      <c r="A1324" s="86" t="inlineStr">
        <is>
          <t>A Faster RCNN-Based Diabetic Retinopathy Detection Method Using Fused Features From Retina Images</t>
        </is>
      </c>
      <c r="B1324" s="86" t="inlineStr">
        <is>
          <t>M. Nur-A-Alam; M. M. K. Nasir; M. Ahsan; M. A. Based; J. Haider; S. Palani</t>
        </is>
      </c>
      <c r="C1324" s="86" t="n">
        <v>2023</v>
      </c>
      <c r="D1324" s="5" t="inlineStr">
        <is>
          <t>Outcome not related to interest</t>
        </is>
      </c>
      <c r="E1324" s="86" t="n"/>
      <c r="F1324" s="86" t="n"/>
    </row>
    <row r="1325" ht="16" customHeight="1" s="55">
      <c r="A1325" s="86" t="inlineStr">
        <is>
          <t>Multiclass Diabetic Retinopathy Classification of Eye Fundus Images Small Datasets Performance Improvement – A Neuroevolution Approach</t>
        </is>
      </c>
      <c r="B1325" s="86" t="inlineStr">
        <is>
          <t>J. L. V. Noguera; J. C. Mello-Román; D. P. Pinto-Roa; S. Gomez; J. Ayala; D. Aquino-Brítez; P. E. Gardel-Sotomayor; M. García-Torres; J. Facon; V. E. C. Benítez; I. C. Matto; P. Pérez-Estigarribia</t>
        </is>
      </c>
      <c r="C1325" s="86" t="n">
        <v>2023</v>
      </c>
      <c r="D1325" s="5" t="inlineStr">
        <is>
          <t>Outcome not related to interest</t>
        </is>
      </c>
      <c r="E1325" s="86" t="n"/>
      <c r="F1325" s="86" t="n"/>
    </row>
    <row r="1326" ht="16" customHeight="1" s="55">
      <c r="A1326" s="86" t="inlineStr">
        <is>
          <t>Vision Transformer Model for Predicting the Severity of Diabetic Retinopathy in Fundus Photography-Based Retina Images</t>
        </is>
      </c>
      <c r="B1326" s="86" t="inlineStr">
        <is>
          <t>W. Nazih; A. O. Aseeri; O. Y. Atallah; S. El-Sappagh</t>
        </is>
      </c>
      <c r="C1326" s="86" t="n">
        <v>2023</v>
      </c>
      <c r="D1326" s="5" t="inlineStr">
        <is>
          <t>Outcome not related to interest</t>
        </is>
      </c>
      <c r="E1326" s="86" t="n"/>
      <c r="F1326" s="86" t="n"/>
    </row>
    <row r="1327" ht="16" customHeight="1" s="55">
      <c r="A1327" s="86" t="inlineStr">
        <is>
          <t>Ensembled Deep Convolutional Generative Adversarial Network for Grading Imbalanced Diabetic Retinopathy Recognition</t>
        </is>
      </c>
      <c r="B1327" s="86" t="inlineStr">
        <is>
          <t>H. Naz; R. Nijhawan; N. J. Ahuja; S. Al-Otaibi; T. Saba; S. A. Bahaj; A. Rehman</t>
        </is>
      </c>
      <c r="C1327" s="86" t="n">
        <v>2023</v>
      </c>
      <c r="D1327" s="5" t="inlineStr">
        <is>
          <t>Outcome not related to interest</t>
        </is>
      </c>
      <c r="E1327" s="86" t="n"/>
      <c r="F1327" s="86" t="n"/>
    </row>
    <row r="1328" ht="16" customHeight="1" s="55">
      <c r="A1328" s="86" t="inlineStr">
        <is>
          <t>Multi-Class Retinal Diseases Detection Using Deep CNN With Minimal Memory Consumption</t>
        </is>
      </c>
      <c r="B1328" s="86" t="inlineStr">
        <is>
          <t>A. Nawaz; T. Ali; G. Mustafa; M. Babar; B. Qureshi</t>
        </is>
      </c>
      <c r="C1328" s="86" t="n">
        <v>2023</v>
      </c>
      <c r="D1328" s="5" t="inlineStr">
        <is>
          <t>Outcome not related to interest</t>
        </is>
      </c>
      <c r="E1328" s="86" t="n"/>
      <c r="F1328" s="86" t="n"/>
    </row>
    <row r="1329" ht="16" customHeight="1" s="55">
      <c r="A1329" s="86" t="inlineStr">
        <is>
          <t>A Novel AI based Early Diabetic Retinopathy Detection using Retinal Images</t>
        </is>
      </c>
      <c r="B1329" s="86" t="inlineStr">
        <is>
          <t>S. Navaneethan; N. S. D. Raj; R. S. G. Raman</t>
        </is>
      </c>
      <c r="C1329" s="86" t="n">
        <v>2023</v>
      </c>
      <c r="D1329" s="5" t="inlineStr">
        <is>
          <t>Outcome not related to interest</t>
        </is>
      </c>
      <c r="E1329" s="86" t="n"/>
      <c r="F1329" s="86" t="n"/>
    </row>
    <row r="1330" ht="16" customHeight="1" s="55">
      <c r="A1330" s="86" t="inlineStr">
        <is>
          <t>Enhanced Diabetic Retinopathy Detection through Convolutional Neural Networks for Retinal Image Classification</t>
        </is>
      </c>
      <c r="B1330" s="86" t="inlineStr">
        <is>
          <t>M. Narasimharao; B. Swain; P. P. Nayak; S. Bhuyan</t>
        </is>
      </c>
      <c r="C1330" s="86" t="n">
        <v>2023</v>
      </c>
      <c r="D1330" s="5" t="inlineStr">
        <is>
          <t>Outcome not related to interest</t>
        </is>
      </c>
      <c r="E1330" s="86" t="n"/>
      <c r="F1330" s="86" t="n"/>
    </row>
    <row r="1331" ht="16" customHeight="1" s="55">
      <c r="A1331" s="86" t="inlineStr">
        <is>
          <t>Diabetic Retinopathy Detection using Squeezenet</t>
        </is>
      </c>
      <c r="B1331" s="86" t="inlineStr">
        <is>
          <t>K. Nanthini; D. Sivabalaselvamani; K. S. Sharvanthika; S. K. Ojha; M. Siva</t>
        </is>
      </c>
      <c r="C1331" s="86" t="n">
        <v>2023</v>
      </c>
      <c r="D1331" s="5" t="inlineStr">
        <is>
          <t>Outcome not related to interest</t>
        </is>
      </c>
      <c r="E1331" s="86" t="n"/>
      <c r="F1331" s="86" t="n"/>
    </row>
    <row r="1332" ht="16" customHeight="1" s="55">
      <c r="A1332" s="86" t="inlineStr">
        <is>
          <t>AIML and DL Based CSR Disease Detection for OCT and Fundus Imaging</t>
        </is>
      </c>
      <c r="B1332" s="86" t="inlineStr">
        <is>
          <t>R. Naik; I. V. C; C. N. A; S. B. Kurtakoti</t>
        </is>
      </c>
      <c r="C1332" s="86" t="n">
        <v>2023</v>
      </c>
      <c r="D1332" s="5" t="inlineStr">
        <is>
          <t>Outcome not related to interest</t>
        </is>
      </c>
      <c r="E1332" s="86" t="n"/>
      <c r="F1332" s="86" t="n"/>
    </row>
    <row r="1333" ht="16" customHeight="1" s="55">
      <c r="A1333" s="86" t="inlineStr">
        <is>
          <t>An Approach for Diabetic Retinopathy Using GNN</t>
        </is>
      </c>
      <c r="B1333" s="86" t="inlineStr">
        <is>
          <t>D. Nagasudha; B. V. Thanmayi; B. Raghavi; A. Akash; C. Vaishnavi; R. Pitchai</t>
        </is>
      </c>
      <c r="C1333" s="86" t="n">
        <v>2023</v>
      </c>
      <c r="D1333" s="5" t="inlineStr">
        <is>
          <t>Outcome not related to interest</t>
        </is>
      </c>
      <c r="E1333" s="86" t="n"/>
      <c r="F1333" s="86" t="n"/>
    </row>
    <row r="1334" ht="16" customHeight="1" s="55">
      <c r="A1334" s="86" t="inlineStr">
        <is>
          <t>Deep Learning Methods for Segmenting and Classifying Diabetic Retinopathy</t>
        </is>
      </c>
      <c r="B1334" s="86" t="inlineStr">
        <is>
          <t>D. Nagasudha; N. Senthamarai</t>
        </is>
      </c>
      <c r="C1334" s="86" t="n">
        <v>2023</v>
      </c>
      <c r="D1334" s="5" t="inlineStr">
        <is>
          <t>Outcome not related to interest</t>
        </is>
      </c>
      <c r="E1334" s="86" t="n"/>
      <c r="F1334" s="86" t="n"/>
    </row>
    <row r="1335" ht="16" customHeight="1" s="55">
      <c r="A1335" s="86" t="inlineStr">
        <is>
          <t>An Automated Detection and Multi-stage classification of Diabetic Retinopathy using Convolutional Neural Networks</t>
        </is>
      </c>
      <c r="B1335" s="86" t="inlineStr">
        <is>
          <t>S. N; S. S; J. M; C. S</t>
        </is>
      </c>
      <c r="C1335" s="86" t="n">
        <v>2023</v>
      </c>
      <c r="D1335" s="5" t="inlineStr">
        <is>
          <t>Outcome not related to interest</t>
        </is>
      </c>
      <c r="E1335" s="86" t="n"/>
      <c r="F1335" s="86" t="n"/>
    </row>
    <row r="1336" ht="16" customHeight="1" s="55">
      <c r="A1336" s="86" t="inlineStr">
        <is>
          <t>Automatic Detection and Classification of Diabetic Retinopathy using Modified UNET</t>
        </is>
      </c>
      <c r="B1336" s="86" t="inlineStr">
        <is>
          <t>P. N; M. Kandasamy; R. Shanmugam; A. S. K</t>
        </is>
      </c>
      <c r="C1336" s="86" t="n">
        <v>2023</v>
      </c>
      <c r="D1336" s="5" t="inlineStr">
        <is>
          <t>Outcome not related to interest</t>
        </is>
      </c>
      <c r="E1336" s="86" t="n"/>
      <c r="F1336" s="86" t="n"/>
    </row>
    <row r="1337" ht="16" customHeight="1" s="55">
      <c r="A1337" s="86" t="inlineStr">
        <is>
          <t>A Computationally Efficient Red-Lesion Extraction Method for Retinal Fundus Images</t>
        </is>
      </c>
      <c r="B1337" s="86" t="inlineStr">
        <is>
          <t>M. Monemian; H. Rabbani</t>
        </is>
      </c>
      <c r="C1337" s="86" t="n">
        <v>2023</v>
      </c>
      <c r="D1337" s="5" t="inlineStr">
        <is>
          <t>Outcome not related to interest</t>
        </is>
      </c>
      <c r="E1337" s="86" t="n"/>
      <c r="F1337" s="86" t="n"/>
    </row>
    <row r="1338" ht="16" customHeight="1" s="55">
      <c r="A1338" s="86" t="inlineStr">
        <is>
          <t>Enhancing Diabetic Retinopathy Screening with Sequential Deep Learning Models</t>
        </is>
      </c>
      <c r="B1338" s="86" t="inlineStr">
        <is>
          <t>V. Mohith; K. Raja; I. R. Oviya</t>
        </is>
      </c>
      <c r="C1338" s="86" t="n">
        <v>2023</v>
      </c>
      <c r="D1338" s="5" t="inlineStr">
        <is>
          <t>Outcome not related to interest</t>
        </is>
      </c>
      <c r="E1338" s="86" t="n"/>
      <c r="F1338" s="86" t="n"/>
    </row>
    <row r="1339" ht="16" customHeight="1" s="55">
      <c r="A1339" s="86" t="inlineStr">
        <is>
          <t>DRFL: Federated Learning in Diabetic Retinopathy Grading Using Fundus Images</t>
        </is>
      </c>
      <c r="B1339" s="86" t="inlineStr">
        <is>
          <t>N. J. Mohan; R. Murugan; T. Goel; P. Roy</t>
        </is>
      </c>
      <c r="C1339" s="86" t="n">
        <v>2023</v>
      </c>
      <c r="D1339" s="5" t="inlineStr">
        <is>
          <t>Outcome not related to interest</t>
        </is>
      </c>
      <c r="E1339" s="86" t="n"/>
      <c r="F1339" s="86" t="n"/>
    </row>
    <row r="1340" ht="16" customHeight="1" s="55">
      <c r="A1340" s="86" t="inlineStr">
        <is>
          <t>Multi-Class Eye Disease Classification Using Deep Learning</t>
        </is>
      </c>
      <c r="B1340" s="86" t="inlineStr">
        <is>
          <t>M. A. Mohamed; M. A. Zakaria; E. Hamdi; R. e. Tawfek; T. M. Taha; Y. M. Afify; R. W. Elshinawy; M. H. Ahmed</t>
        </is>
      </c>
      <c r="C1340" s="86" t="n">
        <v>2023</v>
      </c>
      <c r="D1340" s="5" t="inlineStr">
        <is>
          <t>Outcome not related to interest</t>
        </is>
      </c>
      <c r="E1340" s="86" t="n"/>
      <c r="F1340" s="86" t="n"/>
    </row>
    <row r="1341" ht="16" customHeight="1" s="55">
      <c r="A1341" s="86" t="inlineStr">
        <is>
          <t>An Intelligent and Effective Framework for Reduction of Diabetes Risk</t>
        </is>
      </c>
      <c r="B1341" s="86" t="inlineStr">
        <is>
          <t>A. K. Mishra; N. Tripathi; A. Gupta; N. K. Pandey; D. S. Rana; M. Diwakar</t>
        </is>
      </c>
      <c r="C1341" s="86" t="n">
        <v>2023</v>
      </c>
      <c r="D1341" s="5" t="inlineStr">
        <is>
          <t>Outcome not related to interest</t>
        </is>
      </c>
      <c r="E1341" s="86" t="n"/>
      <c r="F1341" s="86" t="n"/>
    </row>
    <row r="1342" ht="16" customHeight="1" s="55">
      <c r="A1342" s="86" t="inlineStr">
        <is>
          <t>Diabetic Retinopathy Image Classification Using Machine Learning and Local Binary Patterns Features</t>
        </is>
      </c>
      <c r="B1342" s="86" t="inlineStr">
        <is>
          <t>M. Miron; A. Culea-Florescu; S. Moldovanu</t>
        </is>
      </c>
      <c r="C1342" s="86" t="n">
        <v>2023</v>
      </c>
      <c r="D1342" s="5" t="inlineStr">
        <is>
          <t>Outcome not related to interest</t>
        </is>
      </c>
      <c r="E1342" s="86" t="n"/>
      <c r="F1342" s="86" t="n"/>
    </row>
    <row r="1343" ht="16" customHeight="1" s="55">
      <c r="A1343" s="86" t="inlineStr">
        <is>
          <t>Deep Learning for Early Diagnosis of Diabetic Retinopathy: a Study Using Convolutional Neural Network</t>
        </is>
      </c>
      <c r="B1343" s="86" t="inlineStr">
        <is>
          <t>A. S. Mayya</t>
        </is>
      </c>
      <c r="C1343" s="86" t="n">
        <v>2023</v>
      </c>
      <c r="D1343" s="5" t="inlineStr">
        <is>
          <t>Outcome not related to interest</t>
        </is>
      </c>
      <c r="E1343" s="86" t="n"/>
      <c r="F1343" s="86" t="n"/>
    </row>
    <row r="1344" ht="16" customHeight="1" s="55">
      <c r="A1344" s="86" t="inlineStr">
        <is>
          <t>Diabetic Retinopathy Diagnosis System Based on Retinal Biomarkers Using EfficientNet-B0 for Android Devices</t>
        </is>
      </c>
      <c r="B1344" s="86" t="inlineStr">
        <is>
          <t>A. Matthew; A. A. S. Gunawan; F. I. Kurniadi</t>
        </is>
      </c>
      <c r="C1344" s="86" t="n">
        <v>2023</v>
      </c>
      <c r="D1344" s="5" t="inlineStr">
        <is>
          <t>Outcome not related to interest</t>
        </is>
      </c>
      <c r="E1344" s="86" t="n"/>
      <c r="F1344" s="86" t="n"/>
    </row>
    <row r="1345" ht="16" customHeight="1" s="55">
      <c r="A1345" s="86" t="inlineStr">
        <is>
          <t>Federated Learning for Diabetic Retinopathy Detection in a Multi-center Fundus Screening Network</t>
        </is>
      </c>
      <c r="B1345" s="86" t="inlineStr">
        <is>
          <t>S. Matta; M. B. Hassine; C. Lecat; L. Borderie; A. L. Guilcher; P. Massin; B. Cochener; M. Lamard; G. Quellec</t>
        </is>
      </c>
      <c r="C1345" s="86" t="n">
        <v>2023</v>
      </c>
      <c r="D1345" s="5" t="inlineStr">
        <is>
          <t>Outcome not related to interest</t>
        </is>
      </c>
      <c r="E1345" s="86" t="n"/>
      <c r="F1345" s="86" t="n"/>
    </row>
    <row r="1346" ht="16" customHeight="1" s="55">
      <c r="A1346" s="86" t="inlineStr">
        <is>
          <t>Attentive Regularization in Targeted Kernel Networks for Accurate Diabetic Retinopathy Grading</t>
        </is>
      </c>
      <c r="B1346" s="86" t="inlineStr">
        <is>
          <t>M. R. Mathews; M. A. S; A. Panthakkan</t>
        </is>
      </c>
      <c r="C1346" s="86" t="n">
        <v>2023</v>
      </c>
      <c r="D1346" s="5" t="inlineStr">
        <is>
          <t>Outcome not related to interest</t>
        </is>
      </c>
      <c r="E1346" s="86" t="n"/>
      <c r="F1346" s="86" t="n"/>
    </row>
    <row r="1347" ht="16" customHeight="1" s="55">
      <c r="A1347" s="86" t="inlineStr">
        <is>
          <t>Enhanced Transformer Model: A New Frontier in Diabetic Retinopathy Classification</t>
        </is>
      </c>
      <c r="B1347" s="86" t="inlineStr">
        <is>
          <t>M. R. Mathews; M. A. S</t>
        </is>
      </c>
      <c r="C1347" s="86" t="n">
        <v>2023</v>
      </c>
      <c r="D1347" s="5" t="inlineStr">
        <is>
          <t>Outcome not related to interest</t>
        </is>
      </c>
      <c r="E1347" s="86" t="n"/>
      <c r="F1347" s="86" t="n"/>
    </row>
    <row r="1348" ht="16" customHeight="1" s="55">
      <c r="A1348" s="86" t="inlineStr">
        <is>
          <t>Data Poisoning Attacks over Diabetic Retinopathy Images Classification</t>
        </is>
      </c>
      <c r="B1348" s="86" t="inlineStr">
        <is>
          <t>F. Martinelli; F. Mercaldo; M. D. Giammarco; A. Santone</t>
        </is>
      </c>
      <c r="C1348" s="86" t="n">
        <v>2023</v>
      </c>
      <c r="D1348" s="5" t="inlineStr">
        <is>
          <t>Outcome not related to interest</t>
        </is>
      </c>
      <c r="E1348" s="86" t="n"/>
      <c r="F1348" s="86" t="n"/>
    </row>
    <row r="1349" ht="16" customHeight="1" s="55">
      <c r="A1349" s="86" t="inlineStr">
        <is>
          <t>An Ensemble Learning Approach Towards Prediction of Diabetic Retinopathy</t>
        </is>
      </c>
      <c r="B1349" s="86" t="inlineStr">
        <is>
          <t>K. Mannanuddin; L. Dhavamani; V. Selvakumar; B. R. Praveen; T. G. Sakthivel; P. Saranya</t>
        </is>
      </c>
      <c r="C1349" s="86" t="n">
        <v>2023</v>
      </c>
      <c r="D1349" s="5" t="inlineStr">
        <is>
          <t>Outcome not related to interest</t>
        </is>
      </c>
      <c r="E1349" s="86" t="n"/>
      <c r="F1349" s="86" t="n"/>
    </row>
    <row r="1350" ht="16" customHeight="1" s="55">
      <c r="A1350" s="86" t="inlineStr">
        <is>
          <t>Fine-Tuning Pre-Trained Models for Automated Analysis of Ophthalmic Imaging in Diagnosing Eye Diseases</t>
        </is>
      </c>
      <c r="B1350" s="86" t="inlineStr">
        <is>
          <t>R. E. A. Mamlook; A. Nasayreh; H. Gharaibeh; M. Aljaidi; Q. Al-Na'amneh; D. Alzu'bi; H. Bzizi; A. Abdeltawab</t>
        </is>
      </c>
      <c r="C1350" s="86" t="n">
        <v>2023</v>
      </c>
      <c r="D1350" s="5" t="inlineStr">
        <is>
          <t>Outcome not related to interest</t>
        </is>
      </c>
      <c r="E1350" s="86" t="n"/>
      <c r="F1350" s="86" t="n"/>
    </row>
    <row r="1351" ht="16" customHeight="1" s="55">
      <c r="A1351" s="86" t="inlineStr">
        <is>
          <t>Efficient Net Enriched Model for Implementing the Grading of Diabetic Retinopathy Based on Retinal Blood Vessel Tortuosity</t>
        </is>
      </c>
      <c r="B1351" s="86" t="inlineStr">
        <is>
          <t>D. Maji; A. K. Dhara; S. Maiti; G. Sarkar</t>
        </is>
      </c>
      <c r="C1351" s="86" t="n">
        <v>2023</v>
      </c>
      <c r="D1351" s="5" t="inlineStr">
        <is>
          <t>Outcome not related to interest</t>
        </is>
      </c>
      <c r="E1351" s="86" t="n"/>
      <c r="F1351" s="86" t="n"/>
    </row>
    <row r="1352" ht="16" customHeight="1" s="55">
      <c r="A1352" s="86" t="inlineStr">
        <is>
          <t>AI Based Automated Detection &amp; Classification of Diabetic Retinopathy</t>
        </is>
      </c>
      <c r="B1352" s="86" t="inlineStr">
        <is>
          <t>P. Maity; C. Chakravorty</t>
        </is>
      </c>
      <c r="C1352" s="86" t="n">
        <v>2023</v>
      </c>
      <c r="D1352" s="5" t="inlineStr">
        <is>
          <t>Outcome not related to interest</t>
        </is>
      </c>
      <c r="E1352" s="86" t="n"/>
      <c r="F1352" s="86" t="n"/>
    </row>
    <row r="1353" ht="16" customHeight="1" s="55">
      <c r="A1353" s="86" t="inlineStr">
        <is>
          <t>Diabetic Retinopathy Detection Using Hybrid CNN - SVM Model</t>
        </is>
      </c>
      <c r="B1353" s="86" t="inlineStr">
        <is>
          <t>V. Mahilnan; S. Simitha; A. Sivakumar; M. S. Mohamed</t>
        </is>
      </c>
      <c r="C1353" s="86" t="n">
        <v>2023</v>
      </c>
      <c r="D1353" s="5" t="inlineStr">
        <is>
          <t>Outcome not related to interest</t>
        </is>
      </c>
      <c r="E1353" s="86" t="n"/>
      <c r="F1353" s="86" t="n"/>
    </row>
    <row r="1354" ht="16" customHeight="1" s="55">
      <c r="A1354" s="86" t="inlineStr">
        <is>
          <t>An Enhanced Approach for Detecting and Classifying the Diabetic Retinopathy by Utilizing an Optimized Convolutional Neural Network</t>
        </is>
      </c>
      <c r="B1354" s="86" t="inlineStr">
        <is>
          <t>N. Mahender; S. Padmaja; R. Shivanadhuni; L. G. Rao; S. Mohmmad</t>
        </is>
      </c>
      <c r="C1354" s="86" t="n">
        <v>2023</v>
      </c>
      <c r="D1354" s="5" t="inlineStr">
        <is>
          <t>Outcome not related to interest</t>
        </is>
      </c>
      <c r="E1354" s="86" t="n"/>
      <c r="F1354" s="86" t="n"/>
    </row>
    <row r="1355" ht="16" customHeight="1" s="55">
      <c r="A1355" s="86" t="inlineStr">
        <is>
          <t>An Enhanced Segmentation and Deep Learning Architecture for Early Diabetic Retinopathy Detection</t>
        </is>
      </c>
      <c r="B1355" s="86" t="inlineStr">
        <is>
          <t>R. R. Maaliw; Z. P. Mabunga; M. R. D. D. Veluz; A. S. Alon; A. C. Lagman; M. B. Garcia; L. L. Lacatan; R. M. Dellosa</t>
        </is>
      </c>
      <c r="C1355" s="86" t="n">
        <v>2023</v>
      </c>
      <c r="D1355" s="5" t="inlineStr">
        <is>
          <t>Outcome not related to interest</t>
        </is>
      </c>
      <c r="E1355" s="86" t="n"/>
      <c r="F1355" s="86" t="n"/>
    </row>
    <row r="1356" ht="16" customHeight="1" s="55">
      <c r="A1356" s="86" t="inlineStr">
        <is>
          <t>Automatic Classification and Earlier Detection of Diabetic Retinopathy Using Deep Learning</t>
        </is>
      </c>
      <c r="B1356" s="86" t="inlineStr">
        <is>
          <t>A. M; B. A; M. D; S. E</t>
        </is>
      </c>
      <c r="C1356" s="86" t="n">
        <v>2023</v>
      </c>
      <c r="D1356" s="5" t="inlineStr">
        <is>
          <t>Outcome not related to interest</t>
        </is>
      </c>
      <c r="E1356" s="86" t="n"/>
      <c r="F1356" s="86" t="n"/>
    </row>
    <row r="1357" ht="16" customHeight="1" s="55">
      <c r="A1357" s="86" t="inlineStr">
        <is>
          <t>A Diabetic Retinopathy Classification method based on improved InceptionV3 neural network model</t>
        </is>
      </c>
      <c r="B1357" s="86" t="inlineStr">
        <is>
          <t>S. Lu; J. Liu; M. Liu; Q. Zhao</t>
        </is>
      </c>
      <c r="C1357" s="86" t="n">
        <v>2023</v>
      </c>
      <c r="D1357" s="5" t="inlineStr">
        <is>
          <t>Outcome not related to interest</t>
        </is>
      </c>
      <c r="E1357" s="86" t="n"/>
      <c r="F1357" s="86" t="n"/>
    </row>
    <row r="1358" ht="16" customHeight="1" s="55">
      <c r="A1358" s="86" t="inlineStr">
        <is>
          <t>A Cross-Lesion Attention Network for Accurate Diabetic Retinopathy Grading With Fundus Images</t>
        </is>
      </c>
      <c r="B1358" s="86" t="inlineStr">
        <is>
          <t>X. Liu; W. Chi</t>
        </is>
      </c>
      <c r="C1358" s="86" t="n">
        <v>2023</v>
      </c>
      <c r="D1358" s="5" t="inlineStr">
        <is>
          <t>Outcome not related to interest</t>
        </is>
      </c>
      <c r="E1358" s="86" t="n"/>
      <c r="F1358" s="86" t="n"/>
    </row>
    <row r="1359" ht="16" customHeight="1" s="55">
      <c r="A1359" s="86" t="inlineStr">
        <is>
          <t>Automatic Diagnosis of Diabetic Retinopathy Based on EfficientNet</t>
        </is>
      </c>
      <c r="B1359" s="86" t="inlineStr">
        <is>
          <t>W. Liu; Z. Zhao; M. Levkiv</t>
        </is>
      </c>
      <c r="C1359" s="86" t="n">
        <v>2023</v>
      </c>
      <c r="D1359" s="5" t="inlineStr">
        <is>
          <t>Outcome not related to interest</t>
        </is>
      </c>
      <c r="E1359" s="86" t="n"/>
      <c r="F1359" s="86" t="n"/>
    </row>
    <row r="1360" ht="16" customHeight="1" s="55">
      <c r="A1360" s="86" t="inlineStr">
        <is>
          <t>MLGL: Model-free Lesion Generation and Learning for Diabetic Retinopathy Diagnosis</t>
        </is>
      </c>
      <c r="B1360" s="86" t="inlineStr">
        <is>
          <t>J. Li; C. Lin; Z. Wang; H. Song; F. Tan; L. Hu; P. Hu</t>
        </is>
      </c>
      <c r="C1360" s="86" t="n">
        <v>2023</v>
      </c>
      <c r="D1360" s="5" t="inlineStr">
        <is>
          <t>Outcome not related to interest</t>
        </is>
      </c>
      <c r="E1360" s="86" t="n"/>
      <c r="F1360" s="86" t="n"/>
    </row>
    <row r="1361" ht="16" customHeight="1" s="55">
      <c r="A1361" s="86" t="inlineStr">
        <is>
          <t>Cognitive-Inspired Computer Vision Assist System for Diabetic Retinopathy Detection from Fundus Images</t>
        </is>
      </c>
      <c r="B1361" s="86" t="inlineStr">
        <is>
          <t>B. Lakshmanan; S. Priyadharsini; G. Priyanka</t>
        </is>
      </c>
      <c r="C1361" s="86" t="n">
        <v>2023</v>
      </c>
      <c r="D1361" s="5" t="inlineStr">
        <is>
          <t>Outcome not related to interest</t>
        </is>
      </c>
      <c r="E1361" s="86" t="n"/>
      <c r="F1361" s="86" t="n"/>
    </row>
    <row r="1362" ht="16" customHeight="1" s="55">
      <c r="A1362" s="86" t="inlineStr">
        <is>
          <t>Diabetic Retinopathy Classification Using PSOSVM Based Deep Learning Model</t>
        </is>
      </c>
      <c r="B1362" s="86" t="inlineStr">
        <is>
          <t>S. Lakhera; A. Garg</t>
        </is>
      </c>
      <c r="C1362" s="86" t="n">
        <v>2023</v>
      </c>
      <c r="D1362" s="5" t="inlineStr">
        <is>
          <t>Outcome not related to interest</t>
        </is>
      </c>
      <c r="E1362" s="86" t="n"/>
      <c r="F1362" s="86" t="n"/>
    </row>
    <row r="1363" ht="16" customHeight="1" s="55">
      <c r="A1363" s="86" t="inlineStr">
        <is>
          <t>Retinal Fundus Image Classification Using Hybrid Deep Learning Model</t>
        </is>
      </c>
      <c r="B1363" s="86" t="inlineStr">
        <is>
          <t>S. Lakhera; A. Garg</t>
        </is>
      </c>
      <c r="C1363" s="86" t="n">
        <v>2023</v>
      </c>
      <c r="D1363" s="5" t="inlineStr">
        <is>
          <t>Outcome not related to interest</t>
        </is>
      </c>
      <c r="E1363" s="86" t="n"/>
      <c r="F1363" s="86" t="n"/>
    </row>
    <row r="1364" ht="16" customHeight="1" s="55">
      <c r="A1364" s="86" t="inlineStr">
        <is>
          <t>An Empirical Analysis of Vision Transformers Robustness to Spurious Correlations in Health Data</t>
        </is>
      </c>
      <c r="B1364" s="86" t="inlineStr">
        <is>
          <t>A. Lacerda; D. Ayala; F. Malaguth; F. Kanadani</t>
        </is>
      </c>
      <c r="C1364" s="86" t="n">
        <v>2023</v>
      </c>
      <c r="D1364" s="5" t="inlineStr">
        <is>
          <t>Outcome not related to interest</t>
        </is>
      </c>
      <c r="E1364" s="86" t="n"/>
      <c r="F1364" s="86" t="n"/>
    </row>
    <row r="1365" ht="16" customHeight="1" s="55">
      <c r="A1365" s="86" t="inlineStr">
        <is>
          <t>Machine Learning Method for the Diagnosis of Retinal Diseases using Convolutional Neural Network</t>
        </is>
      </c>
      <c r="B1365" s="86" t="inlineStr">
        <is>
          <t>S. Kushwaha; J. Boga; B. S. S. Rao; S. N. Taqui; R. G. Vidhya; J. Surendiran</t>
        </is>
      </c>
      <c r="C1365" s="86" t="n">
        <v>2023</v>
      </c>
      <c r="D1365" s="5" t="inlineStr">
        <is>
          <t>Outcome not related to interest</t>
        </is>
      </c>
      <c r="E1365" s="86" t="n"/>
      <c r="F1365" s="86" t="n"/>
    </row>
    <row r="1366" ht="16" customHeight="1" s="55">
      <c r="A1366" s="86" t="inlineStr">
        <is>
          <t>Feature Extraction and Analysis for Diabetic Retinopathy Classification using Pre-trained Deep Networks</t>
        </is>
      </c>
      <c r="B1366" s="86" t="inlineStr">
        <is>
          <t>S. Kumar; K. K. Dewangan; K. Yadav</t>
        </is>
      </c>
      <c r="C1366" s="86" t="n">
        <v>2023</v>
      </c>
      <c r="D1366" s="5" t="inlineStr">
        <is>
          <t>Outcome not related to interest</t>
        </is>
      </c>
      <c r="E1366" s="86" t="n"/>
      <c r="F1366" s="86" t="n"/>
    </row>
    <row r="1367" ht="16" customHeight="1" s="55">
      <c r="A1367" s="86" t="inlineStr">
        <is>
          <t>Mobile-Based Classification and Detection of Diabetic Retinopathy Using TinyML</t>
        </is>
      </c>
      <c r="B1367" s="86" t="inlineStr">
        <is>
          <t>M. Kumar; H. P. M. Kumar; H. Sultana; J. S. S</t>
        </is>
      </c>
      <c r="C1367" s="86" t="n">
        <v>2023</v>
      </c>
      <c r="D1367" s="5" t="inlineStr">
        <is>
          <t>Outcome not related to interest</t>
        </is>
      </c>
      <c r="E1367" s="86" t="n"/>
      <c r="F1367" s="86" t="n"/>
    </row>
    <row r="1368" ht="16" customHeight="1" s="55">
      <c r="A1368" s="86" t="inlineStr">
        <is>
          <t>Multi Scale aided Deep Learning model for High F1-score classification of fundus images based Diabetic Retinopathy and Glaucoma</t>
        </is>
      </c>
      <c r="B1368" s="86" t="inlineStr">
        <is>
          <t>G. R. S. N. Kumar; R. S. Sankuri; S. P. K. Karri</t>
        </is>
      </c>
      <c r="C1368" s="86" t="n">
        <v>2023</v>
      </c>
      <c r="D1368" s="5" t="inlineStr">
        <is>
          <t>Outcome not related to interest</t>
        </is>
      </c>
      <c r="E1368" s="86" t="n"/>
      <c r="F1368" s="86" t="n"/>
    </row>
    <row r="1369" ht="16" customHeight="1" s="55">
      <c r="A1369" s="86" t="inlineStr">
        <is>
          <t>Exploring the Potential of EfficientNetB7 for Diabetic Retinopathy Classification: A Comprehensive Analysis</t>
        </is>
      </c>
      <c r="B1369" s="86" t="inlineStr">
        <is>
          <t>A. Kumar; D. K. Pahadia; G. Chaudhary; S. Kumar</t>
        </is>
      </c>
      <c r="C1369" s="86" t="n">
        <v>2023</v>
      </c>
      <c r="D1369" s="5" t="inlineStr">
        <is>
          <t>Outcome not related to interest</t>
        </is>
      </c>
      <c r="E1369" s="86" t="n"/>
      <c r="F1369" s="86" t="n"/>
    </row>
    <row r="1370" ht="16" customHeight="1" s="55">
      <c r="A1370" s="86" t="inlineStr">
        <is>
          <t>Optimizing Deep Learning Model Parameters Using Socially Implemented IoMT Systems for Diabetic Retinopathy Classification Problem</t>
        </is>
      </c>
      <c r="B1370" s="86" t="inlineStr">
        <is>
          <t>A. Kukkar; D. Gupta; S. M. Beram; M. Soni; N. K. Singh; A. Sharma; R. Neware; M. Shabaz; A. Rizwan</t>
        </is>
      </c>
      <c r="C1370" s="86" t="n">
        <v>2023</v>
      </c>
      <c r="D1370" s="5" t="inlineStr">
        <is>
          <t>Outcome not related to interest</t>
        </is>
      </c>
      <c r="E1370" s="86" t="n"/>
      <c r="F1370" s="86" t="n"/>
    </row>
    <row r="1371" ht="16" customHeight="1" s="55">
      <c r="A1371" s="86" t="inlineStr">
        <is>
          <t>Cascaded Learning Approach for Evaluating Diabetic Retinopathy Severity</t>
        </is>
      </c>
      <c r="B1371" s="86" t="inlineStr">
        <is>
          <t>D. M. Kotambkar; P. M. Wankhede</t>
        </is>
      </c>
      <c r="C1371" s="86" t="n">
        <v>2023</v>
      </c>
      <c r="D1371" s="5" t="inlineStr">
        <is>
          <t>Outcome not related to interest</t>
        </is>
      </c>
      <c r="E1371" s="86" t="n"/>
      <c r="F1371" s="86" t="n"/>
    </row>
    <row r="1372" ht="16" customHeight="1" s="55">
      <c r="A1372" s="86" t="inlineStr">
        <is>
          <t>Detection of Diabetic Retinopathy (DR) Severity from Fundus Photographs using Swin Transformer</t>
        </is>
      </c>
      <c r="B1372" s="86" t="inlineStr">
        <is>
          <t>R. Kommaraju; M. S. Anbarasi</t>
        </is>
      </c>
      <c r="C1372" s="86" t="n">
        <v>2023</v>
      </c>
      <c r="D1372" s="5" t="inlineStr">
        <is>
          <t>Outcome not related to interest</t>
        </is>
      </c>
      <c r="E1372" s="86" t="n"/>
      <c r="F1372" s="86" t="n"/>
    </row>
    <row r="1373" ht="16" customHeight="1" s="55">
      <c r="A1373" s="86" t="inlineStr">
        <is>
          <t>Advancing Diabetic Retinopathy Detection: Leveraging Deep Learning for Accurate Classification and Early Diagnosis</t>
        </is>
      </c>
      <c r="B1373" s="86" t="inlineStr">
        <is>
          <t>A. D. Kolte; J. Sharma; U. Rai; R. Jansi</t>
        </is>
      </c>
      <c r="C1373" s="86" t="n">
        <v>2023</v>
      </c>
      <c r="D1373" s="5" t="inlineStr">
        <is>
          <t>Outcome not related to interest</t>
        </is>
      </c>
      <c r="E1373" s="86" t="n"/>
      <c r="F1373" s="86" t="n"/>
    </row>
    <row r="1374" ht="16" customHeight="1" s="55">
      <c r="A1374" s="86" t="inlineStr">
        <is>
          <t>Diabetic Retinopathy Screening Using CNN (ResNet 18)</t>
        </is>
      </c>
      <c r="B1374" s="86" t="inlineStr">
        <is>
          <t>A. Kodumuru; K. Kesireddy; K. R. Jansi</t>
        </is>
      </c>
      <c r="C1374" s="86" t="n">
        <v>2023</v>
      </c>
      <c r="D1374" s="5" t="inlineStr">
        <is>
          <t>Outcome not related to interest</t>
        </is>
      </c>
      <c r="E1374" s="86" t="n"/>
      <c r="F1374" s="86" t="n"/>
    </row>
    <row r="1375" ht="16" customHeight="1" s="55">
      <c r="A1375" s="86" t="inlineStr">
        <is>
          <t>Classification of Ocular Diseases using Retinal Fundus Images by Leveraging Advance Transfer Learning and Deep Learning Techniques</t>
        </is>
      </c>
      <c r="B1375" s="86" t="inlineStr">
        <is>
          <t>G. Kher; V. Singh; N. Dabas; R. Bala</t>
        </is>
      </c>
      <c r="C1375" s="86" t="n">
        <v>2023</v>
      </c>
      <c r="D1375" s="5" t="inlineStr">
        <is>
          <t>Outcome not related to interest</t>
        </is>
      </c>
      <c r="E1375" s="86" t="n"/>
      <c r="F1375" s="86" t="n"/>
    </row>
    <row r="1376" ht="16" customHeight="1" s="55">
      <c r="A1376" s="86" t="inlineStr">
        <is>
          <t>A Study on Diabetic Retinopathy using Deep Learning Algorithms</t>
        </is>
      </c>
      <c r="B1376" s="86" t="inlineStr">
        <is>
          <t>S. Khanapur; L. Patil</t>
        </is>
      </c>
      <c r="C1376" s="86" t="n">
        <v>2023</v>
      </c>
      <c r="D1376" s="5" t="inlineStr">
        <is>
          <t>Outcome not related to interest</t>
        </is>
      </c>
      <c r="E1376" s="86" t="n"/>
      <c r="F1376" s="86" t="n"/>
    </row>
    <row r="1377" ht="16" customHeight="1" s="55">
      <c r="A1377" s="86" t="inlineStr">
        <is>
          <t>DDNet: Diabetic Retinopathy Detection System Using Skip Connection-based Upgraded Feature Block</t>
        </is>
      </c>
      <c r="B1377" s="86" t="inlineStr">
        <is>
          <t>U. Khan; M. Khan; A. Elsaddik; W. Gueaieb</t>
        </is>
      </c>
      <c r="C1377" s="86" t="n">
        <v>2023</v>
      </c>
      <c r="D1377" s="5" t="inlineStr">
        <is>
          <t>Outcome not related to interest</t>
        </is>
      </c>
      <c r="E1377" s="86" t="n"/>
      <c r="F1377" s="86" t="n"/>
    </row>
    <row r="1378" ht="16" customHeight="1" s="55">
      <c r="A1378" s="86" t="inlineStr">
        <is>
          <t>Competency Comparison of Deep Neural Networks for Identifying Gender in Color Fundus Photographs</t>
        </is>
      </c>
      <c r="B1378" s="86" t="inlineStr">
        <is>
          <t>M. A. A. Khan; M. H. Ali; N. Saha; M. S. S. Shoumik; S. Biswas</t>
        </is>
      </c>
      <c r="C1378" s="86" t="n">
        <v>2023</v>
      </c>
      <c r="D1378" s="5" t="inlineStr">
        <is>
          <t>Outcome not related to interest</t>
        </is>
      </c>
      <c r="E1378" s="86" t="n"/>
      <c r="F1378" s="86" t="n"/>
    </row>
    <row r="1379" ht="16" customHeight="1" s="55">
      <c r="A1379" s="86" t="inlineStr">
        <is>
          <t>Combining CNNs for the Detection of Diabetic Retinopathy</t>
        </is>
      </c>
      <c r="B1379" s="86" t="inlineStr">
        <is>
          <t>N. Khalid; M. Deriche</t>
        </is>
      </c>
      <c r="C1379" s="86" t="n">
        <v>2023</v>
      </c>
      <c r="D1379" s="5" t="inlineStr">
        <is>
          <t>Outcome not related to interest</t>
        </is>
      </c>
      <c r="E1379" s="86" t="n"/>
      <c r="F1379" s="86" t="n"/>
    </row>
    <row r="1380" ht="16" customHeight="1" s="55">
      <c r="A1380" s="86" t="inlineStr">
        <is>
          <t>Identification and Classification of Retinal Diseases by Using Deep Learning Models</t>
        </is>
      </c>
      <c r="B1380" s="86" t="inlineStr">
        <is>
          <t>N. B. Khalaf; H. K. Aljobouri; M. S. Najim</t>
        </is>
      </c>
      <c r="C1380" s="86" t="n">
        <v>2023</v>
      </c>
      <c r="D1380" s="5" t="inlineStr">
        <is>
          <t>Outcome not related to interest</t>
        </is>
      </c>
      <c r="E1380" s="86" t="n"/>
      <c r="F1380" s="86" t="n"/>
    </row>
    <row r="1381" ht="16" customHeight="1" s="55">
      <c r="A1381" s="86" t="inlineStr">
        <is>
          <t>A Technique for Detecting Diabetic Retinopathy at All Stages Using Deep Learning</t>
        </is>
      </c>
      <c r="B1381" s="86" t="inlineStr">
        <is>
          <t>S. Keerthe; C. Meghana; T. Varshith; M. Dhanush; G. L. Sumalata</t>
        </is>
      </c>
      <c r="C1381" s="86" t="n">
        <v>2023</v>
      </c>
      <c r="D1381" s="5" t="inlineStr">
        <is>
          <t>Outcome not related to interest</t>
        </is>
      </c>
      <c r="E1381" s="86" t="n"/>
      <c r="F1381" s="86" t="n"/>
    </row>
    <row r="1382" ht="16" customHeight="1" s="55">
      <c r="A1382" s="86" t="inlineStr">
        <is>
          <t>Eye Disease Classification Using ResNet-18 Deep Learning Architecture</t>
        </is>
      </c>
      <c r="B1382" s="86" t="inlineStr">
        <is>
          <t>G. Kaur; N. Sharma; R. Chauhan; S. Kukreti; R. Gupta</t>
        </is>
      </c>
      <c r="C1382" s="86" t="n">
        <v>2023</v>
      </c>
      <c r="D1382" s="5" t="inlineStr">
        <is>
          <t>Outcome not related to interest</t>
        </is>
      </c>
      <c r="E1382" s="86" t="n"/>
      <c r="F1382" s="86" t="n"/>
    </row>
    <row r="1383" ht="16" customHeight="1" s="55">
      <c r="A1383" s="86" t="inlineStr">
        <is>
          <t>Design and Implementation of Multi-Retinal Disease Classification Using Deep Neural Network</t>
        </is>
      </c>
      <c r="B1383" s="86" t="inlineStr">
        <is>
          <t>K. Karthik; N. Shanmugapriya</t>
        </is>
      </c>
      <c r="C1383" s="86" t="n">
        <v>2023</v>
      </c>
      <c r="D1383" s="5" t="inlineStr">
        <is>
          <t>Outcome not related to interest</t>
        </is>
      </c>
      <c r="E1383" s="86" t="n"/>
      <c r="F1383" s="86" t="n"/>
    </row>
    <row r="1384" ht="16" customHeight="1" s="55">
      <c r="A1384" s="86" t="inlineStr">
        <is>
          <t>Retinal Biomarkers for Detecting Diabetic Retinopaty Using Smartphone-Based Deep Learning Frameworks</t>
        </is>
      </c>
      <c r="B1384" s="86" t="inlineStr">
        <is>
          <t>M. Karakaya; R. S. Aygun</t>
        </is>
      </c>
      <c r="C1384" s="86" t="n">
        <v>2023</v>
      </c>
      <c r="D1384" s="5" t="inlineStr">
        <is>
          <t>Outcome not related to interest</t>
        </is>
      </c>
      <c r="E1384" s="86" t="n"/>
      <c r="F1384" s="86" t="n"/>
    </row>
    <row r="1385" ht="16" customHeight="1" s="55">
      <c r="A1385" s="86" t="inlineStr">
        <is>
          <t>Detection and Classification of Diabetic and Hypertensive Retinopathy Using CNN &amp; Autoencoder</t>
        </is>
      </c>
      <c r="B1385" s="86" t="inlineStr">
        <is>
          <t>A. S. Kapoor; A. Jain; D. K. Vishwakarma</t>
        </is>
      </c>
      <c r="C1385" s="86" t="n">
        <v>2023</v>
      </c>
      <c r="D1385" s="5" t="inlineStr">
        <is>
          <t>Outcome not related to interest</t>
        </is>
      </c>
      <c r="E1385" s="86" t="n"/>
      <c r="F1385" s="86" t="n"/>
    </row>
    <row r="1386" ht="16" customHeight="1" s="55">
      <c r="A1386" s="86" t="inlineStr">
        <is>
          <t>Detection of Diabetic Retinopathy via Pixel Color Amplification Using EfficientNetV2</t>
        </is>
      </c>
      <c r="B1386" s="86" t="inlineStr">
        <is>
          <t>Y. H. Kao; C. L. Lin</t>
        </is>
      </c>
      <c r="C1386" s="86" t="n">
        <v>2023</v>
      </c>
      <c r="D1386" s="5" t="inlineStr">
        <is>
          <t>Outcome not related to interest</t>
        </is>
      </c>
      <c r="E1386" s="86" t="n"/>
      <c r="F1386" s="86" t="n"/>
    </row>
    <row r="1387" ht="16" customHeight="1" s="55">
      <c r="A1387" s="86" t="inlineStr">
        <is>
          <t>Label Smoothing Loss with Dual-Stream Network Using Separable Convolutional Layers for Retinopathy Grading and Classification</t>
        </is>
      </c>
      <c r="B1387" s="86" t="inlineStr">
        <is>
          <t>M. A. Kaloi; A. Ali; I. A. Babar; K. Mujeeb</t>
        </is>
      </c>
      <c r="C1387" s="86" t="n">
        <v>2023</v>
      </c>
      <c r="D1387" s="5" t="inlineStr">
        <is>
          <t>Outcome not related to interest</t>
        </is>
      </c>
      <c r="E1387" s="86" t="n"/>
      <c r="F1387" s="86" t="n"/>
    </row>
    <row r="1388" ht="16" customHeight="1" s="55">
      <c r="A1388" s="86" t="inlineStr">
        <is>
          <t>Classification of EYE Diseases Using Multi-Model CNN</t>
        </is>
      </c>
      <c r="B1388" s="86" t="inlineStr">
        <is>
          <t>S. K; G. J. C; S. B. M; D. Jose</t>
        </is>
      </c>
      <c r="C1388" s="86" t="n">
        <v>2023</v>
      </c>
      <c r="D1388" s="5" t="inlineStr">
        <is>
          <t>Outcome not related to interest</t>
        </is>
      </c>
      <c r="E1388" s="86" t="n"/>
      <c r="F1388" s="86" t="n"/>
    </row>
    <row r="1389" ht="16" customHeight="1" s="55">
      <c r="A1389" s="86" t="inlineStr">
        <is>
          <t>Detection and Classification of Type 2 Diabetes using Machine Learning Techniques</t>
        </is>
      </c>
      <c r="B1389" s="86" t="inlineStr">
        <is>
          <t>N. K</t>
        </is>
      </c>
      <c r="C1389" s="86" t="n">
        <v>2023</v>
      </c>
      <c r="D1389" s="5" t="inlineStr">
        <is>
          <t>Outcome not related to interest</t>
        </is>
      </c>
      <c r="E1389" s="86" t="n"/>
      <c r="F1389" s="86" t="n"/>
    </row>
    <row r="1390" ht="16" customHeight="1" s="55">
      <c r="A1390" s="86" t="inlineStr">
        <is>
          <t>Diabetic Retinopathy Using Deep Learning</t>
        </is>
      </c>
      <c r="B1390" s="86" t="inlineStr">
        <is>
          <t>S. Joshi; R. Kumar; P. K. Rai; S. Garg</t>
        </is>
      </c>
      <c r="C1390" s="86" t="n">
        <v>2023</v>
      </c>
      <c r="D1390" s="5" t="inlineStr">
        <is>
          <t>Outcome not related to interest</t>
        </is>
      </c>
      <c r="E1390" s="86" t="n"/>
      <c r="F1390" s="86" t="n"/>
    </row>
    <row r="1391" ht="16" customHeight="1" s="55">
      <c r="A1391" s="86" t="inlineStr">
        <is>
          <t>AI-IOT: Integrating Artificial Intelligence &amp; Internet of Things for Healthcare Systems</t>
        </is>
      </c>
      <c r="B1391" s="86" t="inlineStr">
        <is>
          <t>S. Joshi; N. Gupta; S. Burmi; Y. Sharma</t>
        </is>
      </c>
      <c r="C1391" s="86" t="n">
        <v>2023</v>
      </c>
      <c r="D1391" s="5" t="inlineStr">
        <is>
          <t>Outcome not related to interest</t>
        </is>
      </c>
      <c r="E1391" s="86" t="n"/>
      <c r="F1391" s="86" t="n"/>
    </row>
    <row r="1392" ht="16" customHeight="1" s="55">
      <c r="A1392" s="86" t="inlineStr">
        <is>
          <t>GAN-based Image-to-Image Translation of Fundus Photography: Topcon to Eidon</t>
        </is>
      </c>
      <c r="B1392" s="86" t="inlineStr">
        <is>
          <t>J. Joo; J. Seo; G. Choi; S. C. Kim</t>
        </is>
      </c>
      <c r="C1392" s="86" t="n">
        <v>2023</v>
      </c>
      <c r="D1392" s="5" t="inlineStr">
        <is>
          <t>Outcome not related to interest</t>
        </is>
      </c>
      <c r="E1392" s="86" t="n"/>
      <c r="F1392" s="86" t="n"/>
    </row>
    <row r="1393" ht="16" customHeight="1" s="55">
      <c r="A1393" s="86" t="inlineStr">
        <is>
          <t>Eye Disease Detection using MobiNet</t>
        </is>
      </c>
      <c r="B1393" s="86" t="inlineStr">
        <is>
          <t>V. Jolly; Y. Patel; S. Shah; J. Ramteke</t>
        </is>
      </c>
      <c r="C1393" s="86" t="n">
        <v>2023</v>
      </c>
      <c r="D1393" s="5" t="inlineStr">
        <is>
          <t>Outcome not related to interest</t>
        </is>
      </c>
      <c r="E1393" s="86" t="n"/>
      <c r="F1393" s="86" t="n"/>
    </row>
    <row r="1394" ht="16" customHeight="1" s="55">
      <c r="A1394" s="86" t="inlineStr">
        <is>
          <t>Application of Transfer Learning Approach for Diabetic Retinopathy Classification</t>
        </is>
      </c>
      <c r="B1394" s="86" t="inlineStr">
        <is>
          <t>N. Jiwani; K. Gupta; M. H. U. Sharif; R. Datta; F. Habib; N. Afreen</t>
        </is>
      </c>
      <c r="C1394" s="86" t="n">
        <v>2023</v>
      </c>
      <c r="D1394" s="5" t="inlineStr">
        <is>
          <t>Outcome not related to interest</t>
        </is>
      </c>
      <c r="E1394" s="86" t="n"/>
      <c r="F1394" s="86" t="n"/>
    </row>
    <row r="1395" ht="16" customHeight="1" s="55">
      <c r="A1395" s="86" t="inlineStr">
        <is>
          <t>Semi-Supervised Learning with Out-of-Distribution Unlabeled Samples for Retinal Image Classification</t>
        </is>
      </c>
      <c r="B1395" s="86" t="inlineStr">
        <is>
          <t>L. Jia; J. Guo; W. Zhang; H. Liu; N. Wang; H. Li</t>
        </is>
      </c>
      <c r="C1395" s="86" t="n">
        <v>2023</v>
      </c>
      <c r="D1395" s="5" t="inlineStr">
        <is>
          <t>Outcome not related to interest</t>
        </is>
      </c>
      <c r="E1395" s="86" t="n"/>
      <c r="F1395" s="86" t="n"/>
    </row>
    <row r="1396" ht="16" customHeight="1" s="55">
      <c r="A1396" s="86" t="inlineStr">
        <is>
          <t>Diabetic Retinopathy Severity Classification based on attention mechanism</t>
        </is>
      </c>
      <c r="B1396" s="86" t="inlineStr">
        <is>
          <t>A. Jha; S. A. V</t>
        </is>
      </c>
      <c r="C1396" s="86" t="n">
        <v>2023</v>
      </c>
      <c r="D1396" s="5" t="inlineStr">
        <is>
          <t>Outcome not related to interest</t>
        </is>
      </c>
      <c r="E1396" s="86" t="n"/>
      <c r="F1396" s="86" t="n"/>
    </row>
    <row r="1397" ht="16" customHeight="1" s="55">
      <c r="A1397" s="86" t="inlineStr">
        <is>
          <t>Automatic Classification of Retinal Fundus Images for Diabetic Retinopathy Detection</t>
        </is>
      </c>
      <c r="B1397" s="86" t="inlineStr">
        <is>
          <t>J. M. Jerry; T. Thomas; R. Pugalenthi; T. Thomas</t>
        </is>
      </c>
      <c r="C1397" s="86" t="n">
        <v>2023</v>
      </c>
      <c r="D1397" s="5" t="inlineStr">
        <is>
          <t>Outcome not related to interest</t>
        </is>
      </c>
      <c r="E1397" s="86" t="n"/>
      <c r="F1397" s="86" t="n"/>
    </row>
    <row r="1398" ht="16" customHeight="1" s="55">
      <c r="A1398" s="86" t="inlineStr">
        <is>
          <t>Advancements in diabetes prediction: a comprehensive study utilizing advanced machine learning techniques</t>
        </is>
      </c>
      <c r="B1398" s="86" t="inlineStr">
        <is>
          <t>M. A. Jaziri; T. Bonny</t>
        </is>
      </c>
      <c r="C1398" s="86" t="n">
        <v>2023</v>
      </c>
      <c r="D1398" s="5" t="inlineStr">
        <is>
          <t>Outcome not related to interest</t>
        </is>
      </c>
      <c r="E1398" s="86" t="n"/>
      <c r="F1398" s="86" t="n"/>
    </row>
    <row r="1399" ht="16" customHeight="1" s="55">
      <c r="A1399" s="86" t="inlineStr">
        <is>
          <t>Inspecting Transfer Learning Models for Diabetic Retinopathy Detection</t>
        </is>
      </c>
      <c r="B1399" s="86" t="inlineStr">
        <is>
          <t>S. Jain; K. Srinivas; A. C. Kumari</t>
        </is>
      </c>
      <c r="C1399" s="86" t="n">
        <v>2023</v>
      </c>
      <c r="D1399" s="5" t="inlineStr">
        <is>
          <t>Outcome not related to interest</t>
        </is>
      </c>
      <c r="E1399" s="86" t="n"/>
      <c r="F1399" s="86" t="n"/>
    </row>
    <row r="1400" ht="16" customHeight="1" s="55">
      <c r="A1400" s="86" t="inlineStr">
        <is>
          <t>Segmentation Using the IC2T Model and Classification of Diabetic Retinopathy Using the Rock Hyrax Swarm-Based Coordination Attention Mechanism</t>
        </is>
      </c>
      <c r="B1400" s="86" t="inlineStr">
        <is>
          <t>B. N. Jagadesh; M. G. Karthik; D. Siri; S. K. K. Shareef; S. V. Mantena; R. Vatambeti</t>
        </is>
      </c>
      <c r="C1400" s="86" t="n">
        <v>2023</v>
      </c>
      <c r="D1400" s="5" t="inlineStr">
        <is>
          <t>Outcome not related to interest</t>
        </is>
      </c>
      <c r="E1400" s="86" t="n"/>
      <c r="F1400" s="86" t="n"/>
    </row>
    <row r="1401" ht="16" customHeight="1" s="55">
      <c r="A1401" s="86" t="inlineStr">
        <is>
          <t>MobileNetV2-based Deep Learning for Retinal Disease Classification on a Mobile Application</t>
        </is>
      </c>
      <c r="B1401" s="86" t="inlineStr">
        <is>
          <t>P. Intaraprasit; T. H. Bui; M. P. Paing</t>
        </is>
      </c>
      <c r="C1401" s="86" t="n">
        <v>2023</v>
      </c>
      <c r="D1401" s="5" t="inlineStr">
        <is>
          <t>Outcome not related to interest</t>
        </is>
      </c>
      <c r="E1401" s="86" t="n"/>
      <c r="F1401" s="86" t="n"/>
    </row>
    <row r="1402" ht="16" customHeight="1" s="55">
      <c r="A1402" s="86" t="inlineStr">
        <is>
          <t>An Ensemble Deep Learning Model for Diabetic Retinopathy Identification</t>
        </is>
      </c>
      <c r="B1402" s="86" t="inlineStr">
        <is>
          <t>M. M. Hussain; P. Shanmugam; K. Moorthi; U. Sakthivelu; A. Rajasekar; R. N. Kumar</t>
        </is>
      </c>
      <c r="C1402" s="86" t="n">
        <v>2023</v>
      </c>
      <c r="D1402" s="5" t="inlineStr">
        <is>
          <t>Outcome not related to interest</t>
        </is>
      </c>
      <c r="E1402" s="86" t="n"/>
      <c r="F1402" s="86" t="n"/>
    </row>
    <row r="1403" ht="16" customHeight="1" s="55">
      <c r="A1403" s="86" t="inlineStr">
        <is>
          <t>Diabetic Retinopathy Detection with Weighted Cross-Entropy Loss</t>
        </is>
      </c>
      <c r="B1403" s="86" t="inlineStr">
        <is>
          <t>J. Huang; X. Wu; H. Qi; J. Cheng; T. Zhang</t>
        </is>
      </c>
      <c r="C1403" s="86" t="n">
        <v>2023</v>
      </c>
      <c r="D1403" s="5" t="inlineStr">
        <is>
          <t>Outcome not related to interest</t>
        </is>
      </c>
      <c r="E1403" s="86" t="n"/>
      <c r="F1403" s="86" t="n"/>
    </row>
    <row r="1404" ht="16" customHeight="1" s="55">
      <c r="A1404" s="86" t="inlineStr">
        <is>
          <t>Image Quality Assessment Guided Collaborative Learning of Image Enhancement and Classification for Diabetic Retinopathy Grading</t>
        </is>
      </c>
      <c r="B1404" s="86" t="inlineStr">
        <is>
          <t>Q. Hou; P. Cao; L. Jia; L. Chen; J. Yang; O. R. Zaiane</t>
        </is>
      </c>
      <c r="C1404" s="86" t="n">
        <v>2023</v>
      </c>
      <c r="D1404" s="5" t="inlineStr">
        <is>
          <t>Outcome not related to interest</t>
        </is>
      </c>
      <c r="E1404" s="86" t="n"/>
      <c r="F1404" s="86" t="n"/>
    </row>
    <row r="1405" ht="16" customHeight="1" s="55">
      <c r="A1405" s="86" t="inlineStr">
        <is>
          <t>Collaborative Differentially Private Federated Learning Framework for the Prediction of Diabetic Retinopathy</t>
        </is>
      </c>
      <c r="B1405" s="86" t="inlineStr">
        <is>
          <t>I. Hossain; S. Puppala; S. Talukder</t>
        </is>
      </c>
      <c r="C1405" s="86" t="n">
        <v>2023</v>
      </c>
      <c r="D1405" s="5" t="inlineStr">
        <is>
          <t>Outcome not related to interest</t>
        </is>
      </c>
      <c r="E1405" s="86" t="n"/>
      <c r="F1405" s="86" t="n"/>
    </row>
    <row r="1406" ht="16" customHeight="1" s="55">
      <c r="A1406" s="86" t="inlineStr">
        <is>
          <t>Multi-label Ophthalmological Disease Classification Using Vision Transformers</t>
        </is>
      </c>
      <c r="B1406" s="86" t="inlineStr">
        <is>
          <t>I. Hisham; M. I. Khalil; H. Abbas</t>
        </is>
      </c>
      <c r="C1406" s="86" t="n">
        <v>2023</v>
      </c>
      <c r="D1406" s="5" t="inlineStr">
        <is>
          <t>Outcome not related to interest</t>
        </is>
      </c>
      <c r="E1406" s="86" t="n"/>
      <c r="F1406" s="86" t="n"/>
    </row>
    <row r="1407" ht="16" customHeight="1" s="55">
      <c r="A1407" s="86" t="inlineStr">
        <is>
          <t>Diabetic Retinopathy Prediction and Analysis Using Ensemble Classifier in Deep Learning Technique</t>
        </is>
      </c>
      <c r="B1407" s="86" t="inlineStr">
        <is>
          <t>S. V. Hemanth; A. Saravanan</t>
        </is>
      </c>
      <c r="C1407" s="86" t="n">
        <v>2023</v>
      </c>
      <c r="D1407" s="5" t="inlineStr">
        <is>
          <t>Outcome not related to interest</t>
        </is>
      </c>
      <c r="E1407" s="86" t="n"/>
      <c r="F1407" s="86" t="n"/>
    </row>
    <row r="1408" ht="16" customHeight="1" s="55">
      <c r="A1408" s="86" t="inlineStr">
        <is>
          <t>Comparative Deep Learning Architectures to Detect Tiny Features in Ophthalmic Imaging</t>
        </is>
      </c>
      <c r="B1408" s="86" t="inlineStr">
        <is>
          <t>J. Hartmann; P. Maloca; C. Huwyler; M. Melchior; S. Suter</t>
        </is>
      </c>
      <c r="C1408" s="86" t="n">
        <v>2023</v>
      </c>
      <c r="D1408" s="5" t="inlineStr">
        <is>
          <t>Outcome not related to interest</t>
        </is>
      </c>
      <c r="E1408" s="86" t="n"/>
      <c r="F1408" s="86" t="n"/>
    </row>
    <row r="1409" ht="16" customHeight="1" s="55">
      <c r="A1409" s="86" t="inlineStr">
        <is>
          <t>An Experimental Approach Pertaining To Transfer Learning Models For Classification Of Diabetic Retinopathy</t>
        </is>
      </c>
      <c r="B1409" s="86" t="inlineStr">
        <is>
          <t>Harsh; S. Negi; C. Garg; M. Bisra; M. Pandey</t>
        </is>
      </c>
      <c r="C1409" s="86" t="n">
        <v>2023</v>
      </c>
      <c r="D1409" s="5" t="inlineStr">
        <is>
          <t>Outcome not related to interest</t>
        </is>
      </c>
      <c r="E1409" s="86" t="n"/>
      <c r="F1409" s="86" t="n"/>
    </row>
    <row r="1410" ht="16" customHeight="1" s="55">
      <c r="A1410" s="86" t="inlineStr">
        <is>
          <t>EfficientNet-based Diabetic Retinopathy Classification Using Data Augmentation</t>
        </is>
      </c>
      <c r="B1410" s="86" t="inlineStr">
        <is>
          <t>K. T. Harithalakshmi; R. Rajan; K. M. Nadheera</t>
        </is>
      </c>
      <c r="C1410" s="86" t="n">
        <v>2023</v>
      </c>
      <c r="D1410" s="5" t="inlineStr">
        <is>
          <t>Outcome not related to interest</t>
        </is>
      </c>
      <c r="E1410" s="86" t="n"/>
      <c r="F1410" s="86" t="n"/>
    </row>
    <row r="1411" ht="16" customHeight="1" s="55">
      <c r="A1411" s="86" t="inlineStr">
        <is>
          <t>Multi-Class Classification of Retinal Fundus Images in Diabetic Retinopathy Using Probabilistic Neural Network</t>
        </is>
      </c>
      <c r="B1411" s="86" t="inlineStr">
        <is>
          <t>M. Hardas; S. Mathur; M. Dadhich; A. Bhaskar; K. K. Hiran</t>
        </is>
      </c>
      <c r="C1411" s="86" t="n">
        <v>2023</v>
      </c>
      <c r="D1411" s="5" t="inlineStr">
        <is>
          <t>Outcome not related to interest</t>
        </is>
      </c>
      <c r="E1411" s="86" t="n"/>
      <c r="F1411" s="86" t="n"/>
    </row>
    <row r="1412" ht="16" customHeight="1" s="55">
      <c r="A1412" s="86" t="inlineStr">
        <is>
          <t>Diagnosis of Diabetic Retinopathy with Transfer Learning and Metaheuristic Algorithms</t>
        </is>
      </c>
      <c r="B1412" s="86" t="inlineStr">
        <is>
          <t>O. F. Gurcan; O. F. Beyca; M. Olucoglu</t>
        </is>
      </c>
      <c r="C1412" s="86" t="n">
        <v>2023</v>
      </c>
      <c r="D1412" s="5" t="inlineStr">
        <is>
          <t>Outcome not related to interest</t>
        </is>
      </c>
      <c r="E1412" s="86" t="n"/>
      <c r="F1412" s="86" t="n"/>
    </row>
    <row r="1413" ht="16" customHeight="1" s="55">
      <c r="A1413" s="86" t="inlineStr">
        <is>
          <t>Deep Learning-Based Classification of Eye Conditions</t>
        </is>
      </c>
      <c r="B1413" s="86" t="inlineStr">
        <is>
          <t>I. Gupta; A. Kumar; P. Sharma</t>
        </is>
      </c>
      <c r="C1413" s="86" t="n">
        <v>2023</v>
      </c>
      <c r="D1413" s="5" t="inlineStr">
        <is>
          <t>Outcome not related to interest</t>
        </is>
      </c>
      <c r="E1413" s="86" t="n"/>
      <c r="F1413" s="86" t="n"/>
    </row>
    <row r="1414" ht="16" customHeight="1" s="55">
      <c r="A1414" s="86" t="inlineStr">
        <is>
          <t>Detection of Diabetic Retinopathy using Transfer Learning</t>
        </is>
      </c>
      <c r="B1414" s="86" t="inlineStr">
        <is>
          <t>H. Gupta; N. Arora; S. Dutt; A. Gulati; A. Gulati</t>
        </is>
      </c>
      <c r="C1414" s="86" t="n">
        <v>2023</v>
      </c>
      <c r="D1414" s="5" t="inlineStr">
        <is>
          <t>Outcome not related to interest</t>
        </is>
      </c>
      <c r="E1414" s="86" t="n"/>
      <c r="F1414" s="86" t="n"/>
    </row>
    <row r="1415" ht="16" customHeight="1" s="55">
      <c r="A1415" s="86" t="inlineStr">
        <is>
          <t>Learning Self-Supervised Representations for Label Efficient Cross-Domain Knowledge Transfer on Diabetic Retinopathy Fundus Images</t>
        </is>
      </c>
      <c r="B1415" s="86" t="inlineStr">
        <is>
          <t>E. Gupta; V. Gupta; M. Chopra; P. C. Chhipa; M. Liwicki</t>
        </is>
      </c>
      <c r="C1415" s="86" t="n">
        <v>2023</v>
      </c>
      <c r="D1415" s="5" t="inlineStr">
        <is>
          <t>Outcome not related to interest</t>
        </is>
      </c>
      <c r="E1415" s="86" t="n"/>
      <c r="F1415" s="86" t="n"/>
    </row>
    <row r="1416" ht="16" customHeight="1" s="55">
      <c r="A1416" s="86" t="inlineStr">
        <is>
          <t>A Deep Learning Fusion Approach for Automatic Diagnosis and Grading of Diabetic Retinopathy</t>
        </is>
      </c>
      <c r="B1416" s="86" t="inlineStr">
        <is>
          <t>A. Gupta; V. Kumar</t>
        </is>
      </c>
      <c r="C1416" s="86" t="n">
        <v>2023</v>
      </c>
      <c r="D1416" s="5" t="inlineStr">
        <is>
          <t>Outcome not related to interest</t>
        </is>
      </c>
      <c r="E1416" s="86" t="n"/>
      <c r="F1416" s="86" t="n"/>
    </row>
    <row r="1417" ht="16" customHeight="1" s="55">
      <c r="A1417" s="86" t="inlineStr">
        <is>
          <t>Classification of Diabetic Retinopathy using pre-trained Deep Learning Model- DenseNet 121</t>
        </is>
      </c>
      <c r="B1417" s="86" t="inlineStr">
        <is>
          <t>S. Gulati; K. Guleria; N. Goyal</t>
        </is>
      </c>
      <c r="C1417" s="86" t="n">
        <v>2023</v>
      </c>
      <c r="D1417" s="5" t="inlineStr">
        <is>
          <t>Outcome not related to interest</t>
        </is>
      </c>
      <c r="E1417" s="86" t="n"/>
      <c r="F1417" s="86" t="n"/>
    </row>
    <row r="1418" ht="16" customHeight="1" s="55">
      <c r="A1418" s="86" t="inlineStr">
        <is>
          <t>Federated Ophthalmic Disease Diagnosis Based on Weighted Averaging and Local Optimization</t>
        </is>
      </c>
      <c r="B1418" s="86" t="inlineStr">
        <is>
          <t>A. Gu; X. Jiang; Z. Gao; J. Ye; K. Jin; X. Zhang</t>
        </is>
      </c>
      <c r="C1418" s="86" t="n">
        <v>2023</v>
      </c>
      <c r="D1418" s="5" t="inlineStr">
        <is>
          <t>Outcome not related to interest</t>
        </is>
      </c>
      <c r="E1418" s="86" t="n"/>
      <c r="F1418" s="86" t="n"/>
    </row>
    <row r="1419" ht="16" customHeight="1" s="55">
      <c r="A1419" s="86" t="inlineStr">
        <is>
          <t>Detection of Glaucoma and Diabetic Retinopathy Using Fundus Images and Deep Learning</t>
        </is>
      </c>
      <c r="B1419" s="86" t="inlineStr">
        <is>
          <t>K. S. Grover; N. Kapoor</t>
        </is>
      </c>
      <c r="C1419" s="86" t="n">
        <v>2023</v>
      </c>
      <c r="D1419" s="5" t="inlineStr">
        <is>
          <t>Outcome not related to interest</t>
        </is>
      </c>
      <c r="E1419" s="86" t="n"/>
      <c r="F1419" s="86" t="n"/>
    </row>
    <row r="1420" ht="16" customHeight="1" s="55">
      <c r="A1420" s="86" t="inlineStr">
        <is>
          <t>DRS-UNET: A Deep Learning Approach for Diabetic Retinopathy Detection and Segmentation from Fundus Images</t>
        </is>
      </c>
      <c r="B1420" s="86" t="inlineStr">
        <is>
          <t>R. S. Gound; B. M. Sundaram; B. V. S. K; P. A. Azmat; M. N. U. Habib; A. Garg</t>
        </is>
      </c>
      <c r="C1420" s="86" t="n">
        <v>2023</v>
      </c>
      <c r="D1420" s="5" t="inlineStr">
        <is>
          <t>Outcome not related to interest</t>
        </is>
      </c>
      <c r="E1420" s="86" t="n"/>
      <c r="F1420" s="86" t="n"/>
    </row>
    <row r="1421" ht="16" customHeight="1" s="55">
      <c r="A1421" s="86" t="inlineStr">
        <is>
          <t>Grading of Diabetic Retinopathy using iterative Attentional Feature Fusion (iAFF)</t>
        </is>
      </c>
      <c r="B1421" s="86" t="inlineStr">
        <is>
          <t>S. Goswami; K. Ashwini; R. Dash</t>
        </is>
      </c>
      <c r="C1421" s="86" t="n">
        <v>2023</v>
      </c>
      <c r="D1421" s="5" t="inlineStr">
        <is>
          <t>Outcome not related to interest</t>
        </is>
      </c>
      <c r="E1421" s="86" t="n"/>
      <c r="F1421" s="86" t="n"/>
    </row>
    <row r="1422" ht="16" customHeight="1" s="55">
      <c r="A1422" s="86" t="inlineStr">
        <is>
          <t>EVO-Based Optimization of Deep Learning Models for Diabetic Retinopathy Diagnosis</t>
        </is>
      </c>
      <c r="B1422" s="86" t="inlineStr">
        <is>
          <t>K. S. Gorde; A. A. Gurjar</t>
        </is>
      </c>
      <c r="C1422" s="86" t="n">
        <v>2023</v>
      </c>
      <c r="D1422" s="5" t="inlineStr">
        <is>
          <t>Outcome not related to interest</t>
        </is>
      </c>
      <c r="E1422" s="86" t="n"/>
      <c r="F1422" s="86" t="n"/>
    </row>
    <row r="1423" ht="16" customHeight="1" s="55">
      <c r="A1423" s="86" t="inlineStr">
        <is>
          <t>A Comparative Analysis on Diabetic Retinopathy using Deep Learning and Nature based Optimization Algorithms</t>
        </is>
      </c>
      <c r="B1423" s="86" t="inlineStr">
        <is>
          <t>K. S. Gorde; A. A. Gurjar</t>
        </is>
      </c>
      <c r="C1423" s="86" t="n">
        <v>2023</v>
      </c>
      <c r="D1423" s="5" t="inlineStr">
        <is>
          <t>Outcome not related to interest</t>
        </is>
      </c>
      <c r="E1423" s="86" t="n"/>
      <c r="F1423" s="86" t="n"/>
    </row>
    <row r="1424" ht="16" customHeight="1" s="55">
      <c r="A1424" s="86" t="inlineStr">
        <is>
          <t>Diabetic Retinopathy Detection &amp; Classification using Efficient Net Model</t>
        </is>
      </c>
      <c r="B1424" s="86" t="inlineStr">
        <is>
          <t>I. Giroti; J. K. A. Das; N. M. Harshith; G. Thahniyath</t>
        </is>
      </c>
      <c r="C1424" s="86" t="n">
        <v>2023</v>
      </c>
      <c r="D1424" s="5" t="inlineStr">
        <is>
          <t>Outcome not related to interest</t>
        </is>
      </c>
      <c r="E1424" s="86" t="n"/>
      <c r="F1424" s="86" t="n"/>
    </row>
    <row r="1425" ht="16" customHeight="1" s="55">
      <c r="A1425" s="86" t="inlineStr">
        <is>
          <t>Transfer-Ensemble Learning Based Deep Convolutional Neural Networks for Diabetic Retinopathy Classification</t>
        </is>
      </c>
      <c r="B1425" s="86" t="inlineStr">
        <is>
          <t>S. Ghosh; A. Chatterjee</t>
        </is>
      </c>
      <c r="C1425" s="86" t="n">
        <v>2023</v>
      </c>
      <c r="D1425" s="5" t="inlineStr">
        <is>
          <t>Outcome not related to interest</t>
        </is>
      </c>
      <c r="E1425" s="86" t="n"/>
      <c r="F1425" s="86" t="n"/>
    </row>
    <row r="1426" ht="16" customHeight="1" s="55">
      <c r="A1426" s="86" t="inlineStr">
        <is>
          <t>MLPDR: High Performance ML Algorithms for the Prediction of Diabetes Retinopathy</t>
        </is>
      </c>
      <c r="B1426" s="86" t="inlineStr">
        <is>
          <t>S. M. G; K. Chokkanathan; T. R. M; M. M. Musthafa; K. V; V. V</t>
        </is>
      </c>
      <c r="C1426" s="86" t="n">
        <v>2023</v>
      </c>
      <c r="D1426" s="5" t="inlineStr">
        <is>
          <t>Outcome not related to interest</t>
        </is>
      </c>
      <c r="E1426" s="86" t="n"/>
      <c r="F1426" s="86" t="n"/>
    </row>
    <row r="1427" ht="16" customHeight="1" s="55">
      <c r="A1427" s="86" t="inlineStr">
        <is>
          <t>Grading of Diabetic Retinopathy Images Based on Graph Neural Network</t>
        </is>
      </c>
      <c r="B1427" s="86" t="inlineStr">
        <is>
          <t>M. Feng; J. Wang; K. Wen; J. Sun</t>
        </is>
      </c>
      <c r="C1427" s="86" t="n">
        <v>2023</v>
      </c>
      <c r="D1427" s="5" t="inlineStr">
        <is>
          <t>Outcome not related to interest</t>
        </is>
      </c>
      <c r="E1427" s="86" t="n"/>
      <c r="F1427" s="86" t="n"/>
    </row>
    <row r="1428" ht="16" customHeight="1" s="55">
      <c r="A1428" s="86" t="inlineStr">
        <is>
          <t>Using a Machine Learning Algorithm and Fundus Images to Treat Diabetic Retinopathy</t>
        </is>
      </c>
      <c r="B1428" s="86" t="inlineStr">
        <is>
          <t>M. F. M; V. M. S; S. Hemavathi; P. L. Jancy; K. J. Velmurugan; Kiruthika</t>
        </is>
      </c>
      <c r="C1428" s="86" t="n">
        <v>2023</v>
      </c>
      <c r="D1428" s="5" t="inlineStr">
        <is>
          <t>Outcome not related to interest</t>
        </is>
      </c>
      <c r="E1428" s="86" t="n"/>
      <c r="F1428" s="86" t="n"/>
    </row>
    <row r="1429" ht="16" customHeight="1" s="55">
      <c r="A1429" s="86" t="inlineStr">
        <is>
          <t>Generative Adversarial Networks for Anomaly Detection in Biomedical Imaging: A Study on Seven Medical Image Datasets</t>
        </is>
      </c>
      <c r="B1429" s="86" t="inlineStr">
        <is>
          <t>M. Esmaeili; A. Toosi; A. Roshanpoor; V. Changizi; M. Ghazisaeedi; A. Rahmim; M. Sabokrou</t>
        </is>
      </c>
      <c r="C1429" s="86" t="n">
        <v>2023</v>
      </c>
      <c r="D1429" s="5" t="inlineStr">
        <is>
          <t>Outcome not related to interest</t>
        </is>
      </c>
      <c r="E1429" s="86" t="n"/>
      <c r="F1429" s="86" t="n"/>
    </row>
    <row r="1430" ht="16" customHeight="1" s="55">
      <c r="A1430" s="86" t="inlineStr">
        <is>
          <t>Revolutionizing Diabetic Retinopathy Diagnosis:Harnessing Automated Deep Learning Classifiers for Early Detection</t>
        </is>
      </c>
      <c r="B1430" s="86" t="inlineStr">
        <is>
          <t>P. M. Ebin; N. M. Mathkunti; U. Ananthanagu</t>
        </is>
      </c>
      <c r="C1430" s="86" t="n">
        <v>2023</v>
      </c>
      <c r="D1430" s="5" t="inlineStr">
        <is>
          <t>Outcome not related to interest</t>
        </is>
      </c>
      <c r="E1430" s="86" t="n"/>
      <c r="F1430" s="86" t="n"/>
    </row>
    <row r="1431" ht="16" customHeight="1" s="55">
      <c r="A1431" s="86" t="inlineStr">
        <is>
          <t>Advancements in Medical Imaging for Sugar Diagnosis Using Modified Hopfield Neural Network</t>
        </is>
      </c>
      <c r="B1431" s="86" t="inlineStr">
        <is>
          <t>A. K. Dwivedi; A. Mohan; S. Singh; A. Goel; E. Singh</t>
        </is>
      </c>
      <c r="C1431" s="86" t="n">
        <v>2023</v>
      </c>
      <c r="D1431" s="5" t="inlineStr">
        <is>
          <t>Outcome not related to interest</t>
        </is>
      </c>
      <c r="E1431" s="86" t="n"/>
      <c r="F1431" s="86" t="n"/>
    </row>
    <row r="1432" ht="16" customHeight="1" s="55">
      <c r="A1432" s="86" t="inlineStr">
        <is>
          <t>Classification of Diabetic Retinopathy Using Image Pre-processing Techniques</t>
        </is>
      </c>
      <c r="B1432" s="86" t="inlineStr">
        <is>
          <t>K. Duvvuri; H. Kanisettypalli; M. T. Nikhil; S. Palaniswamy</t>
        </is>
      </c>
      <c r="C1432" s="86" t="n">
        <v>2023</v>
      </c>
      <c r="D1432" s="5" t="inlineStr">
        <is>
          <t>Outcome not related to interest</t>
        </is>
      </c>
      <c r="E1432" s="86" t="n"/>
      <c r="F1432" s="86" t="n"/>
    </row>
    <row r="1433" ht="16" customHeight="1" s="55">
      <c r="A1433" s="86" t="inlineStr">
        <is>
          <t>Detection and Classification of Diabetic Retinopathy using Deep Learning</t>
        </is>
      </c>
      <c r="B1433" s="86" t="inlineStr">
        <is>
          <t>D. R. Dungrani; H. R. Lotia; D. V. Parikh; S. R. A; K. Kavitha</t>
        </is>
      </c>
      <c r="C1433" s="86" t="n">
        <v>2023</v>
      </c>
      <c r="D1433" s="5" t="inlineStr">
        <is>
          <t>Outcome not related to interest</t>
        </is>
      </c>
      <c r="E1433" s="86" t="n"/>
      <c r="F1433" s="86" t="n"/>
    </row>
    <row r="1434" ht="16" customHeight="1" s="55">
      <c r="A1434" s="86" t="inlineStr">
        <is>
          <t>Machine Learning Based Classification for Diabetic Retinopathy Detection using Retinal Images</t>
        </is>
      </c>
      <c r="B1434" s="86" t="inlineStr">
        <is>
          <t>D. Diksha; G. Gagandeep</t>
        </is>
      </c>
      <c r="C1434" s="86" t="n">
        <v>2023</v>
      </c>
      <c r="D1434" s="5" t="inlineStr">
        <is>
          <t>Outcome not related to interest</t>
        </is>
      </c>
      <c r="E1434" s="86" t="n"/>
      <c r="F1434" s="86" t="n"/>
    </row>
    <row r="1435" ht="16" customHeight="1" s="55">
      <c r="A1435" s="86" t="inlineStr">
        <is>
          <t>Improved Transfer Learning Approach for Diabetic Retinopathy Screening</t>
        </is>
      </c>
      <c r="B1435" s="86" t="inlineStr">
        <is>
          <t>S. Dhir; R. Bala; N. Goel; A. Sharma</t>
        </is>
      </c>
      <c r="C1435" s="86" t="n">
        <v>2023</v>
      </c>
      <c r="D1435" s="5" t="inlineStr">
        <is>
          <t>Outcome not related to interest</t>
        </is>
      </c>
      <c r="E1435" s="86" t="n"/>
      <c r="F1435" s="86" t="n"/>
    </row>
    <row r="1436" ht="16" customHeight="1" s="55">
      <c r="A1436" s="86" t="inlineStr">
        <is>
          <t>Diabetic Retinopathy classification through fundus images using Deep Learning</t>
        </is>
      </c>
      <c r="B1436" s="86" t="inlineStr">
        <is>
          <t>T. Dharani; M. P. Prasamsa; B. L. Sirisha; J. B. Vivek; B. H. Vardhan</t>
        </is>
      </c>
      <c r="C1436" s="86" t="n">
        <v>2023</v>
      </c>
      <c r="D1436" s="5" t="inlineStr">
        <is>
          <t>Outcome not related to interest</t>
        </is>
      </c>
      <c r="E1436" s="86" t="n"/>
      <c r="F1436" s="86" t="n"/>
    </row>
    <row r="1437" ht="16" customHeight="1" s="55">
      <c r="A1437" s="86" t="inlineStr">
        <is>
          <t>An Ensemble Learning Approach to Detect the Presence of Diabetic Retinopathy based on Inception Module</t>
        </is>
      </c>
      <c r="B1437" s="86" t="inlineStr">
        <is>
          <t>T. A. Devi; S. Yamana; G. H. R; V. S. K. Sangita; S. Kulkarni</t>
        </is>
      </c>
      <c r="C1437" s="86" t="n">
        <v>2023</v>
      </c>
      <c r="D1437" s="5" t="inlineStr">
        <is>
          <t>Outcome not related to interest</t>
        </is>
      </c>
      <c r="E1437" s="86" t="n"/>
      <c r="F1437" s="86" t="n"/>
    </row>
    <row r="1438" ht="16" customHeight="1" s="55">
      <c r="A1438" s="86" t="inlineStr">
        <is>
          <t>An Early diagnosis of diabetic retinopathy using ConvNeXt</t>
        </is>
      </c>
      <c r="B1438" s="86" t="inlineStr">
        <is>
          <t>Devanshi; S. K. Baliarsingh; P. P. Dev</t>
        </is>
      </c>
      <c r="C1438" s="86" t="n">
        <v>2023</v>
      </c>
      <c r="D1438" s="5" t="inlineStr">
        <is>
          <t>Outcome not related to interest</t>
        </is>
      </c>
      <c r="E1438" s="86" t="n"/>
      <c r="F1438" s="86" t="n"/>
    </row>
    <row r="1439" ht="16" customHeight="1" s="55">
      <c r="A1439" s="86" t="inlineStr">
        <is>
          <t>Remote Diabetic Retinopathy Screening with IoT and Machine Learning on Edge Devices</t>
        </is>
      </c>
      <c r="B1439" s="86" t="inlineStr">
        <is>
          <t>R. Deshmukh; S. Shalini; V. D. Vani; K. N. N. M; L. H. Alzubaidi; V. H. Raj</t>
        </is>
      </c>
      <c r="C1439" s="86" t="n">
        <v>2023</v>
      </c>
      <c r="D1439" s="5" t="inlineStr">
        <is>
          <t>Outcome not related to interest</t>
        </is>
      </c>
      <c r="E1439" s="86" t="n"/>
      <c r="F1439" s="86" t="n"/>
    </row>
    <row r="1440" ht="16" customHeight="1" s="55">
      <c r="A1440" s="86" t="inlineStr">
        <is>
          <t>Eye Disease Classification Based on Fundus Images Using Convolutional Neural Network</t>
        </is>
      </c>
      <c r="B1440" s="86" t="inlineStr">
        <is>
          <t>R. Denandra; A. Fariza; Y. R. Prayogi</t>
        </is>
      </c>
      <c r="C1440" s="86" t="n">
        <v>2023</v>
      </c>
      <c r="D1440" s="5" t="inlineStr">
        <is>
          <t>Outcome not related to interest</t>
        </is>
      </c>
      <c r="E1440" s="86" t="n"/>
      <c r="F1440" s="86" t="n"/>
    </row>
    <row r="1441" ht="16" customHeight="1" s="55">
      <c r="A1441" s="86" t="inlineStr">
        <is>
          <t>Transfer Learning Approach for Classification of Diabetic Retinopathy using Fine-Tuned ResNet50 Deep Learning Model</t>
        </is>
      </c>
      <c r="B1441" s="86" t="inlineStr">
        <is>
          <t>S. Dasari; B. Poonguzhali; M. Rayudu</t>
        </is>
      </c>
      <c r="C1441" s="86" t="n">
        <v>2023</v>
      </c>
      <c r="D1441" s="5" t="inlineStr">
        <is>
          <t>Outcome not related to interest</t>
        </is>
      </c>
      <c r="E1441" s="86" t="n"/>
      <c r="F1441" s="86" t="n"/>
    </row>
    <row r="1442" ht="16" customHeight="1" s="55">
      <c r="A1442" s="86" t="inlineStr">
        <is>
          <t>Recent Trends in Early Detection of Ocular Disorders Using Image Processing, Signal Processing, Quantum Models and Related Approaches</t>
        </is>
      </c>
      <c r="B1442" s="86" t="inlineStr">
        <is>
          <t>S. Das; S. Bose; S. Mitra; A. Sen</t>
        </is>
      </c>
      <c r="C1442" s="86" t="n">
        <v>2023</v>
      </c>
      <c r="D1442" s="5" t="inlineStr">
        <is>
          <t>Outcome not related to interest</t>
        </is>
      </c>
      <c r="E1442" s="86" t="n"/>
      <c r="F1442" s="86" t="n"/>
    </row>
    <row r="1443" ht="16" customHeight="1" s="55">
      <c r="A1443" s="86" t="inlineStr">
        <is>
          <t>CNN Transfer Learning for Two Stage Classification of Diabetic Retinopathy using Fundus Images</t>
        </is>
      </c>
      <c r="B1443" s="86" t="inlineStr">
        <is>
          <t>P. K. Das; S. Pumrin</t>
        </is>
      </c>
      <c r="C1443" s="86" t="n">
        <v>2023</v>
      </c>
      <c r="D1443" s="5" t="inlineStr">
        <is>
          <t>Outcome not related to interest</t>
        </is>
      </c>
      <c r="E1443" s="86" t="n"/>
      <c r="F1443" s="86" t="n"/>
    </row>
    <row r="1444" ht="16" customHeight="1" s="55">
      <c r="A1444" s="86" t="inlineStr">
        <is>
          <t>Improving Diabetic Retinopathy Detection Using Patchwise CNN with biGRU Model</t>
        </is>
      </c>
      <c r="B1444" s="86" t="inlineStr">
        <is>
          <t>M. B. Darici; G. Yigit</t>
        </is>
      </c>
      <c r="C1444" s="86" t="n">
        <v>2023</v>
      </c>
      <c r="D1444" s="5" t="inlineStr">
        <is>
          <t>Outcome not related to interest</t>
        </is>
      </c>
      <c r="E1444" s="86" t="n"/>
      <c r="F1444" s="86" t="n"/>
    </row>
    <row r="1445" ht="16" customHeight="1" s="55">
      <c r="A1445" s="86" t="inlineStr">
        <is>
          <t>Diabetic Retinopathy Detection with Enhanced Vision Transformers: The Twins-PCPVT Solution</t>
        </is>
      </c>
      <c r="B1445" s="86" t="inlineStr">
        <is>
          <t>W. Dai; C. Mou; J. Wu; X. Ye</t>
        </is>
      </c>
      <c r="C1445" s="86" t="n">
        <v>2023</v>
      </c>
      <c r="D1445" s="5" t="inlineStr">
        <is>
          <t>Outcome not related to interest</t>
        </is>
      </c>
      <c r="E1445" s="86" t="n"/>
      <c r="F1445" s="86" t="n"/>
    </row>
    <row r="1446" ht="16" customHeight="1" s="55">
      <c r="A1446" s="86" t="inlineStr">
        <is>
          <t>Eye Diseases Classification Using Transfer Learning of Residual Neural Network</t>
        </is>
      </c>
      <c r="B1446" s="86" t="inlineStr">
        <is>
          <t>Y. Cui; R. Sun; B. Liu; Z. Liu; T. T. Toe</t>
        </is>
      </c>
      <c r="C1446" s="86" t="n">
        <v>2023</v>
      </c>
      <c r="D1446" s="5" t="inlineStr">
        <is>
          <t>Outcome not related to interest</t>
        </is>
      </c>
      <c r="E1446" s="86" t="n"/>
      <c r="F1446" s="86" t="n"/>
    </row>
    <row r="1447" ht="16" customHeight="1" s="55">
      <c r="A1447" s="86" t="inlineStr">
        <is>
          <t>Deep Learning-based Diabetic Retinopathy Detection for automated health assessment</t>
        </is>
      </c>
      <c r="B1447" s="86" t="inlineStr">
        <is>
          <t>E. Chowdhury; S. Basak</t>
        </is>
      </c>
      <c r="C1447" s="86" t="n">
        <v>2023</v>
      </c>
      <c r="D1447" s="5" t="inlineStr">
        <is>
          <t>Outcome not related to interest</t>
        </is>
      </c>
      <c r="E1447" s="86" t="n"/>
      <c r="F1447" s="86" t="n"/>
    </row>
    <row r="1448" ht="16" customHeight="1" s="55">
      <c r="A1448" s="86" t="inlineStr">
        <is>
          <t>Diabetic Retinopathy Detection: A Transfer Learning Based Approach for Accurate Diagnosis</t>
        </is>
      </c>
      <c r="B1448" s="86" t="inlineStr">
        <is>
          <t>C. Choudhary; A. Mathur; R. Gupta</t>
        </is>
      </c>
      <c r="C1448" s="86" t="n">
        <v>2023</v>
      </c>
      <c r="D1448" s="5" t="inlineStr">
        <is>
          <t>Outcome not related to interest</t>
        </is>
      </c>
      <c r="E1448" s="86" t="n"/>
      <c r="F1448" s="86" t="n"/>
    </row>
    <row r="1449" ht="16" customHeight="1" s="55">
      <c r="A1449" s="86" t="inlineStr">
        <is>
          <t>Retinal Image Analysis for Early Deduction of Diabetic Retinopathy</t>
        </is>
      </c>
      <c r="B1449" s="86" t="inlineStr">
        <is>
          <t>A. Chinnasamy; P. Selvakumari</t>
        </is>
      </c>
      <c r="C1449" s="86" t="n">
        <v>2023</v>
      </c>
      <c r="D1449" s="5" t="inlineStr">
        <is>
          <t>Outcome not related to interest</t>
        </is>
      </c>
      <c r="E1449" s="86" t="n"/>
      <c r="F1449" s="86" t="n"/>
    </row>
    <row r="1450" ht="16" customHeight="1" s="55">
      <c r="A1450" s="86" t="inlineStr">
        <is>
          <t>A Novel Multi-Scale Network based on Class Attention for Diabetes Retinopathy</t>
        </is>
      </c>
      <c r="B1450" s="86" t="inlineStr">
        <is>
          <t>H. Chen; R. Wu; C. Tao; W. Xu; H. Yu; H. Liu; C. Xu; M. Jian</t>
        </is>
      </c>
      <c r="C1450" s="86" t="n">
        <v>2023</v>
      </c>
      <c r="D1450" s="5" t="inlineStr">
        <is>
          <t>Outcome not related to interest</t>
        </is>
      </c>
      <c r="E1450" s="86" t="n"/>
      <c r="F1450" s="86" t="n"/>
    </row>
    <row r="1451" ht="16" customHeight="1" s="55">
      <c r="A1451" s="86" t="inlineStr">
        <is>
          <t>Dual-Path and Multi-Scale Enhanced Attention Network for Retinal Diseases Classification Using Ultra-Wide-Field Images</t>
        </is>
      </c>
      <c r="B1451" s="86" t="inlineStr">
        <is>
          <t>F. Chen; S. Ma; J. Hao; M. Liu; Y. Gu; Q. Yi; J. Zhang; Y. Zhao</t>
        </is>
      </c>
      <c r="C1451" s="86" t="n">
        <v>2023</v>
      </c>
      <c r="D1451" s="5" t="inlineStr">
        <is>
          <t>Outcome not related to interest</t>
        </is>
      </c>
      <c r="E1451" s="86" t="n"/>
      <c r="F1451" s="86" t="n"/>
    </row>
    <row r="1452" ht="16" customHeight="1" s="55">
      <c r="A1452" s="86" t="inlineStr">
        <is>
          <t>Classification of Retinal Fundus Images using VGG16 and Inception V3</t>
        </is>
      </c>
      <c r="B1452" s="86" t="inlineStr">
        <is>
          <t>R. Chavan; D. Pete</t>
        </is>
      </c>
      <c r="C1452" s="86" t="n">
        <v>2023</v>
      </c>
      <c r="D1452" s="5" t="inlineStr">
        <is>
          <t>Outcome not related to interest</t>
        </is>
      </c>
      <c r="E1452" s="86" t="n"/>
      <c r="F1452" s="86" t="n"/>
    </row>
    <row r="1453" ht="16" customHeight="1" s="55">
      <c r="A1453" s="86" t="inlineStr">
        <is>
          <t>Ocular Disease Recognition with Ensemble Techniques</t>
        </is>
      </c>
      <c r="B1453" s="86" t="inlineStr">
        <is>
          <t>A. Chaudhari; S. Joshi; P. Hublikar</t>
        </is>
      </c>
      <c r="C1453" s="86" t="n">
        <v>2023</v>
      </c>
      <c r="D1453" s="5" t="inlineStr">
        <is>
          <t>Outcome not related to interest</t>
        </is>
      </c>
      <c r="E1453" s="86" t="n"/>
      <c r="F1453" s="86" t="n"/>
    </row>
    <row r="1454" ht="16" customHeight="1" s="55">
      <c r="A1454" s="86" t="inlineStr">
        <is>
          <t>Efficient Transfer Learning Model for Automated Diabetic Retinopathy Grading in Resource-Constrained Environment</t>
        </is>
      </c>
      <c r="B1454" s="86" t="inlineStr">
        <is>
          <t>K. Chandrakala; Y. Tulasi; D. Shanmukhi; M. RaveenaRai; D. SriHarshitha</t>
        </is>
      </c>
      <c r="C1454" s="86" t="n">
        <v>2023</v>
      </c>
      <c r="D1454" s="5" t="inlineStr">
        <is>
          <t>Outcome not related to interest</t>
        </is>
      </c>
      <c r="E1454" s="86" t="n"/>
      <c r="F1454" s="86" t="n"/>
    </row>
    <row r="1455" ht="16" customHeight="1" s="55">
      <c r="A1455" s="86" t="inlineStr">
        <is>
          <t>Smart Solution Using Digital Twin and IoT for Diabetic Retinopathy</t>
        </is>
      </c>
      <c r="B1455" s="86" t="inlineStr">
        <is>
          <t>Y. Chahal; R. Tokas; K. Sharma</t>
        </is>
      </c>
      <c r="C1455" s="86" t="n">
        <v>2023</v>
      </c>
      <c r="D1455" s="5" t="inlineStr">
        <is>
          <t>Outcome not related to interest</t>
        </is>
      </c>
      <c r="E1455" s="86" t="n"/>
      <c r="F1455" s="86" t="n"/>
    </row>
    <row r="1456" ht="16" customHeight="1" s="55">
      <c r="A1456" s="86" t="inlineStr">
        <is>
          <t>Improving Detection of Diabetic Retinopathy in Low-Resolution Images via Latent Diffusion</t>
        </is>
      </c>
      <c r="B1456" s="86" t="inlineStr">
        <is>
          <t>J. K. Catapang; D. E. Santiago; I. T. Isip-Tan</t>
        </is>
      </c>
      <c r="C1456" s="86" t="n">
        <v>2023</v>
      </c>
      <c r="D1456" s="5" t="inlineStr">
        <is>
          <t>Outcome not related to interest</t>
        </is>
      </c>
      <c r="E1456" s="86" t="n"/>
      <c r="F1456" s="86" t="n"/>
    </row>
    <row r="1457" ht="16" customHeight="1" s="55">
      <c r="A1457" s="86" t="inlineStr">
        <is>
          <t>Diabetic Retinopathy Grading based on a Sparse Network Fusion of Heterogeneous ConvNeXt Models with Category Attention</t>
        </is>
      </c>
      <c r="B1457" s="86" t="inlineStr">
        <is>
          <t>A. Castillo-Munguia; G. Benitez-Garcia; J. Olivares-Mercado; H. Takahashi</t>
        </is>
      </c>
      <c r="C1457" s="86" t="n">
        <v>2023</v>
      </c>
      <c r="D1457" s="5" t="inlineStr">
        <is>
          <t>Outcome not related to interest</t>
        </is>
      </c>
      <c r="E1457" s="86" t="n"/>
      <c r="F1457" s="86" t="n"/>
    </row>
    <row r="1458" ht="16" customHeight="1" s="55">
      <c r="A1458" s="86" t="inlineStr">
        <is>
          <t>IKD+: Reliable Low Complexity Deep Models for Retinopathy Classification</t>
        </is>
      </c>
      <c r="B1458" s="86" t="inlineStr">
        <is>
          <t>S. B. Brahmavar; R. Rajesh; T. Dash; L. Vig; T. T. Verlekar; M. M. Hasan; T. Khan; E. Meijering; A. Srinivasan</t>
        </is>
      </c>
      <c r="C1458" s="86" t="n">
        <v>2023</v>
      </c>
      <c r="D1458" s="5" t="inlineStr">
        <is>
          <t>Outcome not related to interest</t>
        </is>
      </c>
      <c r="E1458" s="86" t="n"/>
      <c r="F1458" s="86" t="n"/>
    </row>
    <row r="1459" ht="16" customHeight="1" s="55">
      <c r="A1459" s="86" t="inlineStr">
        <is>
          <t>Features Extraction and Concatenation of Transfer Learning Models for Early Diagnosis of Diabetic Retinopathy</t>
        </is>
      </c>
      <c r="B1459" s="86" t="inlineStr">
        <is>
          <t>O. Boukadoum; N. Benblidia</t>
        </is>
      </c>
      <c r="C1459" s="86" t="n">
        <v>2023</v>
      </c>
      <c r="D1459" s="5" t="inlineStr">
        <is>
          <t>Outcome not related to interest</t>
        </is>
      </c>
      <c r="E1459" s="86" t="n"/>
      <c r="F1459" s="86" t="n"/>
    </row>
    <row r="1460" ht="16" customHeight="1" s="55">
      <c r="A1460" s="86" t="inlineStr">
        <is>
          <t>Estimating Risk Levels and Epidemiology of Diabetic Retinopathy using Transfer Learning</t>
        </is>
      </c>
      <c r="B1460" s="86" t="inlineStr">
        <is>
          <t>A. Biswas; R. Banik</t>
        </is>
      </c>
      <c r="C1460" s="86" t="n">
        <v>2023</v>
      </c>
      <c r="D1460" s="5" t="inlineStr">
        <is>
          <t>Outcome not related to interest</t>
        </is>
      </c>
      <c r="E1460" s="86" t="n"/>
      <c r="F1460" s="86" t="n"/>
    </row>
    <row r="1461" ht="16" customHeight="1" s="55">
      <c r="A1461" s="86" t="inlineStr">
        <is>
          <t>Detection of Diabetic Retinopathy using Deep Learning</t>
        </is>
      </c>
      <c r="B1461" s="86" t="inlineStr">
        <is>
          <t>P. Bidwai; S. Gite; K. Patwa; K. Maheshwari; T. S. Bais; K. Batavia</t>
        </is>
      </c>
      <c r="C1461" s="86" t="n">
        <v>2023</v>
      </c>
      <c r="D1461" s="5" t="inlineStr">
        <is>
          <t>Outcome not related to interest</t>
        </is>
      </c>
      <c r="E1461" s="86" t="n"/>
      <c r="F1461" s="86" t="n"/>
    </row>
    <row r="1462" ht="16" customHeight="1" s="55">
      <c r="A1462" s="86" t="inlineStr">
        <is>
          <t>A Quantitative Assessment of the Implementation of Neural Network Methods for Identifying and Recognizing Signs of Diabetic Retinopathy</t>
        </is>
      </c>
      <c r="B1462" s="86" t="inlineStr">
        <is>
          <t>N. Bhaskar; K. B. Kumar; V. Srisuma; A. Vivekananda; B. Archana; R. Suhasini</t>
        </is>
      </c>
      <c r="C1462" s="86" t="n">
        <v>2023</v>
      </c>
      <c r="D1462" s="5" t="inlineStr">
        <is>
          <t>Outcome not related to interest</t>
        </is>
      </c>
      <c r="E1462" s="86" t="n"/>
      <c r="F1462" s="86" t="n"/>
    </row>
    <row r="1463" ht="16" customHeight="1" s="55">
      <c r="A1463" s="86" t="inlineStr">
        <is>
          <t>Dynamic Convolutional Attention for Classification of Diabetic Retinopathy</t>
        </is>
      </c>
      <c r="B1463" s="86" t="inlineStr">
        <is>
          <t>S. Bharathraj; S. Sudharson; R. Annamalai; P. N. S. Prakash</t>
        </is>
      </c>
      <c r="C1463" s="86" t="n">
        <v>2023</v>
      </c>
      <c r="D1463" s="5" t="inlineStr">
        <is>
          <t>Outcome not related to interest</t>
        </is>
      </c>
      <c r="E1463" s="86" t="n"/>
      <c r="F1463" s="86" t="n"/>
    </row>
    <row r="1464" ht="16" customHeight="1" s="55">
      <c r="A1464" s="86" t="inlineStr">
        <is>
          <t>BERTImages for Diabetic Retinopathy Classification</t>
        </is>
      </c>
      <c r="B1464" s="86" t="inlineStr">
        <is>
          <t>N. Benabdessalam; S. Mabrouk; F. Ghorbel</t>
        </is>
      </c>
      <c r="C1464" s="86" t="n">
        <v>2023</v>
      </c>
      <c r="D1464" s="5" t="inlineStr">
        <is>
          <t>Outcome not related to interest</t>
        </is>
      </c>
      <c r="E1464" s="86" t="n"/>
      <c r="F1464" s="86" t="n"/>
    </row>
    <row r="1465" ht="16" customHeight="1" s="55">
      <c r="A1465" s="86" t="inlineStr">
        <is>
          <t>Preprocessing, Feature Extraction, and Classification Methodologies on Diabetic Retinopathy Using Fundus Images</t>
        </is>
      </c>
      <c r="B1465" s="86" t="inlineStr">
        <is>
          <t>V. Basreddy; S. Veerashetty</t>
        </is>
      </c>
      <c r="C1465" s="86" t="n">
        <v>2023</v>
      </c>
      <c r="D1465" s="5" t="inlineStr">
        <is>
          <t>Outcome not related to interest</t>
        </is>
      </c>
      <c r="E1465" s="86" t="n"/>
      <c r="F1465" s="86" t="n"/>
    </row>
    <row r="1466" ht="16" customHeight="1" s="55">
      <c r="A1466" s="86" t="inlineStr">
        <is>
          <t>Performance Analysis of Deep Learning based Segmentation of Retinal Lesions in Fundus Images</t>
        </is>
      </c>
      <c r="B1466" s="86" t="inlineStr">
        <is>
          <t>N. K. Baskaran; T. R. Mahesh</t>
        </is>
      </c>
      <c r="C1466" s="86" t="n">
        <v>2023</v>
      </c>
      <c r="D1466" s="5" t="inlineStr">
        <is>
          <t>Outcome not related to interest</t>
        </is>
      </c>
      <c r="E1466" s="86" t="n"/>
      <c r="F1466" s="86" t="n"/>
    </row>
    <row r="1467" ht="16" customHeight="1" s="55">
      <c r="A1467" s="86" t="inlineStr">
        <is>
          <t>Automatic Detection of Diabetic Retinopathy from Fundus Images using Machine Learning Based Approaches</t>
        </is>
      </c>
      <c r="B1467" s="86" t="inlineStr">
        <is>
          <t>W. H. Bangyal; R. Shakir; A. Ashraf; Z. U. Qayyum; N. U. Rehman</t>
        </is>
      </c>
      <c r="C1467" s="86" t="n">
        <v>2023</v>
      </c>
      <c r="D1467" s="5" t="inlineStr">
        <is>
          <t>Outcome not related to interest</t>
        </is>
      </c>
      <c r="E1467" s="86" t="n"/>
      <c r="F1467" s="86" t="n"/>
    </row>
    <row r="1468" ht="16" customHeight="1" s="55">
      <c r="A1468" s="86" t="inlineStr">
        <is>
          <t>Feature Pool Exploitation for Disease Detection in Fundus Images</t>
        </is>
      </c>
      <c r="B1468" s="86" t="inlineStr">
        <is>
          <t>S. Y. X. Bang; K. N. T. Le; D. T. Le; H. Choo</t>
        </is>
      </c>
      <c r="C1468" s="86" t="n">
        <v>2023</v>
      </c>
      <c r="D1468" s="5" t="inlineStr">
        <is>
          <t>Outcome not related to interest</t>
        </is>
      </c>
      <c r="E1468" s="86" t="n"/>
      <c r="F1468" s="86" t="n"/>
    </row>
    <row r="1469" ht="16" customHeight="1" s="55">
      <c r="A1469" s="86" t="inlineStr">
        <is>
          <t>Automated Diabetic Retinopathy Prediction Using a Deep Learning Based Modified DenseNet</t>
        </is>
      </c>
      <c r="B1469" s="86" t="inlineStr">
        <is>
          <t>D. Balakrishnan; U. Mariappan; V. P. S. Reddy; D. V. Chaitanya; N. Manohar; L. S. Reddy</t>
        </is>
      </c>
      <c r="C1469" s="86" t="n">
        <v>2023</v>
      </c>
      <c r="D1469" s="5" t="inlineStr">
        <is>
          <t>Outcome not related to interest</t>
        </is>
      </c>
      <c r="E1469" s="86" t="n"/>
      <c r="F1469" s="86" t="n"/>
    </row>
    <row r="1470" ht="16" customHeight="1" s="55">
      <c r="A1470" s="86" t="inlineStr">
        <is>
          <t>Application of Convolutional Neural Networks for Automated Diabetic Retinopathy Detection from Retinal Images</t>
        </is>
      </c>
      <c r="B1470" s="86" t="inlineStr">
        <is>
          <t>Z. B. T. Baig; X. Han; M. Azam; R. Ahmad; E. Ali</t>
        </is>
      </c>
      <c r="C1470" s="86" t="n">
        <v>2023</v>
      </c>
      <c r="D1470" s="5" t="inlineStr">
        <is>
          <t>Outcome not related to interest</t>
        </is>
      </c>
      <c r="E1470" s="86" t="n"/>
      <c r="F1470" s="86" t="n"/>
    </row>
    <row r="1471" ht="16" customHeight="1" s="55">
      <c r="A1471" s="86" t="inlineStr">
        <is>
          <t>Severity Grading of Diabetic Retinopathy Using CNN</t>
        </is>
      </c>
      <c r="B1471" s="86" t="inlineStr">
        <is>
          <t>S. M. Baba; I. Bala</t>
        </is>
      </c>
      <c r="C1471" s="86" t="n">
        <v>2023</v>
      </c>
      <c r="D1471" s="5" t="inlineStr">
        <is>
          <t>Outcome not related to interest</t>
        </is>
      </c>
      <c r="E1471" s="86" t="n"/>
      <c r="F1471" s="86" t="n"/>
    </row>
    <row r="1472" ht="16" customHeight="1" s="55">
      <c r="A1472" s="86" t="inlineStr">
        <is>
          <t>Retina Vigil: Deep Learning-Enabled Retinopathy Detection for Early Disease Assessment</t>
        </is>
      </c>
      <c r="B1472" s="86" t="inlineStr">
        <is>
          <t>N. B; P. M. Bangi; K. R. P; M. U. R; J. L</t>
        </is>
      </c>
      <c r="C1472" s="86" t="n">
        <v>2023</v>
      </c>
      <c r="D1472" s="5" t="inlineStr">
        <is>
          <t>Outcome not related to interest</t>
        </is>
      </c>
      <c r="E1472" s="86" t="n"/>
      <c r="F1472" s="86" t="n"/>
    </row>
    <row r="1473" ht="16" customHeight="1" s="55">
      <c r="A1473" s="86" t="inlineStr">
        <is>
          <t>Prediction of Diabetic Retinopathy Based on Risk Factors Using Machine Learning Algorithms</t>
        </is>
      </c>
      <c r="B1473" s="86" t="inlineStr">
        <is>
          <t>N. T. N. N. Azamen; A. M. Ali; N. A. A. Aziz</t>
        </is>
      </c>
      <c r="C1473" s="86" t="n">
        <v>2023</v>
      </c>
      <c r="D1473" s="5" t="inlineStr">
        <is>
          <t>Outcome not related to interest</t>
        </is>
      </c>
      <c r="E1473" s="86" t="n"/>
      <c r="F1473" s="86" t="n"/>
    </row>
    <row r="1474" ht="16" customHeight="1" s="55">
      <c r="A1474" s="86" t="inlineStr">
        <is>
          <t>Domain Modelling For A Lightweight Convolutional Network Focused On Automated Exudate Detection in Retinal Fundus Images</t>
        </is>
      </c>
      <c r="B1474" s="86" t="inlineStr">
        <is>
          <t>B. A. Aydin; M. Hussain; R. Hill; H. Al-Aqrabi</t>
        </is>
      </c>
      <c r="C1474" s="86" t="n">
        <v>2023</v>
      </c>
      <c r="D1474" s="5" t="inlineStr">
        <is>
          <t>Outcome not related to interest</t>
        </is>
      </c>
      <c r="E1474" s="86" t="n"/>
      <c r="F1474" s="86" t="n"/>
    </row>
    <row r="1475" ht="16" customHeight="1" s="55">
      <c r="A1475" s="86" t="inlineStr">
        <is>
          <t>Systematic Development of AI-Enabled Diagnostic Systems for Glaucoma and Diabetic Retinopathy</t>
        </is>
      </c>
      <c r="B1475" s="86" t="inlineStr">
        <is>
          <t>K. Aurangzeb; R. S. Alharthi; S. I. Haider; M. Alhussein</t>
        </is>
      </c>
      <c r="C1475" s="86" t="n">
        <v>2023</v>
      </c>
      <c r="D1475" s="5" t="inlineStr">
        <is>
          <t>Outcome not related to interest</t>
        </is>
      </c>
      <c r="E1475" s="86" t="n"/>
      <c r="F1475" s="86" t="n"/>
    </row>
    <row r="1476" ht="16" customHeight="1" s="55">
      <c r="A1476" s="86" t="inlineStr">
        <is>
          <t>Enhancing Diabetic Retinopathy Diagnosis with Inception v4: A Deep Learning Approach</t>
        </is>
      </c>
      <c r="B1476" s="86" t="inlineStr">
        <is>
          <t>R. Athilakshmi; R. Jansi; R. Upadhyay</t>
        </is>
      </c>
      <c r="C1476" s="86" t="n">
        <v>2023</v>
      </c>
      <c r="D1476" s="5" t="inlineStr">
        <is>
          <t>Outcome not related to interest</t>
        </is>
      </c>
      <c r="E1476" s="86" t="n"/>
      <c r="F1476" s="86" t="n"/>
    </row>
    <row r="1477" ht="16" customHeight="1" s="55">
      <c r="A1477" s="86" t="inlineStr">
        <is>
          <t>Detection of Retinal Diseases Using Advanced Deep Learning Algorithms</t>
        </is>
      </c>
      <c r="B1477" s="86" t="inlineStr">
        <is>
          <t>N. Ashok; K. G. Rao</t>
        </is>
      </c>
      <c r="C1477" s="86" t="n">
        <v>2023</v>
      </c>
      <c r="D1477" s="5" t="inlineStr">
        <is>
          <t>Outcome not related to interest</t>
        </is>
      </c>
      <c r="E1477" s="86" t="n"/>
      <c r="F1477" s="86" t="n"/>
    </row>
    <row r="1478" ht="16" customHeight="1" s="55">
      <c r="A1478" s="86" t="inlineStr">
        <is>
          <t>Fundus images classification for Diabetic Retinopathy using machine learning technique</t>
        </is>
      </c>
      <c r="B1478" s="86" t="inlineStr">
        <is>
          <t>J. I. Arif; M. A. Islam; S. R. Eyana; M. M. Mimmi; R. Rahman</t>
        </is>
      </c>
      <c r="C1478" s="86" t="n">
        <v>2023</v>
      </c>
      <c r="D1478" s="5" t="inlineStr">
        <is>
          <t>Outcome not related to interest</t>
        </is>
      </c>
      <c r="E1478" s="86" t="n"/>
      <c r="F1478" s="86" t="n"/>
    </row>
    <row r="1479" ht="16" customHeight="1" s="55">
      <c r="A1479" s="86" t="inlineStr">
        <is>
          <t>Detection and Classification of Early Stage Diabetic Retinopathy using Artificial Intelligence and Image Processing</t>
        </is>
      </c>
      <c r="B1479" s="86" t="inlineStr">
        <is>
          <t>C. Aravindan; R. Vasuki</t>
        </is>
      </c>
      <c r="C1479" s="86" t="n">
        <v>2023</v>
      </c>
      <c r="D1479" s="5" t="inlineStr">
        <is>
          <t>Outcome not related to interest</t>
        </is>
      </c>
      <c r="E1479" s="86" t="n"/>
      <c r="F1479" s="86" t="n"/>
    </row>
    <row r="1480" ht="16" customHeight="1" s="55">
      <c r="A1480" s="86" t="inlineStr">
        <is>
          <t>Automatic Microaneurysyms Detection using Deep Learning from Fundus Images</t>
        </is>
      </c>
      <c r="B1480" s="86" t="inlineStr">
        <is>
          <t>A. Aphale; D. R. Pandey; K. P. Paradeshi</t>
        </is>
      </c>
      <c r="C1480" s="86" t="n">
        <v>2023</v>
      </c>
      <c r="D1480" s="5" t="inlineStr">
        <is>
          <t>Outcome not related to interest</t>
        </is>
      </c>
      <c r="E1480" s="86" t="n"/>
      <c r="F1480" s="86" t="n"/>
    </row>
    <row r="1481" ht="16" customHeight="1" s="55">
      <c r="A1481" s="86" t="inlineStr">
        <is>
          <t>Ocular Disease Detection Using Convolutional Neural Networks</t>
        </is>
      </c>
      <c r="B1481" s="86" t="inlineStr">
        <is>
          <t>A. Anbarasi; M. Revathi; S. Vijayalakshmi</t>
        </is>
      </c>
      <c r="C1481" s="86" t="n">
        <v>2023</v>
      </c>
      <c r="D1481" s="5" t="inlineStr">
        <is>
          <t>Outcome not related to interest</t>
        </is>
      </c>
      <c r="E1481" s="86" t="n"/>
      <c r="F1481" s="86" t="n"/>
    </row>
    <row r="1482" ht="16" customHeight="1" s="55">
      <c r="A1482" s="86" t="inlineStr">
        <is>
          <t>Diabetic Net for Diabetic Retinopathy Image Classification Using Deep Convolutional Neural Network</t>
        </is>
      </c>
      <c r="B1482" s="86" t="inlineStr">
        <is>
          <t>W. F. Almayahi; A. H. Najim; K. A. M. Al-Sharhanee</t>
        </is>
      </c>
      <c r="C1482" s="86" t="n">
        <v>2023</v>
      </c>
      <c r="D1482" s="5" t="inlineStr">
        <is>
          <t>Outcome not related to interest</t>
        </is>
      </c>
      <c r="E1482" s="86" t="n"/>
      <c r="F1482" s="86" t="n"/>
    </row>
    <row r="1483" ht="16" customHeight="1" s="55">
      <c r="A1483" s="86" t="inlineStr">
        <is>
          <t>Detection of Diabetic Retinopathy from fundus images using Resnet50</t>
        </is>
      </c>
      <c r="B1483" s="86" t="inlineStr">
        <is>
          <t>S. Ali; S. Raut</t>
        </is>
      </c>
      <c r="C1483" s="86" t="n">
        <v>2023</v>
      </c>
      <c r="D1483" s="5" t="inlineStr">
        <is>
          <t>Outcome not related to interest</t>
        </is>
      </c>
      <c r="E1483" s="86" t="n"/>
      <c r="F1483" s="86" t="n"/>
    </row>
    <row r="1484" ht="16" customHeight="1" s="55">
      <c r="A1484" s="86" t="inlineStr">
        <is>
          <t>A Hybrid Convolutional Neural Network Model for Automatic Diabetic Retinopathy Classification From Fundus Images R</t>
        </is>
      </c>
      <c r="B1484" s="86" t="inlineStr">
        <is>
          <t>G. Ali; A. Dastgir; M. W. Iqbal; M. Anwar; M. Faheem</t>
        </is>
      </c>
      <c r="C1484" s="86" t="n">
        <v>2023</v>
      </c>
      <c r="D1484" s="86" t="inlineStr">
        <is>
          <t>Repeated article</t>
        </is>
      </c>
      <c r="E1484" s="86" t="n"/>
      <c r="F1484" s="86" t="n"/>
    </row>
    <row r="1485" ht="16" customHeight="1" s="55">
      <c r="A1485" s="86" t="inlineStr">
        <is>
          <t>Retinal Fundus Diseases Detection and Identification Using CNN</t>
        </is>
      </c>
      <c r="B1485" s="86" t="inlineStr">
        <is>
          <t>H. Y. Al-Sebaay; H. El-Saadawy; M. N. Al-Berry; M. F. Tolba</t>
        </is>
      </c>
      <c r="C1485" s="86" t="n">
        <v>2023</v>
      </c>
      <c r="D1485" s="5" t="inlineStr">
        <is>
          <t>Outcome not related to interest</t>
        </is>
      </c>
      <c r="E1485" s="86" t="n"/>
      <c r="F1485" s="86" t="n"/>
    </row>
    <row r="1486" ht="16" customHeight="1" s="55">
      <c r="A1486" s="86" t="inlineStr">
        <is>
          <t>Smart Diagnosis System For Diabetic Retinopathy</t>
        </is>
      </c>
      <c r="B1486" s="86" t="inlineStr">
        <is>
          <t>Y. A. Al-Haj; B. A. Al-Badawi; K. M. Al-Nashad; M. M. Al-Falah; A. A. O. Nasr; H. A. Al-Dubaibi</t>
        </is>
      </c>
      <c r="C1486" s="86" t="n">
        <v>2023</v>
      </c>
      <c r="D1486" s="5" t="inlineStr">
        <is>
          <t>Outcome not related to interest</t>
        </is>
      </c>
      <c r="E1486" s="86" t="n"/>
      <c r="F1486" s="86" t="n"/>
    </row>
    <row r="1487" ht="16" customHeight="1" s="55">
      <c r="A1487" s="86" t="inlineStr">
        <is>
          <t>Enhancing Diabetic Retinopathy Detection with an Innovative ACSE-CLF Algorithm: A Deep Learning Approach</t>
        </is>
      </c>
      <c r="B1487" s="86" t="inlineStr">
        <is>
          <t>S. S. Ainapur; V. Virupakshappa; S. S. Veerashetty</t>
        </is>
      </c>
      <c r="C1487" s="86" t="n">
        <v>2023</v>
      </c>
      <c r="D1487" s="5" t="inlineStr">
        <is>
          <t>Outcome not related to interest</t>
        </is>
      </c>
      <c r="E1487" s="86" t="n"/>
      <c r="F1487" s="86" t="n"/>
    </row>
    <row r="1488" ht="16" customHeight="1" s="55">
      <c r="A1488" s="86" t="inlineStr">
        <is>
          <t>Diabetic Retinopathy Detection using Convolutional Neural Networks</t>
        </is>
      </c>
      <c r="B1488" s="86" t="inlineStr">
        <is>
          <t>D. W. Ahmed; F. A. Hashim; N. M. Salem</t>
        </is>
      </c>
      <c r="C1488" s="86" t="n">
        <v>2023</v>
      </c>
      <c r="D1488" s="5" t="inlineStr">
        <is>
          <t>Outcome not related to interest</t>
        </is>
      </c>
      <c r="E1488" s="86" t="n"/>
      <c r="F1488" s="86" t="n"/>
    </row>
    <row r="1489" ht="16" customHeight="1" s="55">
      <c r="A1489" s="86" t="inlineStr">
        <is>
          <t>Diabetic Retinopathy Classification of Fundus Images of eyes using Deep learning Algorithms</t>
        </is>
      </c>
      <c r="B1489" s="86" t="inlineStr">
        <is>
          <t>D. Ahmed; M. A. Hassan; M. Afshan</t>
        </is>
      </c>
      <c r="C1489" s="86" t="n">
        <v>2023</v>
      </c>
      <c r="D1489" s="5" t="inlineStr">
        <is>
          <t>Outcome not related to interest</t>
        </is>
      </c>
      <c r="E1489" s="86" t="n"/>
      <c r="F1489" s="86" t="n"/>
    </row>
    <row r="1490" ht="16" customHeight="1" s="55">
      <c r="A1490" s="86" t="inlineStr">
        <is>
          <t>EfficientNet-based Three Head CNN Model with CLAHE Pre-processing for Accurate Diabetic Retinopathy Detection</t>
        </is>
      </c>
      <c r="B1490" s="86" t="inlineStr">
        <is>
          <t>K. J. Adwaith; A. A. George; S. Ashwin; M. S. Samyuktha; N. S. Karat; G. Sreelekha; P. P. Deepthi</t>
        </is>
      </c>
      <c r="C1490" s="86" t="n">
        <v>2023</v>
      </c>
      <c r="D1490" s="5" t="inlineStr">
        <is>
          <t>Outcome not related to interest</t>
        </is>
      </c>
      <c r="E1490" s="86" t="n"/>
      <c r="F1490" s="86" t="n"/>
    </row>
    <row r="1491" ht="16" customHeight="1" s="55">
      <c r="A1491" s="86" t="inlineStr">
        <is>
          <t>Diabetic Retinopathy Image Recognition Using Artificial Intelligence</t>
        </is>
      </c>
      <c r="B1491" s="86" t="inlineStr">
        <is>
          <t>A. Abirami; R. Kavitha</t>
        </is>
      </c>
      <c r="C1491" s="86" t="n">
        <v>2023</v>
      </c>
      <c r="D1491" s="5" t="inlineStr">
        <is>
          <t>Outcome not related to interest</t>
        </is>
      </c>
      <c r="E1491" s="86" t="n"/>
      <c r="F1491" s="86" t="n"/>
    </row>
    <row r="1492" ht="16" customHeight="1" s="55">
      <c r="A1492" s="86" t="inlineStr">
        <is>
          <t>A Deep Learning approach to detect Diabetic Retinopathy with CNN and ResNet</t>
        </is>
      </c>
      <c r="B1492" s="86" t="inlineStr">
        <is>
          <t>L. A. R; E. N; M. S. P; S. B. C</t>
        </is>
      </c>
      <c r="C1492" s="86" t="n">
        <v>2023</v>
      </c>
      <c r="D1492" s="5" t="inlineStr">
        <is>
          <t>Outcome not related to interest</t>
        </is>
      </c>
      <c r="E1492" s="86" t="n"/>
      <c r="F1492" s="86" t="n"/>
    </row>
    <row r="1493" ht="16" customHeight="1" s="55">
      <c r="A1493" s="86" t="inlineStr">
        <is>
          <t>Detection and Classification of Diabetic Retinopathy Using Pretrained Deep Neural Networks</t>
        </is>
      </c>
      <c r="B1493" s="86" t="inlineStr">
        <is>
          <t>A. A. M; S. S. S. Priya</t>
        </is>
      </c>
      <c r="C1493" s="86" t="n">
        <v>2023</v>
      </c>
      <c r="D1493" s="5" t="inlineStr">
        <is>
          <t>Outcome not related to interest</t>
        </is>
      </c>
      <c r="E1493" s="86" t="n"/>
      <c r="F1493" s="86" t="n"/>
    </row>
    <row r="1494" ht="16" customHeight="1" s="55">
      <c r="A1494" s="86" t="inlineStr">
        <is>
          <t>Deep Learning-Based Diabetic Retinopathy Detection Using ResNet34 Model</t>
        </is>
      </c>
      <c r="B1494" s="86" t="inlineStr">
        <is>
          <t>K. A; L. R. S. R</t>
        </is>
      </c>
      <c r="C1494" s="86" t="n">
        <v>2023</v>
      </c>
      <c r="D1494" s="5" t="inlineStr">
        <is>
          <t>Outcome not related to interest</t>
        </is>
      </c>
      <c r="E1494" s="86" t="n"/>
      <c r="F1494" s="86" t="n"/>
    </row>
    <row r="1495" ht="16" customHeight="1" s="55">
      <c r="A1495" s="86" t="inlineStr">
        <is>
          <t>DR-GAN: Conditional Generative Adversarial Network for Fine-Grained Lesion Synthesis on Diabetic Retinopathy Images</t>
        </is>
      </c>
      <c r="B1495" s="86" t="inlineStr">
        <is>
          <t>Y. Zhou; B. Wang; X. He; S. Cui; L. Shao</t>
        </is>
      </c>
      <c r="C1495" s="86" t="n">
        <v>2022</v>
      </c>
      <c r="D1495" s="5" t="inlineStr">
        <is>
          <t>Outcome not related to interest</t>
        </is>
      </c>
      <c r="E1495" s="86" t="n"/>
      <c r="F1495" s="86" t="n"/>
    </row>
    <row r="1496" ht="16" customHeight="1" s="55">
      <c r="A1496" s="86" t="inlineStr">
        <is>
          <t>Joint Optimization of CycleGAN and CNN Classifier for Detection and Localization of Retinal Pathologies on Color Fundus Photographs</t>
        </is>
      </c>
      <c r="B1496" s="86" t="inlineStr">
        <is>
          <t>Z. Zhang; Z. Ji; Q. Chen; S. Yuan; W. Fan</t>
        </is>
      </c>
      <c r="C1496" s="86" t="n">
        <v>2022</v>
      </c>
      <c r="D1496" s="5" t="inlineStr">
        <is>
          <t>Outcome not related to interest</t>
        </is>
      </c>
      <c r="E1496" s="86" t="n"/>
      <c r="F1496" s="86" t="n"/>
    </row>
    <row r="1497" ht="16" customHeight="1" s="55">
      <c r="A1497" s="86" t="inlineStr">
        <is>
          <t>SplitAVG: A Heterogeneity-Aware Federated Deep Learning Method for Medical Imaging</t>
        </is>
      </c>
      <c r="B1497" s="86" t="inlineStr">
        <is>
          <t>M. Zhang; L. Qu; P. Singh; J. Kalpathy-Cramer; D. L. Rubin</t>
        </is>
      </c>
      <c r="C1497" s="86" t="n">
        <v>2022</v>
      </c>
      <c r="D1497" s="5" t="inlineStr">
        <is>
          <t>Outcome not related to interest</t>
        </is>
      </c>
      <c r="E1497" s="86" t="n"/>
      <c r="F1497" s="86" t="n"/>
    </row>
    <row r="1498" ht="16" customHeight="1" s="55">
      <c r="A1498" s="86" t="inlineStr">
        <is>
          <t>Classification of Diabetic Retinopathy Based on B-ResNet</t>
        </is>
      </c>
      <c r="B1498" s="86" t="inlineStr">
        <is>
          <t>Z. Ying</t>
        </is>
      </c>
      <c r="C1498" s="86" t="n">
        <v>2022</v>
      </c>
      <c r="D1498" s="5" t="inlineStr">
        <is>
          <t>Outcome not related to interest</t>
        </is>
      </c>
      <c r="E1498" s="86" t="n"/>
      <c r="F1498" s="86" t="n"/>
    </row>
    <row r="1499" ht="16" customHeight="1" s="55">
      <c r="A1499" s="86" t="inlineStr">
        <is>
          <t>Robust Collaborative Learning of Patch-Level and Image-Level Annotations for Diabetic Retinopathy Grading From Fundus Image</t>
        </is>
      </c>
      <c r="B1499" s="86" t="inlineStr">
        <is>
          <t>Y. Yang; F. Shang; B. Wu; D. Yang; L. Wang; Y. Xu; W. Zhang; T. Zhang</t>
        </is>
      </c>
      <c r="C1499" s="86" t="n">
        <v>2022</v>
      </c>
      <c r="D1499" s="5" t="inlineStr">
        <is>
          <t>Outcome not related to interest</t>
        </is>
      </c>
      <c r="E1499" s="86" t="n"/>
      <c r="F1499" s="86" t="n"/>
    </row>
    <row r="1500" ht="16" customHeight="1" s="55">
      <c r="A1500" s="86" t="inlineStr">
        <is>
          <t>Base on Megapixel Color Fundus Photos for Multi-label Disease Classification</t>
        </is>
      </c>
      <c r="B1500" s="86" t="inlineStr">
        <is>
          <t>H. Yang; J. Chen; R. Luan; M. Xu; L. Ma; X. Zhou</t>
        </is>
      </c>
      <c r="C1500" s="86" t="n">
        <v>2022</v>
      </c>
      <c r="D1500" s="5" t="inlineStr">
        <is>
          <t>Outcome not related to interest</t>
        </is>
      </c>
      <c r="E1500" s="86" t="n"/>
      <c r="F1500" s="86" t="n"/>
    </row>
    <row r="1501" ht="16" customHeight="1" s="55">
      <c r="A1501" s="86" t="inlineStr">
        <is>
          <t>Classification of Diabetic Retinopathy Severity Based on GCA Attention Mechanism</t>
        </is>
      </c>
      <c r="B1501" s="86" t="inlineStr">
        <is>
          <t>B. Yang; T. Li; H. Xie; Y. Liao; Y. P. P. Chen</t>
        </is>
      </c>
      <c r="C1501" s="86" t="n">
        <v>2022</v>
      </c>
      <c r="D1501" s="5" t="inlineStr">
        <is>
          <t>Outcome not related to interest</t>
        </is>
      </c>
      <c r="E1501" s="86" t="n"/>
      <c r="F1501" s="86" t="n"/>
    </row>
    <row r="1502" ht="16" customHeight="1" s="55">
      <c r="A1502" s="86" t="inlineStr">
        <is>
          <t>Multi-stage classification of diabetic retinopathy based on mixed attention network</t>
        </is>
      </c>
      <c r="B1502" s="86" t="inlineStr">
        <is>
          <t>Z. Xu; J. n. Dong</t>
        </is>
      </c>
      <c r="C1502" s="86" t="n">
        <v>2022</v>
      </c>
      <c r="D1502" s="5" t="inlineStr">
        <is>
          <t>Outcome not related to interest</t>
        </is>
      </c>
      <c r="E1502" s="86" t="n"/>
      <c r="F1502" s="86" t="n"/>
    </row>
    <row r="1503" ht="16" customHeight="1" s="55">
      <c r="A1503" s="86" t="inlineStr">
        <is>
          <t>Eye Disease Diagnosis and Fundus Synthesis: A Large-Scale Dataset and Benchmark</t>
        </is>
      </c>
      <c r="B1503" s="86" t="inlineStr">
        <is>
          <t>X. Xia; K. Zhan; Y. Li; G. Xiao; J. Yan; Z. Huang; G. Huang; Y. Fang</t>
        </is>
      </c>
      <c r="C1503" s="86" t="n">
        <v>2022</v>
      </c>
      <c r="D1503" s="5" t="inlineStr">
        <is>
          <t>Outcome not related to interest</t>
        </is>
      </c>
      <c r="E1503" s="86" t="n"/>
      <c r="F1503" s="86" t="n"/>
    </row>
    <row r="1504" ht="16" customHeight="1" s="55">
      <c r="A1504" s="86" t="inlineStr">
        <is>
          <t>Joint Learning of Multi-Level Tasks for Diabetic Retinopathy Grading on Low-Resolution Fundus Images</t>
        </is>
      </c>
      <c r="B1504" s="86" t="inlineStr">
        <is>
          <t>X. Wang; M. Xu; J. Zhang; L. Jiang; L. Li; M. He; N. Wang; H. Liu; Z. Wang</t>
        </is>
      </c>
      <c r="C1504" s="86" t="n">
        <v>2022</v>
      </c>
      <c r="D1504" s="5" t="inlineStr">
        <is>
          <t>Outcome not related to interest</t>
        </is>
      </c>
      <c r="E1504" s="86" t="n"/>
      <c r="F1504" s="86" t="n"/>
    </row>
    <row r="1505" ht="16" customHeight="1" s="55">
      <c r="A1505" s="86" t="inlineStr">
        <is>
          <t>Classification for diabetic retinopathy by using staged convolutional neural network</t>
        </is>
      </c>
      <c r="B1505" s="86" t="inlineStr">
        <is>
          <t>H. Wang; Y. Sun; Y. Cao; G. Ouyang; X. Wang; S. Wu; M. Tian</t>
        </is>
      </c>
      <c r="C1505" s="86" t="n">
        <v>2022</v>
      </c>
      <c r="D1505" s="5" t="inlineStr">
        <is>
          <t>Outcome not related to interest</t>
        </is>
      </c>
      <c r="E1505" s="86" t="n"/>
      <c r="F1505" s="86" t="n"/>
    </row>
    <row r="1506" ht="16" customHeight="1" s="55">
      <c r="A1506" s="86" t="inlineStr">
        <is>
          <t>Diabetic Retinopathy Classification using Deep Learning Techniques R</t>
        </is>
      </c>
      <c r="B1506" s="86" t="inlineStr">
        <is>
          <t>V. Vipparthi; D. R. Rao; S. Mullu; V. Patlolla</t>
        </is>
      </c>
      <c r="C1506" s="86" t="n">
        <v>2022</v>
      </c>
      <c r="D1506" s="44" t="inlineStr">
        <is>
          <t>Repeated article</t>
        </is>
      </c>
      <c r="E1506" s="86" t="n"/>
      <c r="F1506" s="86" t="n"/>
    </row>
    <row r="1507" ht="16" customHeight="1" s="55">
      <c r="A1507" s="86" t="inlineStr">
        <is>
          <t>A Novel Deep Learning Framework for Diabetic Retinopathy Detection</t>
        </is>
      </c>
      <c r="B1507" s="86" t="inlineStr">
        <is>
          <t>L. V. S. K. B. K. Varanasi; C. M. Dasari</t>
        </is>
      </c>
      <c r="C1507" s="86" t="n">
        <v>2022</v>
      </c>
      <c r="D1507" s="5" t="inlineStr">
        <is>
          <t>Outcome not related to interest</t>
        </is>
      </c>
      <c r="E1507" s="86" t="n"/>
      <c r="F1507" s="86" t="n"/>
    </row>
    <row r="1508" ht="16" customHeight="1" s="55">
      <c r="A1508" s="86" t="inlineStr">
        <is>
          <t>RetinalNet-500: A newly developed CNN Model for Eye Disease Detection</t>
        </is>
      </c>
      <c r="B1508" s="86" t="inlineStr">
        <is>
          <t>S. A. Toki; S. Rahman; S. M. B. Fahim; A. A. Mostakim; M. K. Rhaman</t>
        </is>
      </c>
      <c r="C1508" s="86" t="n">
        <v>2022</v>
      </c>
      <c r="D1508" s="5" t="inlineStr">
        <is>
          <t>Outcome not related to interest</t>
        </is>
      </c>
      <c r="E1508" s="86" t="n"/>
      <c r="F1508" s="86" t="n"/>
    </row>
    <row r="1509" ht="16" customHeight="1" s="55">
      <c r="A1509" s="86" t="inlineStr">
        <is>
          <t>Diabetic Retinopathy Detection: Improving Accuracy Using Multiple Transfer Learning Features from Pre-trained Deep Learning Networks</t>
        </is>
      </c>
      <c r="B1509" s="86" t="inlineStr">
        <is>
          <t>K. K. Y. Tiong; W. K. Wong; F. H. Juwono; I. M. Chew</t>
        </is>
      </c>
      <c r="C1509" s="86" t="n">
        <v>2022</v>
      </c>
      <c r="D1509" s="5" t="inlineStr">
        <is>
          <t>Outcome not related to interest</t>
        </is>
      </c>
      <c r="E1509" s="86" t="n"/>
      <c r="F1509" s="86" t="n"/>
    </row>
    <row r="1510" ht="16" customHeight="1" s="55">
      <c r="A1510" s="86" t="inlineStr">
        <is>
          <t>Diabetic Retinopathy Detection Using Deep Learning RRR</t>
        </is>
      </c>
      <c r="B1510" s="86" t="inlineStr">
        <is>
          <t>K. Swathi; E. S. N. Joshua; B. D. Reddy; N. T. Rao</t>
        </is>
      </c>
      <c r="C1510" s="86" t="n">
        <v>2022</v>
      </c>
      <c r="D1510" s="86" t="inlineStr">
        <is>
          <t xml:space="preserve">Repeated article </t>
        </is>
      </c>
      <c r="E1510" s="86" t="n"/>
      <c r="F1510" s="86" t="n"/>
    </row>
    <row r="1511" ht="16" customHeight="1" s="55">
      <c r="A1511" s="86" t="inlineStr">
        <is>
          <t>Computer-Aided Detection Of Diabetic Retinopathy On Fundus Images Via Statistical Classification</t>
        </is>
      </c>
      <c r="B1511" s="86" t="inlineStr">
        <is>
          <t>S. S. Sunil; A. Shrivindhya</t>
        </is>
      </c>
      <c r="C1511" s="86" t="n">
        <v>2022</v>
      </c>
      <c r="D1511" s="5" t="inlineStr">
        <is>
          <t>Outcome not related to interest</t>
        </is>
      </c>
      <c r="E1511" s="86" t="n"/>
      <c r="F1511" s="86" t="n"/>
    </row>
    <row r="1512" ht="16" customHeight="1" s="55">
      <c r="A1512" s="86" t="inlineStr">
        <is>
          <t>Diabetic Retinopathy Detection Using Deep Learning Methods</t>
        </is>
      </c>
      <c r="B1512" s="86" t="inlineStr">
        <is>
          <t>S. Suganyadevi; K. Renukadevi; K. Balasamy; P. Jeevitha</t>
        </is>
      </c>
      <c r="C1512" s="86" t="n">
        <v>2022</v>
      </c>
      <c r="D1512" s="5" t="inlineStr">
        <is>
          <t>Outcome not related to interest</t>
        </is>
      </c>
      <c r="E1512" s="86" t="n"/>
      <c r="F1512" s="86" t="n"/>
    </row>
    <row r="1513" ht="16" customHeight="1" s="55">
      <c r="A1513" s="86" t="inlineStr">
        <is>
          <t>Covid-19 and Diabetic Retinopathy (Dr) Detection Using Ai &amp; Deep Learning</t>
        </is>
      </c>
      <c r="B1513" s="86" t="inlineStr">
        <is>
          <t>A. Srivastava; G. Singh; M. K. Shukla; R. Majumdar</t>
        </is>
      </c>
      <c r="C1513" s="86" t="n">
        <v>2022</v>
      </c>
      <c r="D1513" s="5" t="inlineStr">
        <is>
          <t>Outcome not related to interest</t>
        </is>
      </c>
      <c r="E1513" s="86" t="n"/>
      <c r="F1513" s="86" t="n"/>
    </row>
    <row r="1514" ht="16" customHeight="1" s="55">
      <c r="A1514" s="86" t="inlineStr">
        <is>
          <t>Prediction of Retinopathy in Diabetic Affected Persons using Deep Learning algorithms</t>
        </is>
      </c>
      <c r="B1514" s="86" t="inlineStr">
        <is>
          <t>V. Srinadh; B. Maram; V. Gampala</t>
        </is>
      </c>
      <c r="C1514" s="86" t="n">
        <v>2022</v>
      </c>
      <c r="D1514" s="5" t="inlineStr">
        <is>
          <t>Outcome not related to interest</t>
        </is>
      </c>
      <c r="E1514" s="86" t="n"/>
      <c r="F1514" s="86" t="n"/>
    </row>
    <row r="1515" ht="16" customHeight="1" s="55">
      <c r="A1515" s="86" t="inlineStr">
        <is>
          <t>Diabetic Retinopathy Classification using Deep Learning Technique</t>
        </is>
      </c>
      <c r="B1515" s="86" t="inlineStr">
        <is>
          <t>K. S. Sri; G. K. Priya; B. P. Kumar; S. D. Sravya; M. B. Priya</t>
        </is>
      </c>
      <c r="C1515" s="86" t="n">
        <v>2022</v>
      </c>
      <c r="D1515" s="5" t="inlineStr">
        <is>
          <t>Outcome not related to interest</t>
        </is>
      </c>
      <c r="E1515" s="86" t="n"/>
      <c r="F1515" s="86" t="n"/>
    </row>
    <row r="1516" ht="16" customHeight="1" s="55">
      <c r="A1516" s="86" t="inlineStr">
        <is>
          <t>Diabetic Retinopathy Recognition Using CNN</t>
        </is>
      </c>
      <c r="B1516" s="86" t="inlineStr">
        <is>
          <t>M. S. Sowmya; S. Santosh</t>
        </is>
      </c>
      <c r="C1516" s="86" t="n">
        <v>2022</v>
      </c>
      <c r="D1516" s="5" t="inlineStr">
        <is>
          <t>Outcome not related to interest</t>
        </is>
      </c>
      <c r="E1516" s="86" t="n"/>
      <c r="F1516" s="86" t="n"/>
    </row>
    <row r="1517" ht="16" customHeight="1" s="55">
      <c r="A1517" s="86" t="inlineStr">
        <is>
          <t>Self-attention light network for hierarchical severity detection of diabetic retinopathy</t>
        </is>
      </c>
      <c r="B1517" s="86" t="inlineStr">
        <is>
          <t>Z. Song; J. Dong; H. Liang; S. Zhao</t>
        </is>
      </c>
      <c r="C1517" s="86" t="n">
        <v>2022</v>
      </c>
      <c r="D1517" s="5" t="inlineStr">
        <is>
          <t>Outcome not related to interest</t>
        </is>
      </c>
      <c r="E1517" s="86" t="n"/>
      <c r="F1517" s="86" t="n"/>
    </row>
    <row r="1518" ht="16" customHeight="1" s="55">
      <c r="A1518" s="86" t="inlineStr">
        <is>
          <t>Parallel Network - A Deep Learning Approach for Blood Vessel Segmentation in Retinal fundus Images</t>
        </is>
      </c>
      <c r="B1518" s="86" t="inlineStr">
        <is>
          <t>G. Sivapriya; P. Gowri; V. Praveen; V. Varshini; S. Sanjeevi; B. Tharani</t>
        </is>
      </c>
      <c r="C1518" s="86" t="n">
        <v>2022</v>
      </c>
      <c r="D1518" s="5" t="inlineStr">
        <is>
          <t>Outcome not related to interest</t>
        </is>
      </c>
      <c r="E1518" s="86" t="n"/>
      <c r="F1518" s="86" t="n"/>
    </row>
    <row r="1519" ht="16" customHeight="1" s="55">
      <c r="A1519" s="86" t="inlineStr">
        <is>
          <t>Reliable Densely Connected Network with Machine Learning based Diabetic Retinopathy Grading Approach</t>
        </is>
      </c>
      <c r="B1519" s="86" t="inlineStr">
        <is>
          <t>S. Sirisala; N. R. Behera; D. Amuthaguka; S. V. Chaudhari; J. Prasad; A. S. R</t>
        </is>
      </c>
      <c r="C1519" s="86" t="n">
        <v>2022</v>
      </c>
      <c r="D1519" s="5" t="inlineStr">
        <is>
          <t>Outcome not related to interest</t>
        </is>
      </c>
      <c r="E1519" s="86" t="n"/>
      <c r="F1519" s="86" t="n"/>
    </row>
    <row r="1520" ht="16" customHeight="1" s="55">
      <c r="A1520" s="86" t="inlineStr">
        <is>
          <t>A Deep Learning Approach for Ocular Disease Detection</t>
        </is>
      </c>
      <c r="B1520" s="86" t="inlineStr">
        <is>
          <t>S. Singh; A. D. Bagde; S. Telrandhe; R. Umate; A. Pathade; M. Wanjari; P. Dabhade</t>
        </is>
      </c>
      <c r="C1520" s="86" t="n">
        <v>2022</v>
      </c>
      <c r="D1520" s="5" t="inlineStr">
        <is>
          <t>Outcome not related to interest</t>
        </is>
      </c>
      <c r="E1520" s="86" t="n"/>
      <c r="F1520" s="86" t="n"/>
    </row>
    <row r="1521" ht="16" customHeight="1" s="55">
      <c r="A1521" s="86" t="inlineStr">
        <is>
          <t>A Deep Learning Approach to Analyze Diabetic Retinopathy Lesions using Scant Data</t>
        </is>
      </c>
      <c r="B1521" s="86" t="inlineStr">
        <is>
          <t>D. Singh; D. C. Dobhal; S. Pargaien; A. V. Pargaien; J. Pant; H. Pant</t>
        </is>
      </c>
      <c r="C1521" s="86" t="n">
        <v>2022</v>
      </c>
      <c r="D1521" s="5" t="inlineStr">
        <is>
          <t>Outcome not related to interest</t>
        </is>
      </c>
      <c r="E1521" s="86" t="n"/>
      <c r="F1521" s="86" t="n"/>
    </row>
    <row r="1522" ht="16" customHeight="1" s="55">
      <c r="A1522" s="86" t="inlineStr">
        <is>
          <t>GoogLeNet-based Diabetic-retinopathy-detection</t>
        </is>
      </c>
      <c r="B1522" s="86" t="inlineStr">
        <is>
          <t>B. Shi; X. Zhang; Z. Wang; J. Song; J. Han; Z. Zhang; T. T. Toe</t>
        </is>
      </c>
      <c r="C1522" s="86" t="n">
        <v>2022</v>
      </c>
      <c r="D1522" s="5" t="inlineStr">
        <is>
          <t>Outcome not related to interest</t>
        </is>
      </c>
      <c r="E1522" s="86" t="n"/>
      <c r="F1522" s="86" t="n"/>
    </row>
    <row r="1523" ht="16" customHeight="1" s="55">
      <c r="A1523" s="86" t="inlineStr">
        <is>
          <t>Fundus GAN - GAN-based Fundus Image Synthesis for Training Retinal Image Classifiers</t>
        </is>
      </c>
      <c r="B1523" s="86" t="inlineStr">
        <is>
          <t>D. Shenkut; V. Bhagavatula</t>
        </is>
      </c>
      <c r="C1523" s="86" t="n">
        <v>2022</v>
      </c>
      <c r="D1523" s="5" t="inlineStr">
        <is>
          <t>Outcome not related to interest</t>
        </is>
      </c>
      <c r="E1523" s="86" t="n"/>
      <c r="F1523" s="86" t="n"/>
    </row>
    <row r="1524" ht="16" customHeight="1" s="55">
      <c r="A1524" s="86" t="inlineStr">
        <is>
          <t>Retinal Fundus Image Retrieval and Classification using Optimal Deep Learning Model</t>
        </is>
      </c>
      <c r="B1524" s="86" t="inlineStr">
        <is>
          <t>S. S. M. Shazuli; A. Saravanan</t>
        </is>
      </c>
      <c r="C1524" s="86" t="n">
        <v>2022</v>
      </c>
      <c r="D1524" s="5" t="inlineStr">
        <is>
          <t>Outcome not related to interest</t>
        </is>
      </c>
      <c r="E1524" s="86" t="n"/>
      <c r="F1524" s="86" t="n"/>
    </row>
    <row r="1525" ht="16" customHeight="1" s="55">
      <c r="A1525" s="86" t="inlineStr">
        <is>
          <t>Arithmetic Optimization with SE-DenseNet based Image Retrieval and Classification for Diabetic Retinopathy</t>
        </is>
      </c>
      <c r="B1525" s="86" t="inlineStr">
        <is>
          <t>S. S. M. Shazuli; A. Saravanan</t>
        </is>
      </c>
      <c r="C1525" s="86" t="n">
        <v>2022</v>
      </c>
      <c r="D1525" s="5" t="inlineStr">
        <is>
          <t>Outcome not related to interest</t>
        </is>
      </c>
      <c r="E1525" s="86" t="n"/>
      <c r="F1525" s="86" t="n"/>
    </row>
    <row r="1526" ht="16" customHeight="1" s="55">
      <c r="A1526" s="86" t="inlineStr">
        <is>
          <t>Machine Learning/Deep Learning Algorithms &amp; Variability in Grading Improves Early Detection of DR</t>
        </is>
      </c>
      <c r="B1526" s="86" t="inlineStr">
        <is>
          <t>K. Sharma; P. Nagappan</t>
        </is>
      </c>
      <c r="C1526" s="86" t="n">
        <v>2022</v>
      </c>
      <c r="D1526" s="5" t="inlineStr">
        <is>
          <t>Outcome not related to interest</t>
        </is>
      </c>
      <c r="E1526" s="86" t="n"/>
      <c r="F1526" s="86" t="n"/>
    </row>
    <row r="1527" ht="16" customHeight="1" s="55">
      <c r="A1527" s="86" t="inlineStr">
        <is>
          <t>An Iterative Constraint Spectral Model for Ophthalmic Disease Detection Using Transfer Learning</t>
        </is>
      </c>
      <c r="B1527" s="86" t="inlineStr">
        <is>
          <t>C. Shanmuganathan; T. P. Anish; M. Thamizharasi; M. Joseph</t>
        </is>
      </c>
      <c r="C1527" s="86" t="n">
        <v>2022</v>
      </c>
      <c r="D1527" s="5" t="inlineStr">
        <is>
          <t>Outcome not related to interest</t>
        </is>
      </c>
      <c r="E1527" s="86" t="n"/>
      <c r="F1527" s="86" t="n"/>
    </row>
    <row r="1528" ht="16" customHeight="1" s="55">
      <c r="A1528" s="86" t="inlineStr">
        <is>
          <t>An Online Platform for Early Eye Disease Detection using Deep Convolutional Neural Networks</t>
        </is>
      </c>
      <c r="B1528" s="86" t="inlineStr">
        <is>
          <t>D. Shamia; S. Prince; D. Bini</t>
        </is>
      </c>
      <c r="C1528" s="86" t="n">
        <v>2022</v>
      </c>
      <c r="D1528" s="5" t="inlineStr">
        <is>
          <t>Outcome not related to interest</t>
        </is>
      </c>
      <c r="E1528" s="86" t="n"/>
      <c r="F1528" s="86" t="n"/>
    </row>
    <row r="1529" ht="16" customHeight="1" s="55">
      <c r="A1529" s="86" t="inlineStr">
        <is>
          <t>Using SHAP Analysis to Detect Areas Contributing to Diabetic Retinopathy Detection</t>
        </is>
      </c>
      <c r="B1529" s="86" t="inlineStr">
        <is>
          <t>E. Shakeri; T. Crump; E. Weis; R. Souza; B. Far</t>
        </is>
      </c>
      <c r="C1529" s="86" t="n">
        <v>2022</v>
      </c>
      <c r="D1529" s="5" t="inlineStr">
        <is>
          <t>Outcome not related to interest</t>
        </is>
      </c>
      <c r="E1529" s="86" t="n"/>
      <c r="F1529" s="86" t="n"/>
    </row>
    <row r="1530" ht="16" customHeight="1" s="55">
      <c r="A1530" s="86" t="inlineStr">
        <is>
          <t>A Study on Diabetic Retinopathy Detection, Segmentation and Classification using Deep and Machine Learning Techniques</t>
        </is>
      </c>
      <c r="B1530" s="86" t="inlineStr">
        <is>
          <t>B. Sesikala; J. Harikiran; B. SaiChandana</t>
        </is>
      </c>
      <c r="C1530" s="86" t="n">
        <v>2022</v>
      </c>
      <c r="D1530" s="5" t="inlineStr">
        <is>
          <t>Outcome not related to interest</t>
        </is>
      </c>
      <c r="E1530" s="86" t="n"/>
      <c r="F1530" s="86" t="n"/>
    </row>
    <row r="1531" ht="16" customHeight="1" s="55">
      <c r="A1531" s="86" t="inlineStr">
        <is>
          <t>Semantic Segmentation of Diabetic Retinopathy Imaging</t>
        </is>
      </c>
      <c r="B1531" s="86" t="inlineStr">
        <is>
          <t>B. Schweisthal; M. Lascu</t>
        </is>
      </c>
      <c r="C1531" s="86" t="n">
        <v>2022</v>
      </c>
      <c r="D1531" s="5" t="inlineStr">
        <is>
          <t>Outcome not related to interest</t>
        </is>
      </c>
      <c r="E1531" s="86" t="n"/>
      <c r="F1531" s="86" t="n"/>
    </row>
    <row r="1532" ht="16" customHeight="1" s="55">
      <c r="A1532" s="86" t="inlineStr">
        <is>
          <t>Diabetic retinopathy detection using a pretrained machine learning model</t>
        </is>
      </c>
      <c r="B1532" s="86" t="inlineStr">
        <is>
          <t>A. Sbai; A. Touil; L. Oukhouya</t>
        </is>
      </c>
      <c r="C1532" s="86" t="n">
        <v>2022</v>
      </c>
      <c r="D1532" s="5" t="inlineStr">
        <is>
          <t>Outcome not related to interest</t>
        </is>
      </c>
      <c r="E1532" s="86" t="n"/>
      <c r="F1532" s="86" t="n"/>
    </row>
    <row r="1533" ht="16" customHeight="1" s="55">
      <c r="A1533" s="86" t="inlineStr">
        <is>
          <t>Detection of Diabetic Retinopathy in Retinal Fundus Images using DenseNet based Deep Learning Model</t>
        </is>
      </c>
      <c r="B1533" s="86" t="inlineStr">
        <is>
          <t>P. Saranya; S. K. Devi; B. Bharanidharan</t>
        </is>
      </c>
      <c r="C1533" s="86" t="n">
        <v>2022</v>
      </c>
      <c r="D1533" s="5" t="inlineStr">
        <is>
          <t>Outcome not related to interest</t>
        </is>
      </c>
      <c r="E1533" s="86" t="n"/>
      <c r="F1533" s="86" t="n"/>
    </row>
    <row r="1534" ht="16" customHeight="1" s="55">
      <c r="A1534" s="86" t="inlineStr">
        <is>
          <t>A Method Based on Deep Neural Network for Instance Segmentation of Retinal Lesions Caused by Diabetic Retinopathy</t>
        </is>
      </c>
      <c r="B1534" s="86" t="inlineStr">
        <is>
          <t>C. Santos; M. Aguiar; D. Welfer; M. Silva; A. Pereira; M. Ribeiro; B. Belloni</t>
        </is>
      </c>
      <c r="C1534" s="86" t="n">
        <v>2022</v>
      </c>
      <c r="D1534" s="5" t="inlineStr">
        <is>
          <t>Outcome not related to interest</t>
        </is>
      </c>
      <c r="E1534" s="86" t="n"/>
      <c r="F1534" s="86" t="n"/>
    </row>
    <row r="1535" ht="16" customHeight="1" s="55">
      <c r="A1535" s="86" t="inlineStr">
        <is>
          <t>Preliminary Study of Diabetic Retinopathy Classification from Fundus Images Using Deep Learning Model</t>
        </is>
      </c>
      <c r="B1535" s="86" t="inlineStr">
        <is>
          <t>H. Y. Sam; S. A. Z. B. S. Aluwee; N. S. B. C. Lah; C. M. Goh; C. M. Tyng; H. I. B. Murat</t>
        </is>
      </c>
      <c r="C1535" s="86" t="n">
        <v>2022</v>
      </c>
      <c r="D1535" s="5" t="inlineStr">
        <is>
          <t>Outcome not related to interest</t>
        </is>
      </c>
      <c r="E1535" s="86" t="n"/>
      <c r="F1535" s="86" t="n"/>
    </row>
    <row r="1536" ht="16" customHeight="1" s="55">
      <c r="A1536" s="86" t="inlineStr">
        <is>
          <t>Smart Healthcare System for Early Diabetic Retinopathy Detection</t>
        </is>
      </c>
      <c r="B1536" s="86" t="inlineStr">
        <is>
          <t>R. W. Saleh; H. N. Abdullah</t>
        </is>
      </c>
      <c r="C1536" s="86" t="n">
        <v>2022</v>
      </c>
      <c r="D1536" s="5" t="inlineStr">
        <is>
          <t>Outcome not related to interest</t>
        </is>
      </c>
      <c r="E1536" s="86" t="n"/>
      <c r="F1536" s="86" t="n"/>
    </row>
    <row r="1537" ht="16" customHeight="1" s="55">
      <c r="A1537" s="86" t="inlineStr">
        <is>
          <t>Dealing with Data Imbalance in Exudate Detection of Retinal Fundus Image</t>
        </is>
      </c>
      <c r="B1537" s="86" t="inlineStr">
        <is>
          <t>M. Sahoo; M. Mitra; S. Pal</t>
        </is>
      </c>
      <c r="C1537" s="86" t="n">
        <v>2022</v>
      </c>
      <c r="D1537" s="5" t="inlineStr">
        <is>
          <t>Outcome not related to interest</t>
        </is>
      </c>
      <c r="E1537" s="86" t="n"/>
      <c r="F1537" s="86" t="n"/>
    </row>
    <row r="1538" ht="16" customHeight="1" s="55">
      <c r="A1538" s="86" t="inlineStr">
        <is>
          <t>Network for Cross-Disease Attention to the Severity of Diabetic Macular Edema and Joint Retinopathy</t>
        </is>
      </c>
      <c r="B1538" s="86" t="inlineStr">
        <is>
          <t>N. P. Sable; M. D. Salunke; V. U. Rathod; P. Dhotre</t>
        </is>
      </c>
      <c r="C1538" s="86" t="n">
        <v>2022</v>
      </c>
      <c r="D1538" s="5" t="inlineStr">
        <is>
          <t>Outcome not related to interest</t>
        </is>
      </c>
      <c r="E1538" s="86" t="n"/>
      <c r="F1538" s="86" t="n"/>
    </row>
    <row r="1539" ht="16" customHeight="1" s="55">
      <c r="A1539" s="86" t="inlineStr">
        <is>
          <t>Envisioning Reliable Diagnosis of Diabetic Retinopathy using U-Net Architecture</t>
        </is>
      </c>
      <c r="B1539" s="86" t="inlineStr">
        <is>
          <t>S. S. P; B. M. Sundaram; P. A. Azmat; A. Garg; M. N. U. Habib</t>
        </is>
      </c>
      <c r="C1539" s="86" t="n">
        <v>2022</v>
      </c>
      <c r="D1539" s="5" t="inlineStr">
        <is>
          <t>Outcome not related to interest</t>
        </is>
      </c>
      <c r="E1539" s="86" t="n"/>
      <c r="F1539" s="86" t="n"/>
    </row>
    <row r="1540" ht="16" customHeight="1" s="55">
      <c r="A1540" s="86" t="inlineStr">
        <is>
          <t>A Customized Deep Learning Algorithm for Prediction of Eye Diseases from Color Fundus Photography</t>
        </is>
      </c>
      <c r="B1540" s="86" t="inlineStr">
        <is>
          <t>S. N. S; S. A. P; R. H; J. S. P; P. Raj; L. V</t>
        </is>
      </c>
      <c r="C1540" s="86" t="n">
        <v>2022</v>
      </c>
      <c r="D1540" s="5" t="inlineStr">
        <is>
          <t>Outcome not related to interest</t>
        </is>
      </c>
      <c r="E1540" s="86" t="n"/>
      <c r="F1540" s="86" t="n"/>
    </row>
    <row r="1541" ht="16" customHeight="1" s="55">
      <c r="A1541" s="86" t="inlineStr">
        <is>
          <t>Quantum Transfer Learning for Diagnosis of Diabetic Retinopathy</t>
        </is>
      </c>
      <c r="B1541" s="86" t="inlineStr">
        <is>
          <t>S. S; T. K; S. Bhattacharjee; D. Shahwar; K. S. S. Reddy</t>
        </is>
      </c>
      <c r="C1541" s="86" t="n">
        <v>2022</v>
      </c>
      <c r="D1541" s="5" t="inlineStr">
        <is>
          <t>Outcome not related to interest</t>
        </is>
      </c>
      <c r="E1541" s="86" t="n"/>
      <c r="F1541" s="86" t="n"/>
    </row>
    <row r="1542" ht="16" customHeight="1" s="55">
      <c r="A1542" s="86" t="inlineStr">
        <is>
          <t>Detection of Diabetic Retinopathy using Preprocessed Fundus Image</t>
        </is>
      </c>
      <c r="B1542" s="86" t="inlineStr">
        <is>
          <t>R. S; R. K</t>
        </is>
      </c>
      <c r="C1542" s="86" t="n">
        <v>2022</v>
      </c>
      <c r="D1542" s="5" t="inlineStr">
        <is>
          <t>Outcome not related to interest</t>
        </is>
      </c>
      <c r="E1542" s="86" t="n"/>
      <c r="F1542" s="86" t="n"/>
    </row>
    <row r="1543" ht="16" customHeight="1" s="55">
      <c r="A1543" s="86" t="inlineStr">
        <is>
          <t>Towards Robust Diabetic Retinopathy Classifier Using Natural Gradient Langevin Dynamics</t>
        </is>
      </c>
      <c r="B1543" s="86" t="inlineStr">
        <is>
          <t>H. A. Robbani; A. Bustamam; R. Adnan</t>
        </is>
      </c>
      <c r="C1543" s="86" t="n">
        <v>2022</v>
      </c>
      <c r="D1543" s="5" t="inlineStr">
        <is>
          <t>Outcome not related to interest</t>
        </is>
      </c>
      <c r="E1543" s="86" t="n"/>
      <c r="F1543" s="86" t="n"/>
    </row>
    <row r="1544" ht="16" customHeight="1" s="55">
      <c r="A1544" s="86" t="inlineStr">
        <is>
          <t>A Multifeatured Based Diabetic Retinopathy Detection Using Hybrid-Net</t>
        </is>
      </c>
      <c r="B1544" s="86" t="inlineStr">
        <is>
          <t>L. S. P. Reddy; K. B. S. Ram; N. V. Vemu; G. J. Reddy; T. Singh</t>
        </is>
      </c>
      <c r="C1544" s="86" t="n">
        <v>2022</v>
      </c>
      <c r="D1544" s="5" t="inlineStr">
        <is>
          <t>Outcome not related to interest</t>
        </is>
      </c>
      <c r="E1544" s="86" t="n"/>
      <c r="F1544" s="86" t="n"/>
    </row>
    <row r="1545" ht="16" customHeight="1" s="55">
      <c r="A1545" s="86" t="inlineStr">
        <is>
          <t>Diabetic Retinopathy Detection Through Feature Aggregated Generative Adversarial Network</t>
        </is>
      </c>
      <c r="B1545" s="86" t="inlineStr">
        <is>
          <t>N. Ramya; D. Hemavathi</t>
        </is>
      </c>
      <c r="C1545" s="86" t="n">
        <v>2022</v>
      </c>
      <c r="D1545" s="5" t="inlineStr">
        <is>
          <t>Outcome not related to interest</t>
        </is>
      </c>
      <c r="E1545" s="86" t="n"/>
      <c r="F1545" s="86" t="n"/>
    </row>
    <row r="1546" ht="16" customHeight="1" s="55">
      <c r="A1546" s="86" t="inlineStr">
        <is>
          <t>Teaching and Learning based Optimization with Deep learning Model for Diabetic Retinopathy Grading and Classification</t>
        </is>
      </c>
      <c r="B1546" s="86" t="inlineStr">
        <is>
          <t>R. Ramesh; S. Sathiamoorthy</t>
        </is>
      </c>
      <c r="C1546" s="86" t="n">
        <v>2022</v>
      </c>
      <c r="D1546" s="5" t="inlineStr">
        <is>
          <t>Outcome not related to interest</t>
        </is>
      </c>
      <c r="E1546" s="86" t="n"/>
      <c r="F1546" s="86" t="n"/>
    </row>
    <row r="1547" ht="16" customHeight="1" s="55">
      <c r="A1547" s="86" t="inlineStr">
        <is>
          <t>Detection of Retinal Disease in Diabetic Patients usingDeep Learning</t>
        </is>
      </c>
      <c r="B1547" s="86" t="inlineStr">
        <is>
          <t>L. Ramesh; S. G. Hamsaveni; M. Keerthana; S. Sarmitha</t>
        </is>
      </c>
      <c r="C1547" s="86" t="n">
        <v>2022</v>
      </c>
      <c r="D1547" s="5" t="inlineStr">
        <is>
          <t>Outcome not related to interest</t>
        </is>
      </c>
      <c r="E1547" s="86" t="n"/>
      <c r="F1547" s="86" t="n"/>
    </row>
    <row r="1548" ht="16" customHeight="1" s="55">
      <c r="A1548" s="86" t="inlineStr">
        <is>
          <t>Deep Learning for Diabetic Retinopathy in Fundus Images</t>
        </is>
      </c>
      <c r="B1548" s="86" t="inlineStr">
        <is>
          <t>K. Rahimi; R. Rituraj; D. Ecker</t>
        </is>
      </c>
      <c r="C1548" s="86" t="n">
        <v>2022</v>
      </c>
      <c r="D1548" s="5" t="inlineStr">
        <is>
          <t>Outcome not related to interest</t>
        </is>
      </c>
      <c r="E1548" s="86" t="n"/>
      <c r="F1548" s="86" t="n"/>
    </row>
    <row r="1549" ht="16" customHeight="1" s="55">
      <c r="A1549" s="86" t="inlineStr">
        <is>
          <t>Detection and Classification of Diabetic Retinopathy Using Artificial Intelligence Algorithms</t>
        </is>
      </c>
      <c r="B1549" s="86" t="inlineStr">
        <is>
          <t>D. Rahhal; R. Alhamouri; I. Albataineh; R. Duwairi</t>
        </is>
      </c>
      <c r="C1549" s="86" t="n">
        <v>2022</v>
      </c>
      <c r="D1549" s="5" t="inlineStr">
        <is>
          <t>Outcome not related to interest</t>
        </is>
      </c>
      <c r="E1549" s="86" t="n"/>
      <c r="F1549" s="86" t="n"/>
    </row>
    <row r="1550" ht="16" customHeight="1" s="55">
      <c r="A1550" s="86" t="inlineStr">
        <is>
          <t>Diagnosis of Retinal Diseases by Classifying Lesions in Retinal Layers using a Modified ResNet Architecture</t>
        </is>
      </c>
      <c r="B1550" s="86" t="inlineStr">
        <is>
          <t>R. Raen; M. M. Islam; R. Islam</t>
        </is>
      </c>
      <c r="C1550" s="86" t="n">
        <v>2022</v>
      </c>
      <c r="D1550" s="5" t="inlineStr">
        <is>
          <t>Outcome not related to interest</t>
        </is>
      </c>
      <c r="E1550" s="86" t="n"/>
      <c r="F1550" s="86" t="n"/>
    </row>
    <row r="1551" ht="16" customHeight="1" s="55">
      <c r="A1551" s="86" t="inlineStr">
        <is>
          <t>Diabetic Retinopathy Detection Using Retinal Fundus Picture and Image Enhancement Using Fuzzy Clustering</t>
        </is>
      </c>
      <c r="B1551" s="86" t="inlineStr">
        <is>
          <t>R. R. P; R. P; F. D. Shadrach; R. A; J. E. M; R. Nirmalan</t>
        </is>
      </c>
      <c r="C1551" s="86" t="n">
        <v>2022</v>
      </c>
      <c r="D1551" s="5" t="inlineStr">
        <is>
          <t>Outcome not related to interest</t>
        </is>
      </c>
      <c r="E1551" s="86" t="n"/>
      <c r="F1551" s="86" t="n"/>
    </row>
    <row r="1552" ht="16" customHeight="1" s="55">
      <c r="A1552" s="86" t="inlineStr">
        <is>
          <t>Machine Learning Technique for Analysing the Diabetic Retinopathy</t>
        </is>
      </c>
      <c r="B1552" s="86" t="inlineStr">
        <is>
          <t>S. Prabha; M. A. Reddy; M. Sreehari; K. S. Sankaran</t>
        </is>
      </c>
      <c r="C1552" s="86" t="n">
        <v>2022</v>
      </c>
      <c r="D1552" s="5" t="inlineStr">
        <is>
          <t>Outcome not related to interest</t>
        </is>
      </c>
      <c r="E1552" s="86" t="n"/>
      <c r="F1552" s="86" t="n"/>
    </row>
    <row r="1553" ht="16" customHeight="1" s="55">
      <c r="A1553" s="86" t="inlineStr">
        <is>
          <t>Performance Evaluation of AI Assisted Automotive Diabetic Retinopathy Classification Systems</t>
        </is>
      </c>
      <c r="B1553" s="86" t="inlineStr">
        <is>
          <t>V. K. R. Poranki; B. S. Rao</t>
        </is>
      </c>
      <c r="C1553" s="86" t="n">
        <v>2022</v>
      </c>
      <c r="D1553" s="5" t="inlineStr">
        <is>
          <t>Outcome not related to interest</t>
        </is>
      </c>
      <c r="E1553" s="86" t="n"/>
      <c r="F1553" s="86" t="n"/>
    </row>
    <row r="1554" ht="16" customHeight="1" s="55">
      <c r="A1554" s="86" t="inlineStr">
        <is>
          <t>CNN based Model for Severity Analysis of Diabetic Retinopathy to aid Medical Treatment with Ayurvedic Perspective</t>
        </is>
      </c>
      <c r="B1554" s="86" t="inlineStr">
        <is>
          <t>C. S. Peter; M. Elappila; A. C. Swathi</t>
        </is>
      </c>
      <c r="C1554" s="86" t="n">
        <v>2022</v>
      </c>
      <c r="D1554" s="5" t="inlineStr">
        <is>
          <t>Outcome not related to interest</t>
        </is>
      </c>
      <c r="E1554" s="86" t="n"/>
      <c r="F1554" s="86" t="n"/>
    </row>
    <row r="1555" ht="16" customHeight="1" s="55">
      <c r="A1555" s="86" t="inlineStr">
        <is>
          <t>Diabetic Retinopathy Detection using an Improved ResNet50-InceptionV3 Structure</t>
        </is>
      </c>
      <c r="B1555" s="86" t="inlineStr">
        <is>
          <t>P. Patra; T. Singh</t>
        </is>
      </c>
      <c r="C1555" s="86" t="n">
        <v>2022</v>
      </c>
      <c r="D1555" s="5" t="inlineStr">
        <is>
          <t>Outcome not related to interest</t>
        </is>
      </c>
      <c r="E1555" s="86" t="n"/>
      <c r="F1555" s="86" t="n"/>
    </row>
    <row r="1556" ht="16" customHeight="1" s="55">
      <c r="A1556" s="86" t="inlineStr">
        <is>
          <t>Web Based Diabetes Prediction System Using Machine Learning</t>
        </is>
      </c>
      <c r="B1556" s="86" t="inlineStr">
        <is>
          <t>M. Patil; S. Patil; P. Singh</t>
        </is>
      </c>
      <c r="C1556" s="86" t="n">
        <v>2022</v>
      </c>
      <c r="D1556" s="5" t="inlineStr">
        <is>
          <t>Outcome not related to interest</t>
        </is>
      </c>
      <c r="E1556" s="86" t="n"/>
      <c r="F1556" s="86" t="n"/>
    </row>
    <row r="1557" ht="16" customHeight="1" s="55">
      <c r="A1557" s="86" t="inlineStr">
        <is>
          <t>EfficientNet with Optimal Wavelet Neural Network for DR Detection and Grading</t>
        </is>
      </c>
      <c r="B1557" s="86" t="inlineStr">
        <is>
          <t>K. Parthiban; M. Kamarasan</t>
        </is>
      </c>
      <c r="C1557" s="86" t="n">
        <v>2022</v>
      </c>
      <c r="D1557" s="5" t="inlineStr">
        <is>
          <t>Outcome not related to interest</t>
        </is>
      </c>
      <c r="E1557" s="86" t="n"/>
      <c r="F1557" s="86" t="n"/>
    </row>
    <row r="1558" ht="16" customHeight="1" s="55">
      <c r="A1558" s="86" t="inlineStr">
        <is>
          <t>A Recognition Method for Diabetic Retinopathy Based on Feature Selection</t>
        </is>
      </c>
      <c r="B1558" s="86" t="inlineStr">
        <is>
          <t>W. Pan</t>
        </is>
      </c>
      <c r="C1558" s="86" t="n">
        <v>2022</v>
      </c>
      <c r="D1558" s="5" t="inlineStr">
        <is>
          <t>Outcome not related to interest</t>
        </is>
      </c>
      <c r="E1558" s="86" t="n"/>
      <c r="F1558" s="86" t="n"/>
    </row>
    <row r="1559" ht="16" customHeight="1" s="55">
      <c r="A1559" s="86" t="inlineStr">
        <is>
          <t>Diabetic Retinopathy Detection using MobileNetV2 Architecture</t>
        </is>
      </c>
      <c r="B1559" s="86" t="inlineStr">
        <is>
          <t>A. M. Pamadi; A. Ravishankar; P. A. Nithya; G. Jahnavi; S. Kathavate</t>
        </is>
      </c>
      <c r="C1559" s="86" t="n">
        <v>2022</v>
      </c>
      <c r="D1559" s="5" t="inlineStr">
        <is>
          <t>Outcome not related to interest</t>
        </is>
      </c>
      <c r="E1559" s="86" t="n"/>
      <c r="F1559" s="86" t="n"/>
    </row>
    <row r="1560" ht="16" customHeight="1" s="55">
      <c r="A1560" s="86" t="inlineStr">
        <is>
          <t>Retinal Fundus Images Classification to Diagnose the Severity of Diabetic Retinopathy using CNN</t>
        </is>
      </c>
      <c r="B1560" s="86" t="inlineStr">
        <is>
          <t>R. R. Nurmalasari; K. Irawan; F. S. Suwita; A. Hadi; Khomisah; Sumiati</t>
        </is>
      </c>
      <c r="C1560" s="86" t="n">
        <v>2022</v>
      </c>
      <c r="D1560" s="5" t="inlineStr">
        <is>
          <t>Outcome not related to interest</t>
        </is>
      </c>
      <c r="E1560" s="86" t="n"/>
      <c r="F1560" s="86" t="n"/>
    </row>
    <row r="1561" ht="16" customHeight="1" s="55">
      <c r="A1561" s="86" t="inlineStr">
        <is>
          <t>Hybrid Method to Identify Diabetic Retinopathy</t>
        </is>
      </c>
      <c r="B1561" s="86" t="inlineStr">
        <is>
          <t>D. C. R. Novitasari; Fatmawati; R. Hendradi</t>
        </is>
      </c>
      <c r="C1561" s="86" t="n">
        <v>2022</v>
      </c>
      <c r="D1561" s="5" t="inlineStr">
        <is>
          <t>Outcome not related to interest</t>
        </is>
      </c>
      <c r="E1561" s="86" t="n"/>
      <c r="F1561" s="86" t="n"/>
    </row>
    <row r="1562" ht="16" customHeight="1" s="55">
      <c r="A1562" s="86" t="inlineStr">
        <is>
          <t>Explainable Diabetic Retinopathy Detection and Retinal Image Generation</t>
        </is>
      </c>
      <c r="B1562" s="86" t="inlineStr">
        <is>
          <t>Y. Niu; L. Gu; Y. Zhao; F. Lu</t>
        </is>
      </c>
      <c r="C1562" s="86" t="n">
        <v>2022</v>
      </c>
      <c r="D1562" s="5" t="inlineStr">
        <is>
          <t>Outcome not related to interest</t>
        </is>
      </c>
      <c r="E1562" s="86" t="n"/>
      <c r="F1562" s="86" t="n"/>
    </row>
    <row r="1563" ht="16" customHeight="1" s="55">
      <c r="A1563" s="86" t="inlineStr">
        <is>
          <t>Deep DR: Detection of Diabetic Retinopathy using a Convolutional Neural Network</t>
        </is>
      </c>
      <c r="B1563" s="86" t="inlineStr">
        <is>
          <t>N. Nasir; P. Oswald; O. Alshaltone; F. Barneih; M. A. Shabi; A. Al-Shammaa</t>
        </is>
      </c>
      <c r="C1563" s="86" t="n">
        <v>2022</v>
      </c>
      <c r="D1563" s="5" t="inlineStr">
        <is>
          <t>Outcome not related to interest</t>
        </is>
      </c>
      <c r="E1563" s="86" t="n"/>
      <c r="F1563" s="86" t="n"/>
    </row>
    <row r="1564" ht="16" customHeight="1" s="55">
      <c r="A1564" s="86" t="inlineStr">
        <is>
          <t>Federated Transfer Learning For Diabetic Retinopathy Detection Using CNN Architectures</t>
        </is>
      </c>
      <c r="B1564" s="86" t="inlineStr">
        <is>
          <t>M. Nasajpour; M. Karakaya; S. Pouriyeh; R. M. Parizi</t>
        </is>
      </c>
      <c r="C1564" s="86" t="n">
        <v>2022</v>
      </c>
      <c r="D1564" s="5" t="inlineStr">
        <is>
          <t>Outcome not related to interest</t>
        </is>
      </c>
      <c r="E1564" s="86" t="n"/>
      <c r="F1564" s="86" t="n"/>
    </row>
    <row r="1565" ht="16" customHeight="1" s="55">
      <c r="A1565" s="86" t="inlineStr">
        <is>
          <t>Disease Grading of Diabetic Retinopathy using Deep Learning Techniques</t>
        </is>
      </c>
      <c r="B1565" s="86" t="inlineStr">
        <is>
          <t>A. T. Nair; L. A. M; N. A. K. M</t>
        </is>
      </c>
      <c r="C1565" s="86" t="n">
        <v>2022</v>
      </c>
      <c r="D1565" s="5" t="inlineStr">
        <is>
          <t>Outcome not related to interest</t>
        </is>
      </c>
      <c r="E1565" s="86" t="n"/>
      <c r="F1565" s="86" t="n"/>
    </row>
    <row r="1566" ht="16" customHeight="1" s="55">
      <c r="A1566" s="86" t="inlineStr">
        <is>
          <t>Diabetic Retinopathy Detection using Android Application</t>
        </is>
      </c>
      <c r="B1566" s="86" t="inlineStr">
        <is>
          <t>P. Nage; A. Pandit; S. Jeurkar; S. Shitole</t>
        </is>
      </c>
      <c r="C1566" s="86" t="n">
        <v>2022</v>
      </c>
      <c r="D1566" s="5" t="inlineStr">
        <is>
          <t>Outcome not related to interest</t>
        </is>
      </c>
      <c r="E1566" s="86" t="n"/>
      <c r="F1566" s="86" t="n"/>
    </row>
    <row r="1567" ht="16" customHeight="1" s="55">
      <c r="A1567" s="86" t="inlineStr">
        <is>
          <t>Improved Classification of Stages in Diabetic Retinopathy Disease using Deep Learning Algorithm</t>
        </is>
      </c>
      <c r="B1567" s="86" t="inlineStr">
        <is>
          <t>M. N; G. A; J. T. S</t>
        </is>
      </c>
      <c r="C1567" s="86" t="n">
        <v>2022</v>
      </c>
      <c r="D1567" s="5" t="inlineStr">
        <is>
          <t>Outcome not related to interest</t>
        </is>
      </c>
      <c r="E1567" s="86" t="n"/>
      <c r="F1567" s="86" t="n"/>
    </row>
    <row r="1568" ht="16" customHeight="1" s="55">
      <c r="A1568" s="86" t="inlineStr">
        <is>
          <t>Classification of Diabetic Retinopathy Fundus Images using Deep Neural Network</t>
        </is>
      </c>
      <c r="B1568" s="86" t="inlineStr">
        <is>
          <t>K. N; Satyam; N. V. Teja; N. Gireesh</t>
        </is>
      </c>
      <c r="C1568" s="86" t="n">
        <v>2022</v>
      </c>
      <c r="D1568" s="5" t="inlineStr">
        <is>
          <t>Outcome not related to interest</t>
        </is>
      </c>
      <c r="E1568" s="86" t="n"/>
      <c r="F1568" s="86" t="n"/>
    </row>
    <row r="1569" ht="16" customHeight="1" s="55">
      <c r="A1569" s="86" t="inlineStr">
        <is>
          <t>Diabetic Retinopathy Classification using Vision Transformer</t>
        </is>
      </c>
      <c r="B1569" s="86" t="inlineStr">
        <is>
          <t>A. M. Mutawa; S. Sruthi</t>
        </is>
      </c>
      <c r="C1569" s="86" t="n">
        <v>2022</v>
      </c>
      <c r="D1569" s="5" t="inlineStr">
        <is>
          <t>Outcome not related to interest</t>
        </is>
      </c>
      <c r="E1569" s="86" t="n"/>
      <c r="F1569" s="86" t="n"/>
    </row>
    <row r="1570" ht="16" customHeight="1" s="55">
      <c r="A1570" s="86" t="inlineStr">
        <is>
          <t>Multi-Stream Deep Neural Network for Diabetic Retinopathy Severity Classification Under a Boosting Framework</t>
        </is>
      </c>
      <c r="B1570" s="86" t="inlineStr">
        <is>
          <t>H. Mustafa; S. F. Ali; M. Bilal; M. S. Hanif</t>
        </is>
      </c>
      <c r="C1570" s="86" t="n">
        <v>2022</v>
      </c>
      <c r="D1570" s="5" t="inlineStr">
        <is>
          <t>Outcome not related to interest</t>
        </is>
      </c>
      <c r="E1570" s="86" t="n"/>
      <c r="F1570" s="86" t="n"/>
    </row>
    <row r="1571" ht="16" customHeight="1" s="55">
      <c r="A1571" s="86" t="inlineStr">
        <is>
          <t>IoT Based Diabetic Retinopathy Monitoring System</t>
        </is>
      </c>
      <c r="B1571" s="86" t="inlineStr">
        <is>
          <t>K. Murugan; T. S. Gondrala; A. H. Vigneesh; U. Nandimandalam</t>
        </is>
      </c>
      <c r="C1571" s="86" t="n">
        <v>2022</v>
      </c>
      <c r="D1571" s="5" t="inlineStr">
        <is>
          <t>Outcome not related to interest</t>
        </is>
      </c>
      <c r="E1571" s="86" t="n"/>
      <c r="F1571" s="86" t="n"/>
    </row>
    <row r="1572" ht="16" customHeight="1" s="55">
      <c r="A1572" s="86" t="inlineStr">
        <is>
          <t>An Analysis on Ensemble Learning Optimized Medical Image Classification With Deep Convolutional Neural Networks</t>
        </is>
      </c>
      <c r="B1572" s="86" t="inlineStr">
        <is>
          <t>D. Müller; I. Soto-Rey; F. Kramer</t>
        </is>
      </c>
      <c r="C1572" s="86" t="n">
        <v>2022</v>
      </c>
      <c r="D1572" s="5" t="inlineStr">
        <is>
          <t>Outcome not related to interest</t>
        </is>
      </c>
      <c r="E1572" s="86" t="n"/>
      <c r="F1572" s="86" t="n"/>
    </row>
    <row r="1573" ht="16" customHeight="1" s="55">
      <c r="A1573" s="86" t="inlineStr">
        <is>
          <t>DBNet: Detect Diabetic Retinopathy to Stop Blindness Before it's Too Late</t>
        </is>
      </c>
      <c r="B1573" s="86" t="inlineStr">
        <is>
          <t>K. Mridha; M. M. Shorna; N. Arefin; A. Ritu; M. M. A. Chowdhury; M. I. Islam</t>
        </is>
      </c>
      <c r="C1573" s="86" t="n">
        <v>2022</v>
      </c>
      <c r="D1573" s="5" t="inlineStr">
        <is>
          <t>Outcome not related to interest</t>
        </is>
      </c>
      <c r="E1573" s="86" t="n"/>
      <c r="F1573" s="86" t="n"/>
    </row>
    <row r="1574" ht="16" customHeight="1" s="55">
      <c r="A1574" s="86" t="inlineStr">
        <is>
          <t>Enhancement of Diabetic Retinopathy Classification using Attention Guided Convolutional Neural Network</t>
        </is>
      </c>
      <c r="B1574" s="86" t="inlineStr">
        <is>
          <t>M. A. Moustari; Y. Brik; B. Attallah; R. Bouaouina; M. Djerioui</t>
        </is>
      </c>
      <c r="C1574" s="86" t="n">
        <v>2022</v>
      </c>
      <c r="D1574" s="5" t="inlineStr">
        <is>
          <t>Outcome not related to interest</t>
        </is>
      </c>
      <c r="E1574" s="86" t="n"/>
      <c r="F1574" s="86" t="n"/>
    </row>
    <row r="1575" ht="16" customHeight="1" s="55">
      <c r="A1575" s="86" t="inlineStr">
        <is>
          <t>Computerized Diagnosis of Diabetic Retinopathy based on Deep Learning Techniques</t>
        </is>
      </c>
      <c r="B1575" s="86" t="inlineStr">
        <is>
          <t>B. T. Monisha; C. Divya; N. Muthukumaran</t>
        </is>
      </c>
      <c r="C1575" s="86" t="n">
        <v>2022</v>
      </c>
      <c r="D1575" s="5" t="inlineStr">
        <is>
          <t>Outcome not related to interest</t>
        </is>
      </c>
      <c r="E1575" s="86" t="n"/>
      <c r="F1575" s="86" t="n"/>
    </row>
    <row r="1576" ht="16" customHeight="1" s="55">
      <c r="A1576" s="86" t="inlineStr">
        <is>
          <t>ViT-DR: Vision Transformers in Diabetic Retinopathy Grading Using Fundus Images</t>
        </is>
      </c>
      <c r="B1576" s="86" t="inlineStr">
        <is>
          <t>N. J. Mohan; R. Murugan; T. Goel; P. Roy</t>
        </is>
      </c>
      <c r="C1576" s="86" t="n">
        <v>2022</v>
      </c>
      <c r="D1576" s="5" t="inlineStr">
        <is>
          <t>Outcome not related to interest</t>
        </is>
      </c>
      <c r="E1576" s="86" t="n"/>
      <c r="F1576" s="86" t="n"/>
    </row>
    <row r="1577" ht="16" customHeight="1" s="55">
      <c r="A1577" s="86" t="inlineStr">
        <is>
          <t>GoogleNet CNN Classifications for Diabetics Retinopathy</t>
        </is>
      </c>
      <c r="B1577" s="86" t="inlineStr">
        <is>
          <t>A. H. M. Mohammed; M. Çevik</t>
        </is>
      </c>
      <c r="C1577" s="86" t="n">
        <v>2022</v>
      </c>
      <c r="D1577" s="5" t="inlineStr">
        <is>
          <t>Outcome not related to interest</t>
        </is>
      </c>
      <c r="E1577" s="86" t="n"/>
      <c r="F1577" s="86" t="n"/>
    </row>
    <row r="1578" ht="16" customHeight="1" s="55">
      <c r="A1578" s="86" t="inlineStr">
        <is>
          <t>CNN-MLP Based Prediction Model for Grading of Diabetic Retinopathy</t>
        </is>
      </c>
      <c r="B1578" s="86" t="inlineStr">
        <is>
          <t>P. Modi; Y. Kumar</t>
        </is>
      </c>
      <c r="C1578" s="86" t="n">
        <v>2022</v>
      </c>
      <c r="D1578" s="5" t="inlineStr">
        <is>
          <t>Outcome not related to interest</t>
        </is>
      </c>
      <c r="E1578" s="86" t="n"/>
      <c r="F1578" s="86" t="n"/>
    </row>
    <row r="1579" ht="16" customHeight="1" s="55">
      <c r="A1579" s="86" t="inlineStr">
        <is>
          <t>Augmentation Based Diabetic Retinopathy System Using Fundus Images</t>
        </is>
      </c>
      <c r="B1579" s="86" t="inlineStr">
        <is>
          <t>P. Modi; Y. Kumar</t>
        </is>
      </c>
      <c r="C1579" s="86" t="n">
        <v>2022</v>
      </c>
      <c r="D1579" s="5" t="inlineStr">
        <is>
          <t>Outcome not related to interest</t>
        </is>
      </c>
      <c r="E1579" s="86" t="n"/>
      <c r="F1579" s="86" t="n"/>
    </row>
    <row r="1580" ht="16" customHeight="1" s="55">
      <c r="A1580" s="86" t="inlineStr">
        <is>
          <t>Weakly-Supervised Learning With Complementary Heatmap for Retinal Disease Detection</t>
        </is>
      </c>
      <c r="B1580" s="86" t="inlineStr">
        <is>
          <t>Q. Meng; L. Liao; S. Satoh</t>
        </is>
      </c>
      <c r="C1580" s="86" t="n">
        <v>2022</v>
      </c>
      <c r="D1580" s="5" t="inlineStr">
        <is>
          <t>Outcome not related to interest</t>
        </is>
      </c>
      <c r="E1580" s="86" t="n"/>
      <c r="F1580" s="86" t="n"/>
    </row>
    <row r="1581" ht="16" customHeight="1" s="55">
      <c r="A1581" s="86" t="inlineStr">
        <is>
          <t>Categorisation and Prognosticationof Diabetic Retinopathy using Ensemble Learning and CNN</t>
        </is>
      </c>
      <c r="B1581" s="86" t="inlineStr">
        <is>
          <t>G. Meenakshi; G. Thailambal</t>
        </is>
      </c>
      <c r="C1581" s="86" t="n">
        <v>2022</v>
      </c>
      <c r="D1581" s="5" t="inlineStr">
        <is>
          <t>Outcome not related to interest</t>
        </is>
      </c>
      <c r="E1581" s="86" t="n"/>
      <c r="F1581" s="86" t="n"/>
    </row>
    <row r="1582" ht="16" customHeight="1" s="55">
      <c r="A1582" s="86" t="inlineStr">
        <is>
          <t>Deep Learning Approaches for Diabetic Retinopathy Detection by Image Classification</t>
        </is>
      </c>
      <c r="B1582" s="86" t="inlineStr">
        <is>
          <t>M. S. A. Mazumder; T. Hossain; F. M. J. M. Shamrat; N. Jahan; Z. Tasnim; A. Khater</t>
        </is>
      </c>
      <c r="C1582" s="86" t="n">
        <v>2022</v>
      </c>
      <c r="D1582" s="5" t="inlineStr">
        <is>
          <t>Outcome not related to interest</t>
        </is>
      </c>
      <c r="E1582" s="86" t="n"/>
      <c r="F1582" s="86" t="n"/>
    </row>
    <row r="1583" ht="16" customHeight="1" s="55">
      <c r="A1583" s="86" t="inlineStr">
        <is>
          <t>Automated Detection of Diabetic Retinopathy: A Comprehensive Study</t>
        </is>
      </c>
      <c r="B1583" s="86" t="inlineStr">
        <is>
          <t>T. Malik; V. Nandal</t>
        </is>
      </c>
      <c r="C1583" s="86" t="n">
        <v>2022</v>
      </c>
      <c r="D1583" s="5" t="inlineStr">
        <is>
          <t>Outcome not related to interest</t>
        </is>
      </c>
      <c r="E1583" s="86" t="n"/>
      <c r="F1583" s="86" t="n"/>
    </row>
    <row r="1584" ht="16" customHeight="1" s="55">
      <c r="A1584" s="86" t="inlineStr">
        <is>
          <t>Adaptive Prediction and Classification of Diabetic Retinopathy Using Machine Learning</t>
        </is>
      </c>
      <c r="B1584" s="86" t="inlineStr">
        <is>
          <t>U. B. Mahadevaswamy; T. H</t>
        </is>
      </c>
      <c r="C1584" s="86" t="n">
        <v>2022</v>
      </c>
      <c r="D1584" s="5" t="inlineStr">
        <is>
          <t>Outcome not related to interest</t>
        </is>
      </c>
      <c r="E1584" s="86" t="n"/>
      <c r="F1584" s="86" t="n"/>
    </row>
    <row r="1585" ht="16" customHeight="1" s="55">
      <c r="A1585" s="86" t="inlineStr">
        <is>
          <t>A Deep Learning based Hybrid Model for Classification of Diabetic Retinopathy</t>
        </is>
      </c>
      <c r="B1585" s="86" t="inlineStr">
        <is>
          <t>S. Madarapu; S. Ari; K. Mahapatra</t>
        </is>
      </c>
      <c r="C1585" s="86" t="n">
        <v>2022</v>
      </c>
      <c r="D1585" s="5" t="inlineStr">
        <is>
          <t>Outcome not related to interest</t>
        </is>
      </c>
      <c r="E1585" s="86" t="n"/>
      <c r="F1585" s="86" t="n"/>
    </row>
    <row r="1586" ht="16" customHeight="1" s="55">
      <c r="A1586" s="86" t="inlineStr">
        <is>
          <t>Automated Detection of Diabetic Retinopathy using Deep Learning in Retinal Fundus Images: Analysis</t>
        </is>
      </c>
      <c r="B1586" s="86" t="inlineStr">
        <is>
          <t>R. M; D. B; R. R. Nair; T. Babu</t>
        </is>
      </c>
      <c r="C1586" s="86" t="n">
        <v>2022</v>
      </c>
      <c r="D1586" s="5" t="inlineStr">
        <is>
          <t>Outcome not related to interest</t>
        </is>
      </c>
      <c r="E1586" s="86" t="n"/>
      <c r="F1586" s="86" t="n"/>
    </row>
    <row r="1587" ht="16" customHeight="1" s="55">
      <c r="A1587" s="86" t="inlineStr">
        <is>
          <t>Multi-Expert Deep Networks for Multi-Disease Detection in Retinal Fundus Images</t>
        </is>
      </c>
      <c r="B1587" s="86" t="inlineStr">
        <is>
          <t>L. Lyu; I. E. Toubal; K. Palaniappan</t>
        </is>
      </c>
      <c r="C1587" s="86" t="n">
        <v>2022</v>
      </c>
      <c r="D1587" s="5" t="inlineStr">
        <is>
          <t>Outcome not related to interest</t>
        </is>
      </c>
      <c r="E1587" s="86" t="n"/>
      <c r="F1587" s="86" t="n"/>
    </row>
    <row r="1588" ht="16" customHeight="1" s="55">
      <c r="A1588" s="86" t="inlineStr">
        <is>
          <t>A Deep Convolutional Neural Network For Diagnosis of Diabetic Retinopathy</t>
        </is>
      </c>
      <c r="B1588" s="86" t="inlineStr">
        <is>
          <t>V. Liu; M. Y. Shalaginov; R. Liao; T. H. Zeng</t>
        </is>
      </c>
      <c r="C1588" s="86" t="n">
        <v>2022</v>
      </c>
      <c r="D1588" s="5" t="inlineStr">
        <is>
          <t>Outcome not related to interest</t>
        </is>
      </c>
      <c r="E1588" s="86" t="n"/>
      <c r="F1588" s="86" t="n"/>
    </row>
    <row r="1589" ht="16" customHeight="1" s="55">
      <c r="A1589" s="86" t="inlineStr">
        <is>
          <t>Eye-Net: An Interpretable Machine Learning Ensemble for Feature Engineering, Classification, and Lesion Localization of Diabetic Retinopathy</t>
        </is>
      </c>
      <c r="B1589" s="86" t="inlineStr">
        <is>
          <t>J. Liu; J. Cuadros</t>
        </is>
      </c>
      <c r="C1589" s="86" t="n">
        <v>2022</v>
      </c>
      <c r="D1589" s="5" t="inlineStr">
        <is>
          <t>Outcome not related to interest</t>
        </is>
      </c>
      <c r="E1589" s="86" t="n"/>
      <c r="F1589" s="86" t="n"/>
    </row>
    <row r="1590" ht="16" customHeight="1" s="55">
      <c r="A1590" s="86" t="inlineStr">
        <is>
          <t>Retinal Fundus Image Segmentation Based on Channel-Attention Guided Network</t>
        </is>
      </c>
      <c r="B1590" s="86" t="inlineStr">
        <is>
          <t>C. L. Liao; C. A. Chou; C. Y. Chen; Y. K. Wang</t>
        </is>
      </c>
      <c r="C1590" s="86" t="n">
        <v>2022</v>
      </c>
      <c r="D1590" s="5" t="inlineStr">
        <is>
          <t>Outcome not related to interest</t>
        </is>
      </c>
      <c r="E1590" s="86" t="n"/>
      <c r="F1590" s="86" t="n"/>
    </row>
    <row r="1591" ht="16" customHeight="1" s="55">
      <c r="A1591" s="86" t="inlineStr">
        <is>
          <t>Interpretable Evaluation of Diabetic Retinopathy Grade Regarding Eye Color Fundus Images</t>
        </is>
      </c>
      <c r="B1591" s="86" t="inlineStr">
        <is>
          <t>Y. Li; J. S. Hsu; N. Bari; X. Qiu; M. Viswanathan; W. Shi; F. Giuste; Y. Zhong; J. Sun; M. D. Wang</t>
        </is>
      </c>
      <c r="C1591" s="86" t="n">
        <v>2022</v>
      </c>
      <c r="D1591" s="5" t="inlineStr">
        <is>
          <t>Outcome not related to interest</t>
        </is>
      </c>
      <c r="E1591" s="86" t="n"/>
      <c r="F1591" s="86" t="n"/>
    </row>
    <row r="1592" ht="16" customHeight="1" s="55">
      <c r="A1592" s="86" t="inlineStr">
        <is>
          <t>Diagnosis of Diabetic Retinopathy and Glaucoma from Retinal Images Using Deep Convolution Neural Network</t>
        </is>
      </c>
      <c r="B1592" s="86" t="inlineStr">
        <is>
          <t>R. S. Latha; G. R. Sreekanth; R. C. Suganthe; B. Bizu; K. Suvalakshmi; K. Venkatachalam</t>
        </is>
      </c>
      <c r="C1592" s="86" t="n">
        <v>2022</v>
      </c>
      <c r="D1592" s="5" t="inlineStr">
        <is>
          <t>Outcome not related to interest</t>
        </is>
      </c>
      <c r="E1592" s="86" t="n"/>
      <c r="F1592" s="86" t="n"/>
    </row>
    <row r="1593" ht="16" customHeight="1" s="55">
      <c r="A1593" s="86" t="inlineStr">
        <is>
          <t>Detection of Diabetic Retinopathy with Ground-Truth Segmentation using Fundus Image</t>
        </is>
      </c>
      <c r="B1593" s="86" t="inlineStr">
        <is>
          <t>T. P. Latchoumi; A. S. D. Kumar; J. Y. Raja</t>
        </is>
      </c>
      <c r="C1593" s="86" t="n">
        <v>2022</v>
      </c>
      <c r="D1593" s="5" t="inlineStr">
        <is>
          <t>Outcome not related to interest</t>
        </is>
      </c>
      <c r="E1593" s="86" t="n"/>
      <c r="F1593" s="86" t="n"/>
    </row>
    <row r="1594" ht="16" customHeight="1" s="55">
      <c r="A1594" s="86" t="inlineStr">
        <is>
          <t>Deep Learning Based Detection of Diabetic Retinopathy using Retinal Fundus Images</t>
        </is>
      </c>
      <c r="B1594" s="86" t="inlineStr">
        <is>
          <t>C. U. Kumari; A. Hemanth; V. Anand; D. S. Kumar; R. N. Sanjeev; T. S. S. Harshitha</t>
        </is>
      </c>
      <c r="C1594" s="86" t="n">
        <v>2022</v>
      </c>
      <c r="D1594" s="5" t="inlineStr">
        <is>
          <t>Outcome not related to interest</t>
        </is>
      </c>
      <c r="E1594" s="86" t="n"/>
      <c r="F1594" s="86" t="n"/>
    </row>
    <row r="1595" ht="16" customHeight="1" s="55">
      <c r="A1595" s="86" t="inlineStr">
        <is>
          <t>Detection of Non-proliferative Diabetic Retinopathy using GUI</t>
        </is>
      </c>
      <c r="B1595" s="86" t="inlineStr">
        <is>
          <t>Y. Kumar; N. Poonia; P. Jain</t>
        </is>
      </c>
      <c r="C1595" s="86" t="n">
        <v>2022</v>
      </c>
      <c r="D1595" s="5" t="inlineStr">
        <is>
          <t>Outcome not related to interest</t>
        </is>
      </c>
      <c r="E1595" s="86" t="n"/>
      <c r="F1595" s="86" t="n"/>
    </row>
    <row r="1596" ht="16" customHeight="1" s="55">
      <c r="A1596" s="86" t="inlineStr">
        <is>
          <t>Diabetic Retinopathy Detection using Deep Learning Methodology</t>
        </is>
      </c>
      <c r="B1596" s="86" t="inlineStr">
        <is>
          <t>A. V. Kumar; A. S. Babu</t>
        </is>
      </c>
      <c r="C1596" s="86" t="n">
        <v>2022</v>
      </c>
      <c r="D1596" s="5" t="inlineStr">
        <is>
          <t>Outcome not related to interest</t>
        </is>
      </c>
      <c r="E1596" s="86" t="n"/>
      <c r="F1596" s="86" t="n"/>
    </row>
    <row r="1597" ht="16" customHeight="1" s="55">
      <c r="A1597" s="86" t="inlineStr">
        <is>
          <t>Diabetic Retinopathy Detection: A Deep Learning Approach</t>
        </is>
      </c>
      <c r="B1597" s="86" t="inlineStr">
        <is>
          <t>S. Kshirsagar; A. Mangwani; Kirti; S. Karanjkar; B. Kanawade</t>
        </is>
      </c>
      <c r="C1597" s="86" t="n">
        <v>2022</v>
      </c>
      <c r="D1597" s="5" t="inlineStr">
        <is>
          <t>Outcome not related to interest</t>
        </is>
      </c>
      <c r="E1597" s="86" t="n"/>
      <c r="F1597" s="86" t="n"/>
    </row>
    <row r="1598" ht="16" customHeight="1" s="55">
      <c r="A1598" s="86" t="inlineStr">
        <is>
          <t>Detection of diabetic Retinopathy using Retinal Fundus Images</t>
        </is>
      </c>
      <c r="B1598" s="86" t="inlineStr">
        <is>
          <t>L. Krishnasamy; R. K. Dhanaraj; M. Gupta; P. Rai; K. Sruthi; T. G</t>
        </is>
      </c>
      <c r="C1598" s="86" t="n">
        <v>2022</v>
      </c>
      <c r="D1598" s="5" t="inlineStr">
        <is>
          <t>Outcome not related to interest</t>
        </is>
      </c>
      <c r="E1598" s="86" t="n"/>
      <c r="F1598" s="86" t="n"/>
    </row>
    <row r="1599" ht="16" customHeight="1" s="55">
      <c r="A1599" s="86" t="inlineStr">
        <is>
          <t>Deep Learning Approaches for Detecting Diabetic Retinopathy using CNN Models</t>
        </is>
      </c>
      <c r="B1599" s="86" t="inlineStr">
        <is>
          <t>M. M. Krishnan; S. T. Ramya; K. Kirubanathavalli; S. Lalitha; J. Diofrin; M. Vadivel</t>
        </is>
      </c>
      <c r="C1599" s="86" t="n">
        <v>2022</v>
      </c>
      <c r="D1599" s="5" t="inlineStr">
        <is>
          <t>Outcome not related to interest</t>
        </is>
      </c>
      <c r="E1599" s="86" t="n"/>
      <c r="F1599" s="86" t="n"/>
    </row>
    <row r="1600" ht="16" customHeight="1" s="55">
      <c r="A1600" s="86" t="inlineStr">
        <is>
          <t>Investigating on Data Augmentation and Generative Adversarial Networks (GAN s) for Diabetic Retinopathy</t>
        </is>
      </c>
      <c r="B1600" s="86" t="inlineStr">
        <is>
          <t>M. H. M. Khan; Z. Mungloo-Dilmohamud; K. Jhumka; N. Z. Mungloo; C. Peña-Reyes</t>
        </is>
      </c>
      <c r="C1600" s="86" t="n">
        <v>2022</v>
      </c>
      <c r="D1600" s="5" t="inlineStr">
        <is>
          <t>Outcome not related to interest</t>
        </is>
      </c>
      <c r="E1600" s="86" t="n"/>
      <c r="F1600" s="86" t="n"/>
    </row>
    <row r="1601" ht="16" customHeight="1" s="55">
      <c r="A1601" s="86" t="inlineStr">
        <is>
          <t>Robust Yet Simple Deep Learning-Based Ensemble Approach for Assessing Diabetic Retinopathy in Fundus Images</t>
        </is>
      </c>
      <c r="B1601" s="86" t="inlineStr">
        <is>
          <t>S. Khalid; S. Abdulwahab; H. A. Rashwan; M. Abdel-Nasser; N. Sharaf; D. Puig</t>
        </is>
      </c>
      <c r="C1601" s="86" t="n">
        <v>2022</v>
      </c>
      <c r="D1601" s="5" t="inlineStr">
        <is>
          <t>Outcome not related to interest</t>
        </is>
      </c>
      <c r="E1601" s="86" t="n"/>
      <c r="F1601" s="86" t="n"/>
    </row>
    <row r="1602" ht="16" customHeight="1" s="55">
      <c r="A1602" s="86" t="inlineStr">
        <is>
          <t>Performances of CNN Architectures on Diabetic Retinopathy Detection Using Transfer Learning</t>
        </is>
      </c>
      <c r="B1602" s="86" t="inlineStr">
        <is>
          <t>E. Kaya; I. Saritas</t>
        </is>
      </c>
      <c r="C1602" s="86" t="n">
        <v>2022</v>
      </c>
      <c r="D1602" s="5" t="inlineStr">
        <is>
          <t>Outcome not related to interest</t>
        </is>
      </c>
      <c r="E1602" s="86" t="n"/>
      <c r="F1602" s="86" t="n"/>
    </row>
    <row r="1603" ht="16" customHeight="1" s="55">
      <c r="A1603" s="86" t="inlineStr">
        <is>
          <t>A Deep Neural Network for Detecting the Severity Level of Diabetic Retinopathy from Retinography Images</t>
        </is>
      </c>
      <c r="B1603" s="86" t="inlineStr">
        <is>
          <t>A. E. B. Kassimi; M. Madiafi; A. Kammour; A. Bouroumi</t>
        </is>
      </c>
      <c r="C1603" s="86" t="n">
        <v>2022</v>
      </c>
      <c r="D1603" s="5" t="inlineStr">
        <is>
          <t>Outcome not related to interest</t>
        </is>
      </c>
      <c r="E1603" s="86" t="n"/>
      <c r="F1603" s="86" t="n"/>
    </row>
    <row r="1604" ht="16" customHeight="1" s="55">
      <c r="A1604" s="86" t="inlineStr">
        <is>
          <t>Collaborative Deep Learning for Privacy Preserving Diabetic Retinopathy Detection</t>
        </is>
      </c>
      <c r="B1604" s="86" t="inlineStr">
        <is>
          <t>M. Karakaya; R. S. Aygun; A. B. Sallam</t>
        </is>
      </c>
      <c r="C1604" s="86" t="n">
        <v>2022</v>
      </c>
      <c r="D1604" s="5" t="inlineStr">
        <is>
          <t>Outcome not related to interest</t>
        </is>
      </c>
      <c r="E1604" s="86" t="n"/>
      <c r="F1604" s="86" t="n"/>
    </row>
    <row r="1605" ht="16" customHeight="1" s="55">
      <c r="A1605" s="86" t="inlineStr">
        <is>
          <t>Improving Medical Images Classification With Label Noise Using Dual-Uncertainty Estimation</t>
        </is>
      </c>
      <c r="B1605" s="86" t="inlineStr">
        <is>
          <t>L. Ju; X. Wang; L. Wang; D. Mahapatra; X. Zhao; Q. Zhou; T. Liu; Z. Ge</t>
        </is>
      </c>
      <c r="C1605" s="86" t="n">
        <v>2022</v>
      </c>
      <c r="D1605" s="5" t="inlineStr">
        <is>
          <t>Outcome not related to interest</t>
        </is>
      </c>
      <c r="E1605" s="86" t="n"/>
      <c r="F1605" s="86" t="n"/>
    </row>
    <row r="1606" ht="16" customHeight="1" s="55">
      <c r="A1606" s="86" t="inlineStr">
        <is>
          <t>An Ensemble Deep Learning Approach for Diabetic Retinopathy Detection using Fundus Image</t>
        </is>
      </c>
      <c r="B1606" s="86" t="inlineStr">
        <is>
          <t>S. Johnson; J. R. L. J; G. Karthikeyan; M. V; D. Sasireka</t>
        </is>
      </c>
      <c r="C1606" s="86" t="n">
        <v>2022</v>
      </c>
      <c r="D1606" s="5" t="inlineStr">
        <is>
          <t>Outcome not related to interest</t>
        </is>
      </c>
      <c r="E1606" s="86" t="n"/>
      <c r="F1606" s="86" t="n"/>
    </row>
    <row r="1607" ht="16" customHeight="1" s="55">
      <c r="A1607" s="86" t="inlineStr">
        <is>
          <t>A Convolutional Neural Network Approach for Diabetic Retinopathy Classification</t>
        </is>
      </c>
      <c r="B1607" s="86" t="inlineStr">
        <is>
          <t>N. Jiwani; K. Gupta; N. Afreen</t>
        </is>
      </c>
      <c r="C1607" s="86" t="n">
        <v>2022</v>
      </c>
      <c r="D1607" s="5" t="inlineStr">
        <is>
          <t>Outcome not related to interest</t>
        </is>
      </c>
      <c r="E1607" s="86" t="n"/>
      <c r="F1607" s="86" t="n"/>
    </row>
    <row r="1608" ht="16" customHeight="1" s="55">
      <c r="A1608" s="86" t="inlineStr">
        <is>
          <t>Employing Deep Learning Algorithm to Identify Diabetic Retinopathy</t>
        </is>
      </c>
      <c r="B1608" s="86" t="inlineStr">
        <is>
          <t>J. J. Jenisha; R. Sandhiya; M. Gunanithi; S. Hariraj</t>
        </is>
      </c>
      <c r="C1608" s="86" t="n">
        <v>2022</v>
      </c>
      <c r="D1608" s="5" t="inlineStr">
        <is>
          <t>Outcome not related to interest</t>
        </is>
      </c>
      <c r="E1608" s="86" t="n"/>
      <c r="F1608" s="86" t="n"/>
    </row>
    <row r="1609" ht="16" customHeight="1" s="55">
      <c r="A1609" s="86" t="inlineStr">
        <is>
          <t>Uncertainty-Aware Deep Learning Methods for Robust Diabetic Retinopathy Classification</t>
        </is>
      </c>
      <c r="B1609" s="86" t="inlineStr">
        <is>
          <t>J. Jaskari; J. Sahlsten; T. Damoulas; J. Knoblauch; S. Särkkä; L. Kärkkäinen; K. Hietala; K. K. Kaski</t>
        </is>
      </c>
      <c r="C1609" s="86" t="n">
        <v>2022</v>
      </c>
      <c r="D1609" s="5" t="inlineStr">
        <is>
          <t>Outcome not related to interest</t>
        </is>
      </c>
      <c r="E1609" s="86" t="n"/>
      <c r="F1609" s="86" t="n"/>
    </row>
    <row r="1610" ht="16" customHeight="1" s="55">
      <c r="A1610" s="86" t="inlineStr">
        <is>
          <t>Segmentation of medical images using U-Net++</t>
        </is>
      </c>
      <c r="B1610" s="86" t="inlineStr">
        <is>
          <t>T. Jahnavi; D. Vasundhara</t>
        </is>
      </c>
      <c r="C1610" s="86" t="n">
        <v>2022</v>
      </c>
      <c r="D1610" s="5" t="inlineStr">
        <is>
          <t>Outcome not related to interest</t>
        </is>
      </c>
      <c r="E1610" s="86" t="n"/>
      <c r="F1610" s="86" t="n"/>
    </row>
    <row r="1611" ht="16" customHeight="1" s="55">
      <c r="A1611" s="86" t="inlineStr">
        <is>
          <t>RTNet: Relation Transformer Network for Diabetic Retinopathy Multi-Lesion Segmentation</t>
        </is>
      </c>
      <c r="B1611" s="86" t="inlineStr">
        <is>
          <t>S. Huang; J. Li; Y. Xiao; N. Shen; T. Xu</t>
        </is>
      </c>
      <c r="C1611" s="86" t="n">
        <v>2022</v>
      </c>
      <c r="D1611" s="5" t="inlineStr">
        <is>
          <t>Outcome not related to interest</t>
        </is>
      </c>
      <c r="E1611" s="86" t="n"/>
      <c r="F1611" s="86" t="n"/>
    </row>
    <row r="1612" ht="16" customHeight="1" s="55">
      <c r="A1612" s="86" t="inlineStr">
        <is>
          <t>End-to-End Multi-task Learning Regression Network for Fovea Localization in Fundus Images</t>
        </is>
      </c>
      <c r="B1612" s="86" t="inlineStr">
        <is>
          <t>L. Huang; H. Lei; W. Liu; Z. Li; H. Xie; B. Lei</t>
        </is>
      </c>
      <c r="C1612" s="86" t="n">
        <v>2022</v>
      </c>
      <c r="D1612" s="5" t="inlineStr">
        <is>
          <t>Outcome not related to interest</t>
        </is>
      </c>
      <c r="E1612" s="86" t="n"/>
      <c r="F1612" s="86" t="n"/>
    </row>
    <row r="1613" ht="16" customHeight="1" s="55">
      <c r="A1613" s="86" t="inlineStr">
        <is>
          <t>Graph Adversarial Transfer Learning for Diabetic Retinopathy Classification</t>
        </is>
      </c>
      <c r="B1613" s="86" t="inlineStr">
        <is>
          <t>J. Hu; H. Wang; L. Wang; Y. Lu</t>
        </is>
      </c>
      <c r="C1613" s="86" t="n">
        <v>2022</v>
      </c>
      <c r="D1613" s="5" t="inlineStr">
        <is>
          <t>Outcome not related to interest</t>
        </is>
      </c>
      <c r="E1613" s="86" t="n"/>
      <c r="F1613" s="86" t="n"/>
    </row>
    <row r="1614" ht="16" customHeight="1" s="55">
      <c r="A1614" s="86" t="inlineStr">
        <is>
          <t>Deep Learning System for Detecting the Diabetic Retinopathy</t>
        </is>
      </c>
      <c r="B1614" s="86" t="inlineStr">
        <is>
          <t>F. Hayat; R. Mahum</t>
        </is>
      </c>
      <c r="C1614" s="86" t="n">
        <v>2022</v>
      </c>
      <c r="D1614" s="5" t="inlineStr">
        <is>
          <t>Outcome not related to interest</t>
        </is>
      </c>
      <c r="E1614" s="86" t="n"/>
      <c r="F1614" s="86" t="n"/>
    </row>
    <row r="1615" ht="16" customHeight="1" s="55">
      <c r="A1615" s="86" t="inlineStr">
        <is>
          <t>Evolution and Testimony of Deep Learning Algorithm for Diabetic Retinopathy Detection</t>
        </is>
      </c>
      <c r="B1615" s="86" t="inlineStr">
        <is>
          <t>P. Hatode; M. M. Edinburgh; M. Jha</t>
        </is>
      </c>
      <c r="C1615" s="86" t="n">
        <v>2022</v>
      </c>
      <c r="D1615" s="5" t="inlineStr">
        <is>
          <t>Outcome not related to interest</t>
        </is>
      </c>
      <c r="E1615" s="86" t="n"/>
      <c r="F1615" s="86" t="n"/>
    </row>
    <row r="1616" ht="16" customHeight="1" s="55">
      <c r="A1616" s="86" t="inlineStr">
        <is>
          <t>Machine learning &amp; deep learning algorithm reviews for diabetic retinopathy detection</t>
        </is>
      </c>
      <c r="B1616" s="86" t="inlineStr">
        <is>
          <t>P. Hatode; M. M. Edinburgh</t>
        </is>
      </c>
      <c r="C1616" s="86" t="n">
        <v>2022</v>
      </c>
      <c r="D1616" s="5" t="inlineStr">
        <is>
          <t>Outcome not related to interest</t>
        </is>
      </c>
      <c r="E1616" s="86" t="n"/>
      <c r="F1616" s="86" t="n"/>
    </row>
    <row r="1617" ht="16" customHeight="1" s="55">
      <c r="A1617" s="86" t="inlineStr">
        <is>
          <t>Artificial Intelligence System for Classification of Diabetic Retinopathy</t>
        </is>
      </c>
      <c r="B1617" s="86" t="inlineStr">
        <is>
          <t>D. Harikrishna; N. U. Kumar</t>
        </is>
      </c>
      <c r="C1617" s="86" t="n">
        <v>2022</v>
      </c>
      <c r="D1617" s="5" t="inlineStr">
        <is>
          <t>Outcome not related to interest</t>
        </is>
      </c>
      <c r="E1617" s="86" t="n"/>
      <c r="F1617" s="86" t="n"/>
    </row>
    <row r="1618" ht="16" customHeight="1" s="55">
      <c r="A1618" s="86" t="inlineStr">
        <is>
          <t>Retinopathy Detection on Diabetic Patients through Transfer Learning based Inceptionv3 Algorithm</t>
        </is>
      </c>
      <c r="B1618" s="86" t="inlineStr">
        <is>
          <t>R. H; B. G; P. P</t>
        </is>
      </c>
      <c r="C1618" s="86" t="n">
        <v>2022</v>
      </c>
      <c r="D1618" s="5" t="inlineStr">
        <is>
          <t>Outcome not related to interest</t>
        </is>
      </c>
      <c r="E1618" s="86" t="n"/>
      <c r="F1618" s="86" t="n"/>
    </row>
    <row r="1619" ht="16" customHeight="1" s="55">
      <c r="A1619" s="86" t="inlineStr">
        <is>
          <t>Optimized Feature Selection Approach for Smartphone Based Diabetic Retinopathy Detection</t>
        </is>
      </c>
      <c r="B1619" s="86" t="inlineStr">
        <is>
          <t>S. Gupta; S. Thakur; A. Gupta</t>
        </is>
      </c>
      <c r="C1619" s="86" t="n">
        <v>2022</v>
      </c>
      <c r="D1619" s="5" t="inlineStr">
        <is>
          <t>Outcome not related to interest</t>
        </is>
      </c>
      <c r="E1619" s="86" t="n"/>
      <c r="F1619" s="86" t="n"/>
    </row>
    <row r="1620" ht="16" customHeight="1" s="55">
      <c r="A1620" s="86" t="inlineStr">
        <is>
          <t>Real Time Analysis of Diabetic Retinopathy Lesions by Employing Deep Learning and Machine Learning Algorithms using Color Fundus Data</t>
        </is>
      </c>
      <c r="B1620" s="86" t="inlineStr">
        <is>
          <t>S. Gupta; A. Panwar; A. Kapruwan; N. Chaube; M. Chauhan</t>
        </is>
      </c>
      <c r="C1620" s="86" t="n">
        <v>2022</v>
      </c>
      <c r="D1620" s="5" t="inlineStr">
        <is>
          <t>Outcome not related to interest</t>
        </is>
      </c>
      <c r="E1620" s="86" t="n"/>
      <c r="F1620" s="86" t="n"/>
    </row>
    <row r="1621" ht="16" customHeight="1" s="55">
      <c r="A1621" s="86" t="inlineStr">
        <is>
          <t>Diabetic Retinopathy Detection Method Based on Improved Convolutional Neural Network Using Fine-Tuning</t>
        </is>
      </c>
      <c r="B1621" s="86" t="inlineStr">
        <is>
          <t>W. Guo; R. Guo; X. Du; Y. Zhao; X. Li; T. T. Toe</t>
        </is>
      </c>
      <c r="C1621" s="86" t="n">
        <v>2022</v>
      </c>
      <c r="D1621" s="5" t="inlineStr">
        <is>
          <t>Outcome not related to interest</t>
        </is>
      </c>
      <c r="E1621" s="86" t="n"/>
      <c r="F1621" s="86" t="n"/>
    </row>
    <row r="1622" ht="16" customHeight="1" s="55">
      <c r="A1622" s="86" t="inlineStr">
        <is>
          <t>Comparative Analysis of Deep Learning Approaches for the Diagnosis of Diabetic Retinopathy</t>
        </is>
      </c>
      <c r="B1622" s="86" t="inlineStr">
        <is>
          <t>S. Gulati; V. P. Singh; S. Shukla</t>
        </is>
      </c>
      <c r="C1622" s="86" t="n">
        <v>2022</v>
      </c>
      <c r="D1622" s="5" t="inlineStr">
        <is>
          <t>Outcome not related to interest</t>
        </is>
      </c>
      <c r="E1622" s="86" t="n"/>
      <c r="F1622" s="86" t="n"/>
    </row>
    <row r="1623" ht="16" customHeight="1" s="55">
      <c r="A1623" s="86" t="inlineStr">
        <is>
          <t>Diabetic Retinopathy Image Analysis Using Deep Learning Techniques</t>
        </is>
      </c>
      <c r="B1623" s="86" t="inlineStr">
        <is>
          <t>N. Goel; S. K. Singh</t>
        </is>
      </c>
      <c r="C1623" s="86" t="n">
        <v>2022</v>
      </c>
      <c r="D1623" s="5" t="inlineStr">
        <is>
          <t>Outcome not related to interest</t>
        </is>
      </c>
      <c r="E1623" s="86" t="n"/>
      <c r="F1623" s="86" t="n"/>
    </row>
    <row r="1624" ht="16" customHeight="1" s="55">
      <c r="A1624" s="86" t="inlineStr">
        <is>
          <t>Deep Classification of Fundus Images Using Semi Supervised GAN</t>
        </is>
      </c>
      <c r="B1624" s="86" t="inlineStr">
        <is>
          <t>C. Gobinath; M. P. Gopinath</t>
        </is>
      </c>
      <c r="C1624" s="86" t="n">
        <v>2022</v>
      </c>
      <c r="D1624" s="5" t="inlineStr">
        <is>
          <t>Outcome not related to interest</t>
        </is>
      </c>
      <c r="E1624" s="86" t="n"/>
      <c r="F1624" s="86" t="n"/>
    </row>
    <row r="1625" ht="16" customHeight="1" s="55">
      <c r="A1625" s="86" t="inlineStr">
        <is>
          <t>Classification of Fundus Images Using Modified Stacking Ensemble</t>
        </is>
      </c>
      <c r="B1625" s="86" t="inlineStr">
        <is>
          <t>U. Giridharan; V. Janardhanan; P. Ravi; B. V. Hiremath</t>
        </is>
      </c>
      <c r="C1625" s="86" t="n">
        <v>2022</v>
      </c>
      <c r="D1625" s="5" t="inlineStr">
        <is>
          <t>Outcome not related to interest</t>
        </is>
      </c>
      <c r="E1625" s="86" t="n"/>
      <c r="F1625" s="86" t="n"/>
    </row>
    <row r="1626" ht="16" customHeight="1" s="55">
      <c r="A1626" s="86" t="inlineStr">
        <is>
          <t>Lightweight Convolution Neural Network for Diabetic Retinopathy Grading</t>
        </is>
      </c>
      <c r="B1626" s="86" t="inlineStr">
        <is>
          <t>S. Giraddi; S. Chickerur; M. S. Patil; S. Kanakaraddi; V. Giraddi</t>
        </is>
      </c>
      <c r="C1626" s="86" t="n">
        <v>2022</v>
      </c>
      <c r="D1626" s="5" t="inlineStr">
        <is>
          <t>Outcome not related to interest</t>
        </is>
      </c>
      <c r="E1626" s="86" t="n"/>
      <c r="F1626" s="86" t="n"/>
    </row>
    <row r="1627" ht="16" customHeight="1" s="55">
      <c r="A1627" s="86" t="inlineStr">
        <is>
          <t>Explainable Retinopathy Diagnosis and Localisation by means of Class Activation Mapping</t>
        </is>
      </c>
      <c r="B1627" s="86" t="inlineStr">
        <is>
          <t>M. D. Giammarco; G. Iadarola; F. Martinelli; F. Mercaldo; A. Santone</t>
        </is>
      </c>
      <c r="C1627" s="86" t="n">
        <v>2022</v>
      </c>
      <c r="D1627" s="5" t="inlineStr">
        <is>
          <t>Outcome not related to interest</t>
        </is>
      </c>
      <c r="E1627" s="86" t="n"/>
      <c r="F1627" s="86" t="n"/>
    </row>
    <row r="1628" ht="16" customHeight="1" s="55">
      <c r="A1628" s="86" t="inlineStr">
        <is>
          <t>Artificial Intelligence-Based Teleopthalmology Application for Diagnosis of Diabetics Retinopathy</t>
        </is>
      </c>
      <c r="B1628" s="86" t="inlineStr">
        <is>
          <t>S. Ghouali; E. Onyema; M. Guellil; M. A. Wajid; O. Clare; W. Cherifi; M. Feham</t>
        </is>
      </c>
      <c r="C1628" s="86" t="n">
        <v>2022</v>
      </c>
      <c r="D1628" s="5" t="inlineStr">
        <is>
          <t>Outcome not related to interest</t>
        </is>
      </c>
      <c r="E1628" s="86" t="n"/>
      <c r="F1628" s="86" t="n"/>
    </row>
    <row r="1629" ht="16" customHeight="1" s="55">
      <c r="A1629" s="86" t="inlineStr">
        <is>
          <t>Early Detection of Diabetic Retinopathy Using ResNet50</t>
        </is>
      </c>
      <c r="B1629" s="86" t="inlineStr">
        <is>
          <t>R. W. Ghanime; A. W. Ali</t>
        </is>
      </c>
      <c r="C1629" s="86" t="n">
        <v>2022</v>
      </c>
      <c r="D1629" s="5" t="inlineStr">
        <is>
          <t>Outcome not related to interest</t>
        </is>
      </c>
      <c r="E1629" s="86" t="n"/>
      <c r="F1629" s="86" t="n"/>
    </row>
    <row r="1630" ht="16" customHeight="1" s="55">
      <c r="A1630" s="86" t="inlineStr">
        <is>
          <t>Multi-label detection of ophthalmic disorders using InceptionResNetV2 on multiple datasets</t>
        </is>
      </c>
      <c r="B1630" s="86" t="inlineStr">
        <is>
          <t>A. Ghadiri; A. Sheikholeslami; A. Bahaloo</t>
        </is>
      </c>
      <c r="C1630" s="86" t="n">
        <v>2022</v>
      </c>
      <c r="D1630" s="5" t="inlineStr">
        <is>
          <t>Outcome not related to interest</t>
        </is>
      </c>
      <c r="E1630" s="86" t="n"/>
      <c r="F1630" s="86" t="n"/>
    </row>
    <row r="1631" ht="16" customHeight="1" s="55">
      <c r="A1631" s="86" t="inlineStr">
        <is>
          <t>Recent advancements in automated screening techniques for diabetic retinopathy</t>
        </is>
      </c>
      <c r="B1631" s="86" t="inlineStr">
        <is>
          <t>V. K. U. A. Gani; N. Shanmugasundaram; N. Thiyagarajan</t>
        </is>
      </c>
      <c r="C1631" s="86" t="n">
        <v>2022</v>
      </c>
      <c r="D1631" s="5" t="inlineStr">
        <is>
          <t>Outcome not related to interest</t>
        </is>
      </c>
      <c r="E1631" s="86" t="n"/>
      <c r="F1631" s="86" t="n"/>
    </row>
    <row r="1632" ht="16" customHeight="1" s="55">
      <c r="A1632" s="86" t="inlineStr">
        <is>
          <t>DMERCNET: A Quirky Deep Learning Classifier for Diabetic Retinopathy and Macular Edema Risk Using CNN</t>
        </is>
      </c>
      <c r="B1632" s="86" t="inlineStr">
        <is>
          <t>S. S. Gadde; K. V. D. Kiran</t>
        </is>
      </c>
      <c r="C1632" s="86" t="n">
        <v>2022</v>
      </c>
      <c r="D1632" s="5" t="inlineStr">
        <is>
          <t>Outcome not related to interest</t>
        </is>
      </c>
      <c r="E1632" s="86" t="n"/>
      <c r="F1632" s="86" t="n"/>
    </row>
    <row r="1633" ht="16" customHeight="1" s="55">
      <c r="A1633" s="86" t="inlineStr">
        <is>
          <t>Harmony Loss for Unbalanced Prediction</t>
        </is>
      </c>
      <c r="B1633" s="86" t="inlineStr">
        <is>
          <t>Y. Fu; P. Xue; M. Ren; E. Dong</t>
        </is>
      </c>
      <c r="C1633" s="86" t="n">
        <v>2022</v>
      </c>
      <c r="D1633" s="5" t="inlineStr">
        <is>
          <t>Outcome not related to interest</t>
        </is>
      </c>
      <c r="E1633" s="86" t="n"/>
      <c r="F1633" s="86" t="n"/>
    </row>
    <row r="1634" ht="16" customHeight="1" s="55">
      <c r="A1634" s="86" t="inlineStr">
        <is>
          <t>Automatic Severity Classification of Diabetic Retinopathy Based on DenseNet and Convolutional Block Attention Module</t>
        </is>
      </c>
      <c r="B1634" s="86" t="inlineStr">
        <is>
          <t>M. M. Farag; M. Fouad; A. T. Abdel-Hamid</t>
        </is>
      </c>
      <c r="C1634" s="86" t="n">
        <v>2022</v>
      </c>
      <c r="D1634" s="5" t="inlineStr">
        <is>
          <t>Outcome not related to interest</t>
        </is>
      </c>
      <c r="E1634" s="86" t="n"/>
      <c r="F1634" s="86" t="n"/>
    </row>
    <row r="1635" ht="16" customHeight="1" s="55">
      <c r="A1635" s="86" t="inlineStr">
        <is>
          <t>Fuzzy acceptance Analysis of Impact of Glaucoma and Diabetic Retinopathy using Confusion Matrix</t>
        </is>
      </c>
      <c r="B1635" s="86" t="inlineStr">
        <is>
          <t>D. F. B; N. Sindhwani; G. S; A. K. R; S. M</t>
        </is>
      </c>
      <c r="C1635" s="86" t="n">
        <v>2022</v>
      </c>
      <c r="D1635" s="5" t="inlineStr">
        <is>
          <t>Outcome not related to interest</t>
        </is>
      </c>
      <c r="E1635" s="86" t="n"/>
      <c r="F1635" s="86" t="n"/>
    </row>
    <row r="1636" ht="16" customHeight="1" s="55">
      <c r="A1636" s="86" t="inlineStr">
        <is>
          <t>A Variant Binary Classification Model for No-DR Mild-DR Detection using CLAHE Images With Transfer Learning</t>
        </is>
      </c>
      <c r="B1636" s="86" t="inlineStr">
        <is>
          <t>P. M. Ebin; P. Ranjana</t>
        </is>
      </c>
      <c r="C1636" s="86" t="n">
        <v>2022</v>
      </c>
      <c r="D1636" s="5" t="inlineStr">
        <is>
          <t>Outcome not related to interest</t>
        </is>
      </c>
      <c r="E1636" s="86" t="n"/>
      <c r="F1636" s="86" t="n"/>
    </row>
    <row r="1637" ht="16" customHeight="1" s="55">
      <c r="A1637" s="86" t="inlineStr">
        <is>
          <t>Real-Time Detection for Normal, Glaucomatous and Diabetic Retinopathy Eyes for Ophthalmoscopy using Deep Learning</t>
        </is>
      </c>
      <c r="B1637" s="86" t="inlineStr">
        <is>
          <t>S. A. Dwivedi; Y. A. Kalin; G. K. Roy; K. Singla</t>
        </is>
      </c>
      <c r="C1637" s="86" t="n">
        <v>2022</v>
      </c>
      <c r="D1637" s="5" t="inlineStr">
        <is>
          <t>Outcome not related to interest</t>
        </is>
      </c>
      <c r="E1637" s="86" t="n"/>
      <c r="F1637" s="86" t="n"/>
    </row>
    <row r="1638" ht="16" customHeight="1" s="55">
      <c r="A1638" s="86" t="inlineStr">
        <is>
          <t>Grad-CAM for Visualizing Diabetic Retinopathy</t>
        </is>
      </c>
      <c r="B1638" s="86" t="inlineStr">
        <is>
          <t>K. Duvvuri; S. Chethana; S. S. Charan; V. Srihitha; T. K. Ramesh; K. S. S</t>
        </is>
      </c>
      <c r="C1638" s="86" t="n">
        <v>2022</v>
      </c>
      <c r="D1638" s="5" t="inlineStr">
        <is>
          <t>Outcome not related to interest</t>
        </is>
      </c>
      <c r="E1638" s="86" t="n"/>
      <c r="F1638" s="86" t="n"/>
    </row>
    <row r="1639" ht="16" customHeight="1" s="55">
      <c r="A1639" s="86" t="inlineStr">
        <is>
          <t>An Optimized Soft Computing Model Using Neural Network with ANT Colony Optimization Algorithm for Retinal Image Segmentation</t>
        </is>
      </c>
      <c r="B1639" s="86" t="inlineStr">
        <is>
          <t>R. Doss</t>
        </is>
      </c>
      <c r="C1639" s="86" t="n">
        <v>2022</v>
      </c>
      <c r="D1639" s="5" t="inlineStr">
        <is>
          <t>Outcome not related to interest</t>
        </is>
      </c>
      <c r="E1639" s="86" t="n"/>
      <c r="F1639" s="86" t="n"/>
    </row>
    <row r="1640" ht="16" customHeight="1" s="55">
      <c r="A1640" s="86" t="inlineStr">
        <is>
          <t>Early Detection of Diabetes Mellitus Using Differentially Private SGD in Federated Learning</t>
        </is>
      </c>
      <c r="B1640" s="86" t="inlineStr">
        <is>
          <t>B. Dolo; F. Loukil; K. Boukadi</t>
        </is>
      </c>
      <c r="C1640" s="86" t="n">
        <v>2022</v>
      </c>
      <c r="D1640" s="5" t="inlineStr">
        <is>
          <t>Outcome not related to interest</t>
        </is>
      </c>
      <c r="E1640" s="86" t="n"/>
      <c r="F1640" s="86" t="n"/>
    </row>
    <row r="1641" ht="16" customHeight="1" s="55">
      <c r="A1641" s="86" t="inlineStr">
        <is>
          <t>Detection of Diabetic Retinopathy Disease Using Efficient Method of Image Processing</t>
        </is>
      </c>
      <c r="B1641" s="86" t="inlineStr">
        <is>
          <t>S. Diwakaran; U. M; G. A; S. Ramesh; V. Mohanave</t>
        </is>
      </c>
      <c r="C1641" s="86" t="n">
        <v>2022</v>
      </c>
      <c r="D1641" s="5" t="inlineStr">
        <is>
          <t>Outcome not related to interest</t>
        </is>
      </c>
      <c r="E1641" s="86" t="n"/>
      <c r="F1641" s="86" t="n"/>
    </row>
    <row r="1642" ht="16" customHeight="1" s="55">
      <c r="A1642" s="86" t="inlineStr">
        <is>
          <t>Retinal Picture Investigation For The Early Recognition Of Diabetic Retinopathy</t>
        </is>
      </c>
      <c r="B1642" s="86" t="inlineStr">
        <is>
          <t>B. Devisri; M. Kavitha</t>
        </is>
      </c>
      <c r="C1642" s="86" t="n">
        <v>2022</v>
      </c>
      <c r="D1642" s="5" t="inlineStr">
        <is>
          <t>Outcome not related to interest</t>
        </is>
      </c>
      <c r="E1642" s="86" t="n"/>
      <c r="F1642" s="86" t="n"/>
    </row>
    <row r="1643" ht="16" customHeight="1" s="55">
      <c r="A1643" s="86" t="inlineStr">
        <is>
          <t>Performance Analysis and Prediction of Diabetes using Various Machine Learning Algorithms</t>
        </is>
      </c>
      <c r="B1643" s="86" t="inlineStr">
        <is>
          <t>S. Dev; B. Kumar; D. C. Dobhal; H. S. Negi</t>
        </is>
      </c>
      <c r="C1643" s="86" t="n">
        <v>2022</v>
      </c>
      <c r="D1643" s="5" t="inlineStr">
        <is>
          <t>Outcome not related to interest</t>
        </is>
      </c>
      <c r="E1643" s="86" t="n"/>
      <c r="F1643" s="86" t="n"/>
    </row>
    <row r="1644" ht="16" customHeight="1" s="55">
      <c r="A1644" s="86" t="inlineStr">
        <is>
          <t>Towards Semi-Supervised Segmentation of Retinal Fundus Images via Self-Training</t>
        </is>
      </c>
      <c r="B1644" s="86" t="inlineStr">
        <is>
          <t>J. Deng; F. Zhang; S. Li; J. Bao</t>
        </is>
      </c>
      <c r="C1644" s="86" t="n">
        <v>2022</v>
      </c>
      <c r="D1644" s="5" t="inlineStr">
        <is>
          <t>Outcome not related to interest</t>
        </is>
      </c>
      <c r="E1644" s="86" t="n"/>
      <c r="F1644" s="86" t="n"/>
    </row>
    <row r="1645" ht="16" customHeight="1" s="55">
      <c r="A1645" s="86" t="inlineStr">
        <is>
          <t>Pre-Trained Convolutional Neural Network for Automated Grading of Diabetic Retinopathy</t>
        </is>
      </c>
      <c r="B1645" s="86" t="inlineStr">
        <is>
          <t>V. Deepa; C. S. Kumar; T. Cherian</t>
        </is>
      </c>
      <c r="C1645" s="86" t="n">
        <v>2022</v>
      </c>
      <c r="D1645" s="5" t="inlineStr">
        <is>
          <t>Outcome not related to interest</t>
        </is>
      </c>
      <c r="E1645" s="86" t="n"/>
      <c r="F1645" s="86" t="n"/>
    </row>
    <row r="1646" ht="16" customHeight="1" s="55">
      <c r="A1646" s="86" t="inlineStr">
        <is>
          <t>Anomaly Detection In Retinal Images Using Multi-Scale Deep Feature Sparse Coding</t>
        </is>
      </c>
      <c r="B1646" s="86" t="inlineStr">
        <is>
          <t>S. D. Das; S. Dutta; N. A. Shah; D. Mahapatra; Z. Ge</t>
        </is>
      </c>
      <c r="C1646" s="86" t="n">
        <v>2022</v>
      </c>
      <c r="D1646" s="5" t="inlineStr">
        <is>
          <t>Outcome not related to interest</t>
        </is>
      </c>
      <c r="E1646" s="86" t="n"/>
      <c r="F1646" s="86" t="n"/>
    </row>
    <row r="1647" ht="16" customHeight="1" s="55">
      <c r="A1647" s="86" t="inlineStr">
        <is>
          <t>NSL-MHA-CNN: A Novel CNN Architecture for Robust Diabetic Retinopathy Prediction Against Adversarial Attacks</t>
        </is>
      </c>
      <c r="B1647" s="86" t="inlineStr">
        <is>
          <t>O. Daanouni; B. Cherradi; A. Tmiri</t>
        </is>
      </c>
      <c r="C1647" s="86" t="n">
        <v>2022</v>
      </c>
      <c r="D1647" s="5" t="inlineStr">
        <is>
          <t>Outcome not related to interest</t>
        </is>
      </c>
      <c r="E1647" s="86" t="n"/>
      <c r="F1647" s="86" t="n"/>
    </row>
    <row r="1648" ht="16" customHeight="1" s="55">
      <c r="A1648" s="86" t="inlineStr">
        <is>
          <t>Super-resolution of Retinal Fundus Images Using Generative Adversarial Networks</t>
        </is>
      </c>
      <c r="B1648" s="86" t="inlineStr">
        <is>
          <t>B. D. P; A. Muthukumar; A. Lakshmi</t>
        </is>
      </c>
      <c r="C1648" s="86" t="n">
        <v>2022</v>
      </c>
      <c r="D1648" s="5" t="inlineStr">
        <is>
          <t>Outcome not related to interest</t>
        </is>
      </c>
      <c r="E1648" s="86" t="n"/>
      <c r="F1648" s="86" t="n"/>
    </row>
    <row r="1649" ht="16" customHeight="1" s="55">
      <c r="A1649" s="86" t="inlineStr">
        <is>
          <t>Quadratic Weighted Kappa Score Exploration in Diabetic Retinopathy Severity Classification Using EfficientNet</t>
        </is>
      </c>
      <c r="B1649" s="86" t="inlineStr">
        <is>
          <t>L. Chivinge; L. K. Nyandoro; K. Zvarevashe</t>
        </is>
      </c>
      <c r="C1649" s="86" t="n">
        <v>2022</v>
      </c>
      <c r="D1649" s="5" t="inlineStr">
        <is>
          <t>Outcome not related to interest</t>
        </is>
      </c>
      <c r="E1649" s="86" t="n"/>
      <c r="F1649" s="86" t="n"/>
    </row>
    <row r="1650" ht="16" customHeight="1" s="55">
      <c r="A1650" s="86" t="inlineStr">
        <is>
          <t>Prediction of Diabetic Retinopathy Using Longitudinal Electronic Health Records</t>
        </is>
      </c>
      <c r="B1650" s="86" t="inlineStr">
        <is>
          <t>S. Chen; Z. Wang; B. Yao; T. Liu</t>
        </is>
      </c>
      <c r="C1650" s="86" t="n">
        <v>2022</v>
      </c>
      <c r="D1650" s="5" t="inlineStr">
        <is>
          <t>Outcome not related to interest</t>
        </is>
      </c>
      <c r="E1650" s="86" t="n"/>
      <c r="F1650" s="86" t="n"/>
    </row>
    <row r="1651" ht="16" customHeight="1" s="55">
      <c r="A1651" s="86" t="inlineStr">
        <is>
          <t>Using Deep Neural Networks to Classify the Severity of Diabetic Retinopathy</t>
        </is>
      </c>
      <c r="B1651" s="86" t="inlineStr">
        <is>
          <t>C. Y. Chen; M. C. Chang</t>
        </is>
      </c>
      <c r="C1651" s="86" t="n">
        <v>2022</v>
      </c>
      <c r="D1651" s="5" t="inlineStr">
        <is>
          <t>Outcome not related to interest</t>
        </is>
      </c>
      <c r="E1651" s="86" t="n"/>
      <c r="F1651" s="86" t="n"/>
    </row>
    <row r="1652" ht="16" customHeight="1" s="55">
      <c r="A1652" s="86" t="inlineStr">
        <is>
          <t>Optimized Convolutional Neural Network based Multiple Eye Disease Detection and Information Sharing System</t>
        </is>
      </c>
      <c r="B1652" s="86" t="inlineStr">
        <is>
          <t>C. Chellaswamy; T. S. Geetha; B. Ramasubramanian; R. Abirami; B. Archana; A. D. Bharathi</t>
        </is>
      </c>
      <c r="C1652" s="86" t="n">
        <v>2022</v>
      </c>
      <c r="D1652" s="5" t="inlineStr">
        <is>
          <t>Outcome not related to interest</t>
        </is>
      </c>
      <c r="E1652" s="86" t="n"/>
      <c r="F1652" s="86" t="n"/>
    </row>
    <row r="1653" ht="16" customHeight="1" s="55">
      <c r="A1653" s="86" t="inlineStr">
        <is>
          <t>Automatic Diagnosis of Different Grades of Diabetic Retinopathy and Diabetic Macular Edema Using 2-D-FBSE-FAWT</t>
        </is>
      </c>
      <c r="B1653" s="86" t="inlineStr">
        <is>
          <t>P. K. Chaudhary; R. B. Pachori</t>
        </is>
      </c>
      <c r="C1653" s="86" t="n">
        <v>2022</v>
      </c>
      <c r="D1653" s="5" t="inlineStr">
        <is>
          <t>Outcome not related to interest</t>
        </is>
      </c>
      <c r="E1653" s="86" t="n"/>
      <c r="F1653" s="86" t="n"/>
    </row>
    <row r="1654" ht="16" customHeight="1" s="55">
      <c r="A1654" s="86" t="inlineStr">
        <is>
          <t>Diabetic Retinopathy Diagnosis Based on Transfer Learning and Improved Residual Network</t>
        </is>
      </c>
      <c r="B1654" s="86" t="inlineStr">
        <is>
          <t>R. Chai; D. Chen; X. Ma; S. Liu; Y. Wang; Y. Wang</t>
        </is>
      </c>
      <c r="C1654" s="86" t="n">
        <v>2022</v>
      </c>
      <c r="D1654" s="5" t="inlineStr">
        <is>
          <t>Outcome not related to interest</t>
        </is>
      </c>
      <c r="E1654" s="86" t="n"/>
      <c r="F1654" s="86" t="n"/>
    </row>
    <row r="1655" ht="16" customHeight="1" s="55">
      <c r="A1655" s="86" t="inlineStr">
        <is>
          <t>Diabetic Retinopathy Screening Using A Two-Stage Deep Convolutional Neural Network Trained on An Extremely Un-Balanced Dataset</t>
        </is>
      </c>
      <c r="B1655" s="86" t="inlineStr">
        <is>
          <t>S. Cahoon; M. Shaban; A. Switala; A. Mahmoud; A. El-Baz</t>
        </is>
      </c>
      <c r="C1655" s="86" t="n">
        <v>2022</v>
      </c>
      <c r="D1655" s="5" t="inlineStr">
        <is>
          <t>Outcome not related to interest</t>
        </is>
      </c>
      <c r="E1655" s="86" t="n"/>
      <c r="F1655" s="86" t="n"/>
    </row>
    <row r="1656" ht="16" customHeight="1" s="55">
      <c r="A1656" s="86" t="inlineStr">
        <is>
          <t>Deep Learning-Based Framework for Automatic Diabetic Retinopathy Detection</t>
        </is>
      </c>
      <c r="B1656" s="86" t="inlineStr">
        <is>
          <t>Y. Brik; B. Attallah; I. Aiche; H. Lahmar; Z. Zohra</t>
        </is>
      </c>
      <c r="C1656" s="86" t="n">
        <v>2022</v>
      </c>
      <c r="D1656" s="5" t="inlineStr">
        <is>
          <t>Outcome not related to interest</t>
        </is>
      </c>
      <c r="E1656" s="86" t="n"/>
      <c r="F1656" s="86" t="n"/>
    </row>
    <row r="1657" ht="16" customHeight="1" s="55">
      <c r="A1657" s="86" t="inlineStr">
        <is>
          <t>Unsupervised Deep Learning Network for Deformable Fundus Image Registration</t>
        </is>
      </c>
      <c r="B1657" s="86" t="inlineStr">
        <is>
          <t>G. A. Benvenuto; M. Colnago; W. Casaca</t>
        </is>
      </c>
      <c r="C1657" s="86" t="n">
        <v>2022</v>
      </c>
      <c r="D1657" s="5" t="inlineStr">
        <is>
          <t>Outcome not related to interest</t>
        </is>
      </c>
      <c r="E1657" s="86" t="n"/>
      <c r="F1657" s="86" t="n"/>
    </row>
    <row r="1658" ht="16" customHeight="1" s="55">
      <c r="A1658" s="86" t="inlineStr">
        <is>
          <t>DeepRetino: Ophthalmic Disease Classification from Retinal Images using Deep Learning</t>
        </is>
      </c>
      <c r="B1658" s="86" t="inlineStr">
        <is>
          <t>F. Z. Belharar; N. Zrira</t>
        </is>
      </c>
      <c r="C1658" s="86" t="n">
        <v>2022</v>
      </c>
      <c r="D1658" s="5" t="inlineStr">
        <is>
          <t>Outcome not related to interest</t>
        </is>
      </c>
      <c r="E1658" s="86" t="n"/>
      <c r="F1658" s="86" t="n"/>
    </row>
    <row r="1659" ht="16" customHeight="1" s="55">
      <c r="A1659" s="86" t="inlineStr">
        <is>
          <t>Comparative analysis of deep learning models for the detection and classification of Diabetes Retinopathy</t>
        </is>
      </c>
      <c r="B1659" s="86" t="inlineStr">
        <is>
          <t>T. Balogun; R. Saliu; S. Faluyi; K. Fapohunda</t>
        </is>
      </c>
      <c r="C1659" s="86" t="n">
        <v>2022</v>
      </c>
      <c r="D1659" s="5" t="inlineStr">
        <is>
          <t>Outcome not related to interest</t>
        </is>
      </c>
      <c r="E1659" s="86" t="n"/>
      <c r="F1659" s="86" t="n"/>
    </row>
    <row r="1660" ht="16" customHeight="1" s="55">
      <c r="A1660" s="86" t="inlineStr">
        <is>
          <t>A novel convolutional neural network architecture for diabetic retinopathy screening</t>
        </is>
      </c>
      <c r="B1660" s="86" t="inlineStr">
        <is>
          <t>R. Bala; A. Sharma; N. Goel</t>
        </is>
      </c>
      <c r="C1660" s="86" t="n">
        <v>2022</v>
      </c>
      <c r="D1660" s="5" t="inlineStr">
        <is>
          <t>Outcome not related to interest</t>
        </is>
      </c>
      <c r="E1660" s="86" t="n"/>
      <c r="F1660" s="86" t="n"/>
    </row>
    <row r="1661" ht="16" customHeight="1" s="55">
      <c r="A1661" s="86" t="inlineStr">
        <is>
          <t>Detection of Diabetic Retinopathy with Retinal Images using CNN</t>
        </is>
      </c>
      <c r="B1661" s="86" t="inlineStr">
        <is>
          <t>S. M. Baba; I. Bala</t>
        </is>
      </c>
      <c r="C1661" s="86" t="n">
        <v>2022</v>
      </c>
      <c r="D1661" s="5" t="inlineStr">
        <is>
          <t>Outcome not related to interest</t>
        </is>
      </c>
      <c r="E1661" s="86" t="n"/>
      <c r="F1661" s="86" t="n"/>
    </row>
    <row r="1662" ht="16" customHeight="1" s="55">
      <c r="A1662" s="86" t="inlineStr">
        <is>
          <t>Diabetic Retinopathy Classification using Transfer Learning Techniques</t>
        </is>
      </c>
      <c r="B1662" s="86" t="inlineStr">
        <is>
          <t>M. B; T. Singh; P. Duraisamy</t>
        </is>
      </c>
      <c r="C1662" s="86" t="n">
        <v>2022</v>
      </c>
      <c r="D1662" s="5" t="inlineStr">
        <is>
          <t>Outcome not related to interest</t>
        </is>
      </c>
      <c r="E1662" s="86" t="n"/>
      <c r="F1662" s="86" t="n"/>
    </row>
    <row r="1663" ht="16" customHeight="1" s="55">
      <c r="A1663" s="86" t="inlineStr">
        <is>
          <t>EDR-Net: Lightweight Deep Neural Network Architecture for Detecting Referable Diabetic Retinopathy</t>
        </is>
      </c>
      <c r="B1663" s="86" t="inlineStr">
        <is>
          <t>A. B. Aujih; M. I. Shapiai; F. Meriaudeau; T. B. Tang</t>
        </is>
      </c>
      <c r="C1663" s="86" t="n">
        <v>2022</v>
      </c>
      <c r="D1663" s="5" t="inlineStr">
        <is>
          <t>Outcome not related to interest</t>
        </is>
      </c>
      <c r="E1663" s="86" t="n"/>
      <c r="F1663" s="86" t="n"/>
    </row>
    <row r="1664" ht="16" customHeight="1" s="55">
      <c r="A1664" s="86" t="inlineStr">
        <is>
          <t>Classification of Diabetic Retinopathy Disease with Improved Transfer Learning Techniques using EfficientNets</t>
        </is>
      </c>
      <c r="B1664" s="86" t="inlineStr">
        <is>
          <t>Atul; S. Dhingra</t>
        </is>
      </c>
      <c r="C1664" s="86" t="n">
        <v>2022</v>
      </c>
      <c r="D1664" s="5" t="inlineStr">
        <is>
          <t>Outcome not related to interest</t>
        </is>
      </c>
      <c r="E1664" s="86" t="n"/>
      <c r="F1664" s="86" t="n"/>
    </row>
    <row r="1665" ht="16" customHeight="1" s="55">
      <c r="A1665" s="86" t="inlineStr">
        <is>
          <t>An Ensembled Method For Diabetic Retinopathy Classification using Transfer Learning</t>
        </is>
      </c>
      <c r="B1665" s="86" t="inlineStr">
        <is>
          <t>D. Attota; D. N. Tadikonda; S. Pethe; M. A. A. H. Khan</t>
        </is>
      </c>
      <c r="C1665" s="86" t="n">
        <v>2022</v>
      </c>
      <c r="D1665" s="5" t="inlineStr">
        <is>
          <t>Outcome not related to interest</t>
        </is>
      </c>
      <c r="E1665" s="86" t="n"/>
      <c r="F1665" s="86" t="n"/>
    </row>
    <row r="1666" ht="16" customHeight="1" s="55">
      <c r="A1666" s="86" t="inlineStr">
        <is>
          <t>Hybrid Deep Learning Network to Classify Eye Diseases</t>
        </is>
      </c>
      <c r="B1666" s="86" t="inlineStr">
        <is>
          <t>M. Asirvatham; M. Vijayaraj; T. Manikandan; A. Vignesh; E. E. Nithila; J. N. Jothi</t>
        </is>
      </c>
      <c r="C1666" s="86" t="n">
        <v>2022</v>
      </c>
      <c r="D1666" s="5" t="inlineStr">
        <is>
          <t>Outcome not related to interest</t>
        </is>
      </c>
      <c r="E1666" s="86" t="n"/>
      <c r="F1666" s="86" t="n"/>
    </row>
    <row r="1667" ht="16" customHeight="1" s="55">
      <c r="A1667" s="86" t="inlineStr">
        <is>
          <t>Soft attention with Convolutional Neural Network for Grading Diabetic Retinopathy</t>
        </is>
      </c>
      <c r="B1667" s="86" t="inlineStr">
        <is>
          <t>K. Ashwini; R. Dash</t>
        </is>
      </c>
      <c r="C1667" s="86" t="n">
        <v>2022</v>
      </c>
      <c r="D1667" s="5" t="inlineStr">
        <is>
          <t>Outcome not related to interest</t>
        </is>
      </c>
      <c r="E1667" s="86" t="n"/>
      <c r="F1667" s="86" t="n"/>
    </row>
    <row r="1668" ht="16" customHeight="1" s="55">
      <c r="A1668" s="86" t="inlineStr">
        <is>
          <t>A Robust Approach based on CNN-LSTM Network for the identification of diabetic retinopathy from Fundus Images</t>
        </is>
      </c>
      <c r="B1668" s="86" t="inlineStr">
        <is>
          <t>S. R. Arumugam; E. A. Devi; V. Rajeshram; R. B; S. G. Karuppasamy; S. V. Kumar</t>
        </is>
      </c>
      <c r="C1668" s="86" t="n">
        <v>2022</v>
      </c>
      <c r="D1668" s="5" t="inlineStr">
        <is>
          <t>Outcome not related to interest</t>
        </is>
      </c>
      <c r="E1668" s="86" t="n"/>
      <c r="F1668" s="86" t="n"/>
    </row>
    <row r="1669" ht="16" customHeight="1" s="55">
      <c r="A1669" s="86" t="inlineStr">
        <is>
          <t>Diabetic Retinopathy Detection Using Grey Level Co-Occurrence Matrix</t>
        </is>
      </c>
      <c r="B1669" s="86" t="inlineStr">
        <is>
          <t>A. A. B. Aris; Z. Zulkifli; S. M. Hatim</t>
        </is>
      </c>
      <c r="C1669" s="86" t="n">
        <v>2022</v>
      </c>
      <c r="D1669" s="5" t="inlineStr">
        <is>
          <t>Outcome not related to interest</t>
        </is>
      </c>
      <c r="E1669" s="86" t="n"/>
      <c r="F1669" s="86" t="n"/>
    </row>
    <row r="1670" ht="16" customHeight="1" s="55">
      <c r="A1670" s="86" t="inlineStr">
        <is>
          <t>Detection of Diabetic Retinopathy Using Ensemble Learning Techniques</t>
        </is>
      </c>
      <c r="B1670" s="86" t="inlineStr">
        <is>
          <t>D. Anirban; A. Parul; M. Anushka; K. Shishir; M. Shikha</t>
        </is>
      </c>
      <c r="C1670" s="86" t="n">
        <v>2022</v>
      </c>
      <c r="D1670" s="5" t="inlineStr">
        <is>
          <t>Outcome not related to interest</t>
        </is>
      </c>
      <c r="E1670" s="86" t="n"/>
      <c r="F1670" s="86" t="n"/>
    </row>
    <row r="1671" ht="16" customHeight="1" s="55">
      <c r="A1671" s="86" t="inlineStr">
        <is>
          <t>An enhanced interpretable deep learning approach for diabetic retinopathy detection</t>
        </is>
      </c>
      <c r="B1671" s="86" t="inlineStr">
        <is>
          <t>S. Alrajjou; E. K. Boahen; C. Menga; K. Cheng</t>
        </is>
      </c>
      <c r="C1671" s="86" t="n">
        <v>2022</v>
      </c>
      <c r="D1671" s="5" t="inlineStr">
        <is>
          <t>Outcome not related to interest</t>
        </is>
      </c>
      <c r="E1671" s="86" t="n"/>
      <c r="F1671" s="86" t="n"/>
    </row>
    <row r="1672" ht="16" customHeight="1" s="55">
      <c r="A1672" s="86" t="inlineStr">
        <is>
          <t>An Intelligent Moth Flame Optimization with Inception Network for Diabetic Retinopathy Detection and Grading</t>
        </is>
      </c>
      <c r="B1672" s="86" t="inlineStr">
        <is>
          <t>N. O. Aljehane</t>
        </is>
      </c>
      <c r="C1672" s="86" t="n">
        <v>2022</v>
      </c>
      <c r="D1672" s="5" t="inlineStr">
        <is>
          <t>Outcome not related to interest</t>
        </is>
      </c>
      <c r="E1672" s="86" t="n"/>
      <c r="F1672" s="86" t="n"/>
    </row>
    <row r="1673" ht="16" customHeight="1" s="55">
      <c r="A1673" s="86" t="inlineStr">
        <is>
          <t>Texture Attention Network for Diabetic Retinopathy Classification</t>
        </is>
      </c>
      <c r="B1673" s="86" t="inlineStr">
        <is>
          <t>M. D. Alahmadi</t>
        </is>
      </c>
      <c r="C1673" s="86" t="n">
        <v>2022</v>
      </c>
      <c r="D1673" s="5" t="inlineStr">
        <is>
          <t>Outcome not related to interest</t>
        </is>
      </c>
      <c r="E1673" s="86" t="n"/>
      <c r="F1673" s="86" t="n"/>
    </row>
    <row r="1674" ht="16" customHeight="1" s="55">
      <c r="A1674" s="86" t="inlineStr">
        <is>
          <t>Automatic Discrimination between Normal and Diabetic Retinopathy Fundus Images using Machine Learning Classification Algorithm</t>
        </is>
      </c>
      <c r="B1674" s="86" t="inlineStr">
        <is>
          <t>A. K. Al-Bashir; A. N. A. Obeid</t>
        </is>
      </c>
      <c r="C1674" s="86" t="n">
        <v>2022</v>
      </c>
      <c r="D1674" s="5" t="inlineStr">
        <is>
          <t>Outcome not related to interest</t>
        </is>
      </c>
      <c r="E1674" s="86" t="n"/>
      <c r="F1674" s="86" t="n"/>
    </row>
    <row r="1675" ht="16" customHeight="1" s="55">
      <c r="A1675" s="86" t="inlineStr">
        <is>
          <t>Transfer Learning for Diabetic Retinopathy Detection</t>
        </is>
      </c>
      <c r="B1675" s="86" t="inlineStr">
        <is>
          <t>I. Aiche; Y. Brik; B. Attallah; H. Lahmar; Z. Zohra</t>
        </is>
      </c>
      <c r="C1675" s="86" t="n">
        <v>2022</v>
      </c>
      <c r="D1675" s="5" t="inlineStr">
        <is>
          <t>Outcome not related to interest</t>
        </is>
      </c>
      <c r="E1675" s="86" t="n"/>
      <c r="F1675" s="86" t="n"/>
    </row>
    <row r="1676" ht="16" customHeight="1" s="55">
      <c r="A1676" s="86" t="inlineStr">
        <is>
          <t>Investigating Opthalmic images to Diagnose Eye diseases using Deep Learning Techniques</t>
        </is>
      </c>
      <c r="B1676" s="86" t="inlineStr">
        <is>
          <t>S. Agarwal; A. Bhat</t>
        </is>
      </c>
      <c r="C1676" s="86" t="n">
        <v>2022</v>
      </c>
      <c r="D1676" s="5" t="inlineStr">
        <is>
          <t>Outcome not related to interest</t>
        </is>
      </c>
      <c r="E1676" s="86" t="n"/>
      <c r="F1676" s="86" t="n"/>
    </row>
    <row r="1677" ht="16" customHeight="1" s="55">
      <c r="A1677" s="86" t="inlineStr">
        <is>
          <t>Federated Deep Learning for Automated Detection of Diabetic Retinopathy</t>
        </is>
      </c>
      <c r="B1677" s="86" t="inlineStr">
        <is>
          <t>N. Z. Abidin; A. R. Ismail</t>
        </is>
      </c>
      <c r="C1677" s="86" t="n">
        <v>2022</v>
      </c>
      <c r="D1677" s="5" t="inlineStr">
        <is>
          <t>Outcome not related to interest</t>
        </is>
      </c>
      <c r="E1677" s="86" t="n"/>
      <c r="F1677" s="86" t="n"/>
    </row>
    <row r="1678" ht="16" customHeight="1" s="55">
      <c r="A1678" s="86" t="inlineStr">
        <is>
          <t>Hybrid Retinal Image Enhancement Algorithm for Diabetic Retinopathy Diagnostic Using Deep Learning Model</t>
        </is>
      </c>
      <c r="B1678" s="86" t="inlineStr">
        <is>
          <t>S. H. Abbood; H. N. A. Hamed; M. S. M. Rahim; A. Rehman; T. Saba; S. A. Bahaj</t>
        </is>
      </c>
      <c r="C1678" s="86" t="n">
        <v>2022</v>
      </c>
      <c r="D1678" s="5" t="inlineStr">
        <is>
          <t>Outcome not related to interest</t>
        </is>
      </c>
      <c r="E1678" s="86" t="n"/>
      <c r="F1678" s="86" t="n"/>
    </row>
    <row r="1679" ht="16" customHeight="1" s="55">
      <c r="A1679" s="86" t="inlineStr">
        <is>
          <t>CCT-Net: Category-Invariant Cross-Domain Transfer for Medical Single-to-Multiple Disease Diagnosis</t>
        </is>
      </c>
      <c r="B1679" s="86" t="inlineStr">
        <is>
          <t>Y. Zhou; L. Huang; T. Zhou; L. Shao</t>
        </is>
      </c>
      <c r="C1679" s="86" t="n">
        <v>2021</v>
      </c>
      <c r="D1679" s="5" t="inlineStr">
        <is>
          <t>Outcome not related to interest</t>
        </is>
      </c>
      <c r="E1679" s="86" t="n"/>
      <c r="F1679" s="86" t="n"/>
    </row>
    <row r="1680" ht="16" customHeight="1" s="55">
      <c r="A1680" s="86" t="inlineStr">
        <is>
          <t>Robust Localization of Retinal Lesions via Weakly-supervised Learning</t>
        </is>
      </c>
      <c r="B1680" s="86" t="inlineStr">
        <is>
          <t>R. Zhao; Q. Li; J. You</t>
        </is>
      </c>
      <c r="C1680" s="86" t="n">
        <v>2021</v>
      </c>
      <c r="D1680" s="5" t="inlineStr">
        <is>
          <t>Outcome not related to interest</t>
        </is>
      </c>
      <c r="E1680" s="86" t="n"/>
      <c r="F1680" s="86" t="n"/>
    </row>
    <row r="1681" ht="16" customHeight="1" s="55">
      <c r="A1681" s="86" t="inlineStr">
        <is>
          <t>Multi-task Learning Based on Multi-type Dataset for Retinal Abnormality Detection</t>
        </is>
      </c>
      <c r="B1681" s="86" t="inlineStr">
        <is>
          <t>L. Zhao; J. Li; Z. Ma; Y. Guan; X. Xu; X. Wang; L. Li</t>
        </is>
      </c>
      <c r="C1681" s="86" t="n">
        <v>2021</v>
      </c>
      <c r="D1681" s="5" t="inlineStr">
        <is>
          <t>Outcome not related to interest</t>
        </is>
      </c>
      <c r="E1681" s="86" t="n"/>
      <c r="F1681" s="86" t="n"/>
    </row>
    <row r="1682" ht="16" customHeight="1" s="55">
      <c r="A1682" s="86" t="inlineStr">
        <is>
          <t>Anomaly Detection for Medical Images Using Self-Supervised and Translation-Consistent Features</t>
        </is>
      </c>
      <c r="B1682" s="86" t="inlineStr">
        <is>
          <t>H. Zhao; Y. Li; N. He; K. Ma; L. Fang; H. Li; Y. Zheng</t>
        </is>
      </c>
      <c r="C1682" s="86" t="n">
        <v>2021</v>
      </c>
      <c r="D1682" s="5" t="inlineStr">
        <is>
          <t>Outcome not related to interest</t>
        </is>
      </c>
      <c r="E1682" s="86" t="n"/>
      <c r="F1682" s="86" t="n"/>
    </row>
    <row r="1683" ht="16" customHeight="1" s="55">
      <c r="A1683" s="86" t="inlineStr">
        <is>
          <t>DeepUWF: An Automated Ultra-Wide-Field Fundus Screening System via Deep Learning</t>
        </is>
      </c>
      <c r="B1683" s="86" t="inlineStr">
        <is>
          <t>W. Zhang; X. Zhao; Y. Chen; J. Zhong; Z. Yi</t>
        </is>
      </c>
      <c r="C1683" s="86" t="n">
        <v>2021</v>
      </c>
      <c r="D1683" s="5" t="inlineStr">
        <is>
          <t>Outcome not related to interest</t>
        </is>
      </c>
      <c r="E1683" s="86" t="n"/>
      <c r="F1683" s="86" t="n"/>
    </row>
    <row r="1684" ht="16" customHeight="1" s="55">
      <c r="A1684" s="86" t="inlineStr">
        <is>
          <t>Hybrid Graph Convolutional Network for Semi-Supervised Retinal Image Classification</t>
        </is>
      </c>
      <c r="B1684" s="86" t="inlineStr">
        <is>
          <t>G. Zhang; J. Pan; Z. Zhang; H. Zhang; C. Xing; B. Sun; M. Li</t>
        </is>
      </c>
      <c r="C1684" s="86" t="n">
        <v>2021</v>
      </c>
      <c r="D1684" s="5" t="inlineStr">
        <is>
          <t>Outcome not related to interest</t>
        </is>
      </c>
      <c r="E1684" s="86" t="n"/>
      <c r="F1684" s="86" t="n"/>
    </row>
    <row r="1685" ht="16" customHeight="1" s="55">
      <c r="A1685" s="86" t="inlineStr">
        <is>
          <t>Fundus Disease Image Classification based on Improved Transformer</t>
        </is>
      </c>
      <c r="B1685" s="86" t="inlineStr">
        <is>
          <t>H. Yang; J. Chen; M. Xu</t>
        </is>
      </c>
      <c r="C1685" s="86" t="n">
        <v>2021</v>
      </c>
      <c r="D1685" s="5" t="inlineStr">
        <is>
          <t>Outcome not related to interest</t>
        </is>
      </c>
      <c r="E1685" s="86" t="n"/>
      <c r="F1685" s="86" t="n"/>
    </row>
    <row r="1686" ht="16" customHeight="1" s="55">
      <c r="A1686" s="86" t="inlineStr">
        <is>
          <t>A Deep Learning Based Diabetic Retinopathy Detection from Retinal Images</t>
        </is>
      </c>
      <c r="B1686" s="86" t="inlineStr">
        <is>
          <t>M. Yadav; R. Goel; D. Rajeswari</t>
        </is>
      </c>
      <c r="C1686" s="86" t="n">
        <v>2021</v>
      </c>
      <c r="D1686" s="5" t="inlineStr">
        <is>
          <t>Outcome not related to interest</t>
        </is>
      </c>
      <c r="E1686" s="86" t="n"/>
      <c r="F1686" s="86" t="n"/>
    </row>
    <row r="1687" ht="16" customHeight="1" s="55">
      <c r="A1687" s="86" t="inlineStr">
        <is>
          <t>Classification of diabetic retinopathy through identification of diagnostic keywords</t>
        </is>
      </c>
      <c r="B1687" s="86" t="inlineStr">
        <is>
          <t>K. S. Y; N. M. Mithra; K. S. V; R. K</t>
        </is>
      </c>
      <c r="C1687" s="86" t="n">
        <v>2021</v>
      </c>
      <c r="D1687" s="5" t="inlineStr">
        <is>
          <t>Outcome not related to interest</t>
        </is>
      </c>
      <c r="E1687" s="86" t="n"/>
      <c r="F1687" s="86" t="n"/>
    </row>
    <row r="1688" ht="16" customHeight="1" s="55">
      <c r="A1688" s="86" t="inlineStr">
        <is>
          <t>Semi-Supervised GANs with Complementary Generator Pair for Retinopathy Screening</t>
        </is>
      </c>
      <c r="B1688" s="86" t="inlineStr">
        <is>
          <t>Y. Xie; Q. Wan; H. Xie; B. Lei; E. L. Tan; Y. Xu</t>
        </is>
      </c>
      <c r="C1688" s="86" t="n">
        <v>2021</v>
      </c>
      <c r="D1688" s="5" t="inlineStr">
        <is>
          <t>Outcome not related to interest</t>
        </is>
      </c>
      <c r="E1688" s="86" t="n"/>
      <c r="F1688" s="86" t="n"/>
    </row>
    <row r="1689" ht="16" customHeight="1" s="55">
      <c r="A1689" s="86" t="inlineStr">
        <is>
          <t>Diabetic Retinopathy Diagnosis Using Multichannel Generative Adversarial Network With Semisupervision</t>
        </is>
      </c>
      <c r="B1689" s="86" t="inlineStr">
        <is>
          <t>S. Wang; X. Wang; Y. Hu; Y. Shen; Z. Yang; M. Gan; B. Lei</t>
        </is>
      </c>
      <c r="C1689" s="86" t="n">
        <v>2021</v>
      </c>
      <c r="D1689" s="5" t="inlineStr">
        <is>
          <t>Outcome not related to interest</t>
        </is>
      </c>
      <c r="E1689" s="86" t="n"/>
      <c r="F1689" s="86" t="n"/>
    </row>
    <row r="1690" ht="16" customHeight="1" s="55">
      <c r="A1690" s="86" t="inlineStr">
        <is>
          <t>Performance Assessment of Artificial Intelligence Medical Device Software Using Synthetic Data</t>
        </is>
      </c>
      <c r="B1690" s="86" t="inlineStr">
        <is>
          <t>H. Wang; X. Meng; C. Zhang; J. Li</t>
        </is>
      </c>
      <c r="C1690" s="86" t="n">
        <v>2021</v>
      </c>
      <c r="D1690" s="5" t="inlineStr">
        <is>
          <t>Outcome not related to interest</t>
        </is>
      </c>
      <c r="E1690" s="86" t="n"/>
      <c r="F1690" s="86" t="n"/>
    </row>
    <row r="1691" ht="16" customHeight="1" s="55">
      <c r="A1691" s="86" t="inlineStr">
        <is>
          <t>Diabetic Retinopathy Images Classification via Multiple Instance Learning</t>
        </is>
      </c>
      <c r="B1691" s="86" t="inlineStr">
        <is>
          <t>E. Vocaturo; E. Zumpano</t>
        </is>
      </c>
      <c r="C1691" s="86" t="n">
        <v>2021</v>
      </c>
      <c r="D1691" s="5" t="inlineStr">
        <is>
          <t>Outcome not related to interest</t>
        </is>
      </c>
      <c r="E1691" s="86" t="n"/>
      <c r="F1691" s="86" t="n"/>
    </row>
    <row r="1692" ht="16" customHeight="1" s="55">
      <c r="A1692" s="86" t="inlineStr">
        <is>
          <t>A Multi-Stage Deep Transfer Learning Method for Classification of Diabetic Retinopathy in Retinal images</t>
        </is>
      </c>
      <c r="B1692" s="86" t="inlineStr">
        <is>
          <t>B. V. K; M. S; T. Parekh; A. Sharma</t>
        </is>
      </c>
      <c r="C1692" s="86" t="n">
        <v>2021</v>
      </c>
      <c r="D1692" s="5" t="inlineStr">
        <is>
          <t>Outcome not related to interest</t>
        </is>
      </c>
      <c r="E1692" s="86" t="n"/>
      <c r="F1692" s="86" t="n"/>
    </row>
    <row r="1693" ht="16" customHeight="1" s="55">
      <c r="A1693" s="86" t="inlineStr">
        <is>
          <t>Performance Analysis of Diabetic Retinopathy Classification using CNN</t>
        </is>
      </c>
      <c r="B1693" s="86" t="inlineStr">
        <is>
          <t>S. V; A. K. S; T. R. K. K; R. U. M; R. K</t>
        </is>
      </c>
      <c r="C1693" s="86" t="n">
        <v>2021</v>
      </c>
      <c r="D1693" s="5" t="inlineStr">
        <is>
          <t>Outcome not related to interest</t>
        </is>
      </c>
      <c r="E1693" s="86" t="n"/>
      <c r="F1693" s="86" t="n"/>
    </row>
    <row r="1694" ht="16" customHeight="1" s="55">
      <c r="A1694" s="86" t="inlineStr">
        <is>
          <t>Identifying Diabetics Retinopathy using Deep Learning based Classification</t>
        </is>
      </c>
      <c r="B1694" s="86" t="inlineStr">
        <is>
          <t>A. Umamageswari; J. S. Duela; K. Raja</t>
        </is>
      </c>
      <c r="C1694" s="86" t="n">
        <v>2021</v>
      </c>
      <c r="D1694" s="5" t="inlineStr">
        <is>
          <t>Outcome not related to interest</t>
        </is>
      </c>
      <c r="E1694" s="86" t="n"/>
      <c r="F1694" s="86" t="n"/>
    </row>
    <row r="1695" ht="16" customHeight="1" s="55">
      <c r="A1695" s="86" t="inlineStr">
        <is>
          <t>Learning Discriminative Representations for Fine-Grained Diabetic Retinopathy Grading</t>
        </is>
      </c>
      <c r="B1695" s="86" t="inlineStr">
        <is>
          <t>L. Tian; L. Ma; Z. Wen; S. Xie; Y. Xu</t>
        </is>
      </c>
      <c r="C1695" s="86" t="n">
        <v>2021</v>
      </c>
      <c r="D1695" s="5" t="inlineStr">
        <is>
          <t>Outcome not related to interest</t>
        </is>
      </c>
      <c r="E1695" s="86" t="n"/>
      <c r="F1695" s="86" t="n"/>
    </row>
    <row r="1696" ht="16" customHeight="1" s="55">
      <c r="A1696" s="86" t="inlineStr">
        <is>
          <t>Diabetic Retinopathy Detection by means of Deep Learning</t>
        </is>
      </c>
      <c r="B1696" s="86" t="inlineStr">
        <is>
          <t>S. Thorat; A. Chavan; P. Sawant; S. Kulkarni; N. Sisodiya; A. Kolapkar</t>
        </is>
      </c>
      <c r="C1696" s="86" t="n">
        <v>2021</v>
      </c>
      <c r="D1696" s="5" t="inlineStr">
        <is>
          <t>Outcome not related to interest</t>
        </is>
      </c>
      <c r="E1696" s="86" t="n"/>
      <c r="F1696" s="86" t="n"/>
    </row>
    <row r="1697" ht="16" customHeight="1" s="55">
      <c r="A1697" s="86" t="inlineStr">
        <is>
          <t>Automated Diagnostics of Early Stages of Diabetic Retinopathy Using Neural Network Modeling Methods</t>
        </is>
      </c>
      <c r="B1697" s="86" t="inlineStr">
        <is>
          <t>A. A. Tatarkanov; I. A. Alexandrov; I. V. Vorobieva</t>
        </is>
      </c>
      <c r="C1697" s="86" t="n">
        <v>2021</v>
      </c>
      <c r="D1697" s="5" t="inlineStr">
        <is>
          <t>Outcome not related to interest</t>
        </is>
      </c>
      <c r="E1697" s="86" t="n"/>
      <c r="F1697" s="86" t="n"/>
    </row>
    <row r="1698" ht="16" customHeight="1" s="55">
      <c r="A1698" s="86" t="inlineStr">
        <is>
          <t>Heightmap Reconstruction of Macula on Color Fundus Images Using Conditional Generative Adversarial Networks</t>
        </is>
      </c>
      <c r="B1698" s="86" t="inlineStr">
        <is>
          <t>P. Tahghighi; R. A. Zoroofi; S. Safi; A. Ramezani; H. Ahmadieh</t>
        </is>
      </c>
      <c r="C1698" s="86" t="n">
        <v>2021</v>
      </c>
      <c r="D1698" s="5" t="inlineStr">
        <is>
          <t>Outcome not related to interest</t>
        </is>
      </c>
      <c r="E1698" s="86" t="n"/>
      <c r="F1698" s="86" t="n"/>
    </row>
    <row r="1699" ht="16" customHeight="1" s="55">
      <c r="A1699" s="86" t="inlineStr">
        <is>
          <t>Lesion-Aware Transformers for Diabetic Retinopathy Grading</t>
        </is>
      </c>
      <c r="B1699" s="86" t="inlineStr">
        <is>
          <t>R. Sun; Y. Li; T. Zhang; Z. Mao; F. Wu; Y. Zhang</t>
        </is>
      </c>
      <c r="C1699" s="86" t="n">
        <v>2021</v>
      </c>
      <c r="D1699" s="5" t="inlineStr">
        <is>
          <t>Outcome not related to interest</t>
        </is>
      </c>
      <c r="E1699" s="86" t="n"/>
      <c r="F1699" s="86" t="n"/>
    </row>
    <row r="1700" ht="16" customHeight="1" s="55">
      <c r="A1700" s="86" t="inlineStr">
        <is>
          <t>Diabetic Retinopathy Detection using Deep Learning RR</t>
        </is>
      </c>
      <c r="B1700" s="86" t="inlineStr">
        <is>
          <t>K. N. S. Sree; D. V. Sree; G. H. Lakshmi; S. Ramesh</t>
        </is>
      </c>
      <c r="C1700" s="86" t="n">
        <v>2021</v>
      </c>
      <c r="D1700" s="44" t="inlineStr">
        <is>
          <t>Repeated article</t>
        </is>
      </c>
      <c r="E1700" s="86" t="n"/>
      <c r="F1700" s="86" t="n"/>
    </row>
    <row r="1701" ht="16" customHeight="1" s="55">
      <c r="A1701" s="86" t="inlineStr">
        <is>
          <t>Diabetic Retinopathy Prediction using Deep learning</t>
        </is>
      </c>
      <c r="B1701" s="86" t="inlineStr">
        <is>
          <t>K. V. Spoorthi; B. S. Rekha</t>
        </is>
      </c>
      <c r="C1701" s="86" t="n">
        <v>2021</v>
      </c>
      <c r="D1701" s="5" t="inlineStr">
        <is>
          <t>Outcome not related to interest</t>
        </is>
      </c>
      <c r="E1701" s="86" t="n"/>
      <c r="F1701" s="86" t="n"/>
    </row>
    <row r="1702" ht="16" customHeight="1" s="55">
      <c r="A1702" s="86" t="inlineStr">
        <is>
          <t>A Novel Approach for the Early Recognition of Diabetic Retinopathy using Machine Learning</t>
        </is>
      </c>
      <c r="B1702" s="86" t="inlineStr">
        <is>
          <t>A. Soni; A. Rai</t>
        </is>
      </c>
      <c r="C1702" s="86" t="n">
        <v>2021</v>
      </c>
      <c r="D1702" s="5" t="inlineStr">
        <is>
          <t>Outcome not related to interest</t>
        </is>
      </c>
      <c r="E1702" s="86" t="n"/>
      <c r="F1702" s="86" t="n"/>
    </row>
    <row r="1703" ht="16" customHeight="1" s="55">
      <c r="A1703" s="86" t="inlineStr">
        <is>
          <t>An Efficient End-to-end Convolutional Neural Network for Classification of Diabetic Retinopathy using ResNet</t>
        </is>
      </c>
      <c r="B1703" s="86" t="inlineStr">
        <is>
          <t>F. A. A. Slimani; M. Bentourkia</t>
        </is>
      </c>
      <c r="C1703" s="86" t="n">
        <v>2021</v>
      </c>
      <c r="D1703" s="5" t="inlineStr">
        <is>
          <t>Outcome not related to interest</t>
        </is>
      </c>
      <c r="E1703" s="86" t="n"/>
      <c r="F1703" s="86" t="n"/>
    </row>
    <row r="1704" ht="16" customHeight="1" s="55">
      <c r="A1704" s="86" t="inlineStr">
        <is>
          <t>A Deep Learning Based Approach for Automated Diabetic Retinopathy Detection and Grading</t>
        </is>
      </c>
      <c r="B1704" s="86" t="inlineStr">
        <is>
          <t>S. M. Skariah; K. S. Arun</t>
        </is>
      </c>
      <c r="C1704" s="86" t="n">
        <v>2021</v>
      </c>
      <c r="D1704" s="5" t="inlineStr">
        <is>
          <t>Outcome not related to interest</t>
        </is>
      </c>
      <c r="E1704" s="86" t="n"/>
      <c r="F1704" s="86" t="n"/>
    </row>
    <row r="1705" ht="16" customHeight="1" s="55">
      <c r="A1705" s="86" t="inlineStr">
        <is>
          <t>Trends of Accuracy on Diabetic Retinopathy Considering Epoch Effect and Bayes Error</t>
        </is>
      </c>
      <c r="B1705" s="86" t="inlineStr">
        <is>
          <t>S. Sinha; S. Saxena; S. Jain</t>
        </is>
      </c>
      <c r="C1705" s="86" t="n">
        <v>2021</v>
      </c>
      <c r="D1705" s="5" t="inlineStr">
        <is>
          <t>Outcome not related to interest</t>
        </is>
      </c>
      <c r="E1705" s="86" t="n"/>
      <c r="F1705" s="86" t="n"/>
    </row>
    <row r="1706" ht="16" customHeight="1" s="55">
      <c r="A1706" s="86" t="inlineStr">
        <is>
          <t>Disease Prediction based on Retinal Images</t>
        </is>
      </c>
      <c r="B1706" s="86" t="inlineStr">
        <is>
          <t>S. N. Shivappriya; H. Rajaguru; M. Ramya; U. Asiyabegum; D. Prasanth</t>
        </is>
      </c>
      <c r="C1706" s="86" t="n">
        <v>2021</v>
      </c>
      <c r="D1706" s="5" t="inlineStr">
        <is>
          <t>Outcome not related to interest</t>
        </is>
      </c>
      <c r="E1706" s="86" t="n"/>
      <c r="F1706" s="86" t="n"/>
    </row>
    <row r="1707" ht="16" customHeight="1" s="55">
      <c r="A1707" s="86" t="inlineStr">
        <is>
          <t>Diabetic Retinopathy Detection and Classification from Fundus Images Using Deep Learning</t>
        </is>
      </c>
      <c r="B1707" s="86" t="inlineStr">
        <is>
          <t>P. Shetgaonkar; S. Aswale; S. Naik; A. Gaonkar; S. Gawade; P. Mhalsekar</t>
        </is>
      </c>
      <c r="C1707" s="86" t="n">
        <v>2021</v>
      </c>
      <c r="D1707" s="5" t="inlineStr">
        <is>
          <t>Outcome not related to interest</t>
        </is>
      </c>
      <c r="E1707" s="86" t="n"/>
      <c r="F1707" s="86" t="n"/>
    </row>
    <row r="1708" ht="16" customHeight="1" s="55">
      <c r="A1708" s="86" t="inlineStr">
        <is>
          <t>Modeling and Enhancing Low-Quality Retinal Fundus Images</t>
        </is>
      </c>
      <c r="B1708" s="86" t="inlineStr">
        <is>
          <t>Z. Shen; H. Fu; J. Shen; L. Shao</t>
        </is>
      </c>
      <c r="C1708" s="86" t="n">
        <v>2021</v>
      </c>
      <c r="D1708" s="5" t="inlineStr">
        <is>
          <t>Outcome not related to interest</t>
        </is>
      </c>
      <c r="E1708" s="86" t="n"/>
      <c r="F1708" s="86" t="n"/>
    </row>
    <row r="1709" ht="16" customHeight="1" s="55">
      <c r="A1709" s="86" t="inlineStr">
        <is>
          <t>Detection of Diabetic Retinopathy and its Classification from the Fundus Images</t>
        </is>
      </c>
      <c r="B1709" s="86" t="inlineStr">
        <is>
          <t>M. Shelar; S. Gaitonde; A. Senthilkumar; M. Mundra; A. Sarang</t>
        </is>
      </c>
      <c r="C1709" s="86" t="n">
        <v>2021</v>
      </c>
      <c r="D1709" s="5" t="inlineStr">
        <is>
          <t>Outcome not related to interest</t>
        </is>
      </c>
      <c r="E1709" s="86" t="n"/>
      <c r="F1709" s="86" t="n"/>
    </row>
    <row r="1710" ht="16" customHeight="1" s="55">
      <c r="A1710" s="86" t="inlineStr">
        <is>
          <t>Analysis of Various Techniques and Methods for the Prediction of Diabetic Eye Disease in Type 2 Diabetes</t>
        </is>
      </c>
      <c r="B1710" s="86" t="inlineStr">
        <is>
          <t>P. Sharma; A. K. Shukla</t>
        </is>
      </c>
      <c r="C1710" s="86" t="n">
        <v>2021</v>
      </c>
      <c r="D1710" s="5" t="inlineStr">
        <is>
          <t>Outcome not related to interest</t>
        </is>
      </c>
      <c r="E1710" s="86" t="n"/>
      <c r="F1710" s="86" t="n"/>
    </row>
    <row r="1711" ht="16" customHeight="1" s="55">
      <c r="A1711" s="86" t="inlineStr">
        <is>
          <t>Machine Learning Approach for Detection of Diabetic Retinopathy with Improved Pre-Processing</t>
        </is>
      </c>
      <c r="B1711" s="86" t="inlineStr">
        <is>
          <t>A. Sharma; S. Shinde; I. I. Shaikh; M. Vyas; S. Rani</t>
        </is>
      </c>
      <c r="C1711" s="86" t="n">
        <v>2021</v>
      </c>
      <c r="D1711" s="5" t="inlineStr">
        <is>
          <t>Outcome not related to interest</t>
        </is>
      </c>
      <c r="E1711" s="86" t="n"/>
      <c r="F1711" s="86" t="n"/>
    </row>
    <row r="1712" ht="16" customHeight="1" s="55">
      <c r="A1712" s="86" t="inlineStr">
        <is>
          <t>A Convolutional Neural Network Approach to Diabetic Retinopathy Detection and its Automated Classification</t>
        </is>
      </c>
      <c r="B1712" s="86" t="inlineStr">
        <is>
          <t>H. Seetah; N. Singh; P. Meel; T. Dhudi</t>
        </is>
      </c>
      <c r="C1712" s="86" t="n">
        <v>2021</v>
      </c>
      <c r="D1712" s="5" t="inlineStr">
        <is>
          <t>Outcome not related to interest</t>
        </is>
      </c>
      <c r="E1712" s="86" t="n"/>
      <c r="F1712" s="86" t="n"/>
    </row>
    <row r="1713" ht="16" customHeight="1" s="55">
      <c r="A1713" s="86" t="inlineStr">
        <is>
          <t>Multiple Convolutional Neural Networks for Diabetic Retinopathy Classification</t>
        </is>
      </c>
      <c r="B1713" s="86" t="inlineStr">
        <is>
          <t>B. Schweisthal; M. Lascu</t>
        </is>
      </c>
      <c r="C1713" s="86" t="n">
        <v>2021</v>
      </c>
      <c r="D1713" s="5" t="inlineStr">
        <is>
          <t>Outcome not related to interest</t>
        </is>
      </c>
      <c r="E1713" s="86" t="n"/>
      <c r="F1713" s="86" t="n"/>
    </row>
    <row r="1714" ht="16" customHeight="1" s="55">
      <c r="A1714" s="86" t="inlineStr">
        <is>
          <t>Classification of Different Stages of Diabetic Retinopathy using Convolutional Neural Networks</t>
        </is>
      </c>
      <c r="B1714" s="86" t="inlineStr">
        <is>
          <t>P. Saranya; K. M. Umamaheswari; M. Sivaram; C. Jain; D. Bagchi</t>
        </is>
      </c>
      <c r="C1714" s="86" t="n">
        <v>2021</v>
      </c>
      <c r="D1714" s="5" t="inlineStr">
        <is>
          <t>Outcome not related to interest</t>
        </is>
      </c>
      <c r="E1714" s="86" t="n"/>
      <c r="F1714" s="86" t="n"/>
    </row>
    <row r="1715" ht="16" customHeight="1" s="55">
      <c r="A1715" s="86" t="inlineStr">
        <is>
          <t>Detection of Fundus Lesions through a Convolutional Neural Network in Patients with Diabetic Retinopathy</t>
        </is>
      </c>
      <c r="B1715" s="86" t="inlineStr">
        <is>
          <t>C. Santos; M. S. d. Aguiar; D. Welfer; B. M. Belloni</t>
        </is>
      </c>
      <c r="C1715" s="86" t="n">
        <v>2021</v>
      </c>
      <c r="D1715" s="5" t="inlineStr">
        <is>
          <t>Outcome not related to interest</t>
        </is>
      </c>
      <c r="E1715" s="86" t="n"/>
      <c r="F1715" s="86" t="n"/>
    </row>
    <row r="1716" ht="16" customHeight="1" s="55">
      <c r="A1716" s="86" t="inlineStr">
        <is>
          <t>Automated Diabetic Retinopathy Detection Using Transfer Learning Models</t>
        </is>
      </c>
      <c r="B1716" s="86" t="inlineStr">
        <is>
          <t>S. Sanjana; N. S. Shadin; M. Farzana</t>
        </is>
      </c>
      <c r="C1716" s="86" t="n">
        <v>2021</v>
      </c>
      <c r="D1716" s="5" t="inlineStr">
        <is>
          <t>Outcome not related to interest</t>
        </is>
      </c>
      <c r="E1716" s="86" t="n"/>
      <c r="F1716" s="86" t="n"/>
    </row>
    <row r="1717" ht="16" customHeight="1" s="55">
      <c r="A1717" s="86" t="inlineStr">
        <is>
          <t>Predictive Analysis of Diabetic Retinopathy with Transfer Learning</t>
        </is>
      </c>
      <c r="B1717" s="86" t="inlineStr">
        <is>
          <t>R. S. Salvi; S. R. Labhsetwar; P. A. Kolte; V. S. Venkatesh; A. M. Baretto</t>
        </is>
      </c>
      <c r="C1717" s="86" t="n">
        <v>2021</v>
      </c>
      <c r="D1717" s="5" t="inlineStr">
        <is>
          <t>Outcome not related to interest</t>
        </is>
      </c>
      <c r="E1717" s="86" t="n"/>
      <c r="F1717" s="86" t="n"/>
    </row>
    <row r="1718" ht="16" customHeight="1" s="55">
      <c r="A1718" s="86" t="inlineStr">
        <is>
          <t>Automatic Diabetic Retinopathy Diagnosis Using Adaptive Fine-Tuned Convolutional Neural Network</t>
        </is>
      </c>
      <c r="B1718" s="86" t="inlineStr">
        <is>
          <t>F. Saeed; M. Hussain; H. A. Aboalsamh</t>
        </is>
      </c>
      <c r="C1718" s="86" t="n">
        <v>2021</v>
      </c>
      <c r="D1718" s="5" t="inlineStr">
        <is>
          <t>Outcome not related to interest</t>
        </is>
      </c>
      <c r="E1718" s="86" t="n"/>
      <c r="F1718" s="86" t="n"/>
    </row>
    <row r="1719" ht="16" customHeight="1" s="55">
      <c r="A1719" s="86" t="inlineStr">
        <is>
          <t>Eye Disease Detection Using Machine Learning</t>
        </is>
      </c>
      <c r="B1719" s="86" t="inlineStr">
        <is>
          <t>G. Ramanathan; D. Chakrabarti; A. Patil; S. Rishipathak; S. Kharche</t>
        </is>
      </c>
      <c r="C1719" s="86" t="n">
        <v>2021</v>
      </c>
      <c r="D1719" s="5" t="inlineStr">
        <is>
          <t>Outcome not related to interest</t>
        </is>
      </c>
      <c r="E1719" s="86" t="n"/>
      <c r="F1719" s="86" t="n"/>
    </row>
    <row r="1720" ht="16" customHeight="1" s="55">
      <c r="A1720" s="86" t="inlineStr">
        <is>
          <t>Transfer Learning Approach for Diabetic Retinopathy Detection using Residual Network</t>
        </is>
      </c>
      <c r="B1720" s="86" t="inlineStr">
        <is>
          <t>R. S. Rajkumar; T. Jagathishkumar; D. Ragul; A. G. Selvarani</t>
        </is>
      </c>
      <c r="C1720" s="86" t="n">
        <v>2021</v>
      </c>
      <c r="D1720" s="5" t="inlineStr">
        <is>
          <t>Outcome not related to interest</t>
        </is>
      </c>
      <c r="E1720" s="86" t="n"/>
      <c r="F1720" s="86" t="n"/>
    </row>
    <row r="1721" ht="16" customHeight="1" s="55">
      <c r="A1721" s="86" t="inlineStr">
        <is>
          <t>Diabetic Retinopathy Grading Using Attention based Convolution Neural Network</t>
        </is>
      </c>
      <c r="B1721" s="86" t="inlineStr">
        <is>
          <t>Z. Qian; C. Wu; H. Chen; M. Chen</t>
        </is>
      </c>
      <c r="C1721" s="86" t="n">
        <v>2021</v>
      </c>
      <c r="D1721" s="5" t="inlineStr">
        <is>
          <t>Outcome not related to interest</t>
        </is>
      </c>
      <c r="E1721" s="86" t="n"/>
      <c r="F1721" s="86" t="n"/>
    </row>
    <row r="1722" ht="16" customHeight="1" s="55">
      <c r="A1722" s="86" t="inlineStr">
        <is>
          <t>Two Eyes Are Better Than One: Exploiting Binocular Correlation for Diabetic Retinopathy Severity Grading</t>
        </is>
      </c>
      <c r="B1722" s="86" t="inlineStr">
        <is>
          <t>P. Qian; Z. Zhao; C. Chen; Z. Zeng; X. Li</t>
        </is>
      </c>
      <c r="C1722" s="86" t="n">
        <v>2021</v>
      </c>
      <c r="D1722" s="5" t="inlineStr">
        <is>
          <t>Outcome not related to interest</t>
        </is>
      </c>
      <c r="E1722" s="86" t="n"/>
      <c r="F1722" s="86" t="n"/>
    </row>
    <row r="1723" ht="16" customHeight="1" s="55">
      <c r="A1723" s="86" t="inlineStr">
        <is>
          <t>Multi Label Classification Of Retinal Disease On Fundus Images Using AlexNet And VGG16 Architectures</t>
        </is>
      </c>
      <c r="B1723" s="86" t="inlineStr">
        <is>
          <t>R. Prawira; A. Bustamam; P. Anki</t>
        </is>
      </c>
      <c r="C1723" s="86" t="n">
        <v>2021</v>
      </c>
      <c r="D1723" s="5" t="inlineStr">
        <is>
          <t>Outcome not related to interest</t>
        </is>
      </c>
      <c r="E1723" s="86" t="n"/>
      <c r="F1723" s="86" t="n"/>
    </row>
    <row r="1724" ht="16" customHeight="1" s="55">
      <c r="A1724" s="86" t="inlineStr">
        <is>
          <t>A tree structure-based classification of diabetic retinopathy stages using convolutional neural network</t>
        </is>
      </c>
      <c r="B1724" s="86" t="inlineStr">
        <is>
          <t>M. S. H. Peiris; S. Sotheeswaran</t>
        </is>
      </c>
      <c r="C1724" s="86" t="n">
        <v>2021</v>
      </c>
      <c r="D1724" s="5" t="inlineStr">
        <is>
          <t>Outcome not related to interest</t>
        </is>
      </c>
      <c r="E1724" s="86" t="n"/>
      <c r="F1724" s="86" t="n"/>
    </row>
    <row r="1725" ht="16" customHeight="1" s="55">
      <c r="A1725" s="86" t="inlineStr">
        <is>
          <t>DiaRet: A Browser-Based Application for the Grading of Diabetic Retinopathy with Integrated Gradients</t>
        </is>
      </c>
      <c r="B1725" s="86" t="inlineStr">
        <is>
          <t>S. Patel; M. Lohakare; S. Prajapati; S. Singh; N. Patel</t>
        </is>
      </c>
      <c r="C1725" s="86" t="n">
        <v>2021</v>
      </c>
      <c r="D1725" s="5" t="inlineStr">
        <is>
          <t>Outcome not related to interest</t>
        </is>
      </c>
      <c r="E1725" s="86" t="n"/>
      <c r="F1725" s="86" t="n"/>
    </row>
    <row r="1726" ht="16" customHeight="1" s="55">
      <c r="A1726" s="86" t="inlineStr">
        <is>
          <t>Internet of Things Enabled Intelligent Machine Learning based Diabetic Retinopathy Grading and Classification Model</t>
        </is>
      </c>
      <c r="B1726" s="86" t="inlineStr">
        <is>
          <t>K. Parthiban; K. Venkatachalapathy</t>
        </is>
      </c>
      <c r="C1726" s="86" t="n">
        <v>2021</v>
      </c>
      <c r="D1726" s="5" t="inlineStr">
        <is>
          <t>Outcome not related to interest</t>
        </is>
      </c>
      <c r="E1726" s="86" t="n"/>
      <c r="F1726" s="86" t="n"/>
    </row>
    <row r="1727" ht="16" customHeight="1" s="55">
      <c r="A1727" s="86" t="inlineStr">
        <is>
          <t>Diabetic Retinopathy Detection using Deep Convolutional Neural Network with Visualization of Guided Grad-CA</t>
        </is>
      </c>
      <c r="B1727" s="86" t="inlineStr">
        <is>
          <t>R. H. Paradisa; A. Bustamam; A. A. Victor; A. R. Yudantha; D. Sarwinda</t>
        </is>
      </c>
      <c r="C1727" s="86" t="n">
        <v>2021</v>
      </c>
      <c r="D1727" s="5" t="inlineStr">
        <is>
          <t>Outcome not related to interest</t>
        </is>
      </c>
      <c r="E1727" s="86" t="n"/>
      <c r="F1727" s="86" t="n"/>
    </row>
    <row r="1728" ht="16" customHeight="1" s="55">
      <c r="A1728" s="86" t="inlineStr">
        <is>
          <t>FEDI: Few-shot learning based on Earth Mover's Distance algorithm combined with deep residual network to identify diabetic retinopathy</t>
        </is>
      </c>
      <c r="B1728" s="86" t="inlineStr">
        <is>
          <t>L. Pan; P. Zhang; F. Xia; B. Ji; W. Liu; H. Wang; Y. Jin; M. Chongcheawchamnan; S. Peng</t>
        </is>
      </c>
      <c r="C1728" s="86" t="n">
        <v>2021</v>
      </c>
      <c r="D1728" s="5" t="inlineStr">
        <is>
          <t>Outcome not related to interest</t>
        </is>
      </c>
      <c r="E1728" s="86" t="n"/>
      <c r="F1728" s="86" t="n"/>
    </row>
    <row r="1729" ht="16" customHeight="1" s="55">
      <c r="A1729" s="86" t="inlineStr">
        <is>
          <t>M2LC-Net: A multi-modal multi-disease long-tailed classification network for real clinical scenes</t>
        </is>
      </c>
      <c r="B1729" s="86" t="inlineStr">
        <is>
          <t>Z. Ou; W. Chai; L. Wang; R. Zhang; J. He; M. Song; L. Yuan; S. Zhang; Y. Wang; H. Li; X. Jia; R. Huang</t>
        </is>
      </c>
      <c r="C1729" s="86" t="n">
        <v>2021</v>
      </c>
      <c r="D1729" s="5" t="inlineStr">
        <is>
          <t>Outcome not related to interest</t>
        </is>
      </c>
      <c r="E1729" s="86" t="n"/>
      <c r="F1729" s="86" t="n"/>
    </row>
    <row r="1730" ht="16" customHeight="1" s="55">
      <c r="A1730" s="86" t="inlineStr">
        <is>
          <t>Diabetic Retinopathy Detection using Ensemble Machine Learning</t>
        </is>
      </c>
      <c r="B1730" s="86" t="inlineStr">
        <is>
          <t>I. Odeh; M. Alkasassbeh; M. Alauthman</t>
        </is>
      </c>
      <c r="C1730" s="86" t="n">
        <v>2021</v>
      </c>
      <c r="D1730" s="5" t="inlineStr">
        <is>
          <t>Outcome not related to interest</t>
        </is>
      </c>
      <c r="E1730" s="86" t="n"/>
      <c r="F1730" s="86" t="n"/>
    </row>
    <row r="1731" ht="16" customHeight="1" s="55">
      <c r="A1731" s="86" t="inlineStr">
        <is>
          <t>Intelligent Diabetic Retinopathy Detection using Deep Learning</t>
        </is>
      </c>
      <c r="B1731" s="86" t="inlineStr">
        <is>
          <t>H. A. Nugroho; E. L. Frannita</t>
        </is>
      </c>
      <c r="C1731" s="86" t="n">
        <v>2021</v>
      </c>
      <c r="D1731" s="5" t="inlineStr">
        <is>
          <t>Outcome not related to interest</t>
        </is>
      </c>
      <c r="E1731" s="86" t="n"/>
      <c r="F1731" s="86" t="n"/>
    </row>
    <row r="1732" ht="16" customHeight="1" s="55">
      <c r="A1732" s="86" t="inlineStr">
        <is>
          <t>A Dual Weighted Shared Capsule Network for Diabetic Retinopathy Fundus Classification</t>
        </is>
      </c>
      <c r="B1732" s="86" t="inlineStr">
        <is>
          <t>G. U. Nneji; J. Cai; J. Deng; H. N. Monday; S. Nahar; G. T. Mgbejime; E. C. James; S. K. Woldeyes</t>
        </is>
      </c>
      <c r="C1732" s="86" t="n">
        <v>2021</v>
      </c>
      <c r="D1732" s="5" t="inlineStr">
        <is>
          <t>Outcome not related to interest</t>
        </is>
      </c>
      <c r="E1732" s="86" t="n"/>
      <c r="F1732" s="86" t="n"/>
    </row>
    <row r="1733" ht="16" customHeight="1" s="55">
      <c r="A1733" s="86" t="inlineStr">
        <is>
          <t>Look at Both Eyes: Deep Learning Based Feature Fusion Strategies for the Classification of Diabetic Retinopathy Lesions</t>
        </is>
      </c>
      <c r="B1733" s="86" t="inlineStr">
        <is>
          <t>R. Nirthika; S. Manivannan; A. Ramanan</t>
        </is>
      </c>
      <c r="C1733" s="86" t="n">
        <v>2021</v>
      </c>
      <c r="D1733" s="5" t="inlineStr">
        <is>
          <t>Outcome not related to interest</t>
        </is>
      </c>
      <c r="E1733" s="86" t="n"/>
      <c r="F1733" s="86" t="n"/>
    </row>
    <row r="1734" ht="16" customHeight="1" s="55">
      <c r="A1734" s="86" t="inlineStr">
        <is>
          <t>Distributional Shifts In Automated Diabetic Retinopathy Screening</t>
        </is>
      </c>
      <c r="B1734" s="86" t="inlineStr">
        <is>
          <t>J. Nandy; W. Hs; M. L. Le</t>
        </is>
      </c>
      <c r="C1734" s="86" t="n">
        <v>2021</v>
      </c>
      <c r="D1734" s="5" t="inlineStr">
        <is>
          <t>Outcome not related to interest</t>
        </is>
      </c>
      <c r="E1734" s="86" t="n"/>
      <c r="F1734" s="86" t="n"/>
    </row>
    <row r="1735" ht="16" customHeight="1" s="55">
      <c r="A1735" s="86" t="inlineStr">
        <is>
          <t>An Improved Diabetic Retinopathy Image Classification by Using Deep Learning Models</t>
        </is>
      </c>
      <c r="B1735" s="86" t="inlineStr">
        <is>
          <t>J. Naim; Z. Hasan; M. N. H. Pradhan; S. Ripon</t>
        </is>
      </c>
      <c r="C1735" s="86" t="n">
        <v>2021</v>
      </c>
      <c r="D1735" s="5" t="inlineStr">
        <is>
          <t>Outcome not related to interest</t>
        </is>
      </c>
      <c r="E1735" s="86" t="n"/>
      <c r="F1735" s="86" t="n"/>
    </row>
    <row r="1736" ht="16" customHeight="1" s="55">
      <c r="A1736" s="86" t="inlineStr">
        <is>
          <t>Hybrid CNN-SVD Based Prominent Feature Extraction and Selection for Grading Diabetic Retinopathy Using Extreme Learning Machine Algorithm</t>
        </is>
      </c>
      <c r="B1736" s="86" t="inlineStr">
        <is>
          <t>M. Nahiduzzaman; M. R. Islam; S. M. R. Islam; M. O. F. Goni; M. S. Anower; K. S. Kwak</t>
        </is>
      </c>
      <c r="C1736" s="86" t="n">
        <v>2021</v>
      </c>
      <c r="D1736" s="5" t="inlineStr">
        <is>
          <t>Outcome not related to interest</t>
        </is>
      </c>
      <c r="E1736" s="86" t="n"/>
      <c r="F1736" s="86" t="n"/>
    </row>
    <row r="1737" ht="16" customHeight="1" s="55">
      <c r="A1737" s="86" t="inlineStr">
        <is>
          <t>A Comparison of Two-Stage Classifier Algorithm with Ensemble Techniques On Detection of Diabetic Retinopathy</t>
        </is>
      </c>
      <c r="B1737" s="86" t="inlineStr">
        <is>
          <t>A. T. Nagi; M. J. Awan; R. Javed; N. Ayesha</t>
        </is>
      </c>
      <c r="C1737" s="86" t="n">
        <v>2021</v>
      </c>
      <c r="D1737" s="5" t="inlineStr">
        <is>
          <t>Outcome not related to interest</t>
        </is>
      </c>
      <c r="E1737" s="86" t="n"/>
      <c r="F1737" s="86" t="n"/>
    </row>
    <row r="1738" ht="16" customHeight="1" s="55">
      <c r="A1738" s="86" t="inlineStr">
        <is>
          <t>Classification of Diabetic Retinopathy based on Curvelet, Scale Invariant, and Firefly Feature Extraction using CNN and MLP</t>
        </is>
      </c>
      <c r="B1738" s="86" t="inlineStr">
        <is>
          <t>N. Mule; A. Thakare; A. Kadam</t>
        </is>
      </c>
      <c r="C1738" s="86" t="n">
        <v>2021</v>
      </c>
      <c r="D1738" s="5" t="inlineStr">
        <is>
          <t>Outcome not related to interest</t>
        </is>
      </c>
      <c r="E1738" s="86" t="n"/>
      <c r="F1738" s="86" t="n"/>
    </row>
    <row r="1739" ht="16" customHeight="1" s="55">
      <c r="A1739" s="86" t="inlineStr">
        <is>
          <t>Diabetic Retinopathy Classification with pre-trained Image Enhancement Model</t>
        </is>
      </c>
      <c r="B1739" s="86" t="inlineStr">
        <is>
          <t>W. Mudaser; P. Padungweang; P. Mongkolnam; P. Lavangnananda</t>
        </is>
      </c>
      <c r="C1739" s="86" t="n">
        <v>2021</v>
      </c>
      <c r="D1739" s="5" t="inlineStr">
        <is>
          <t>Outcome not related to interest</t>
        </is>
      </c>
      <c r="E1739" s="86" t="n"/>
      <c r="F1739" s="86" t="n"/>
    </row>
    <row r="1740" ht="16" customHeight="1" s="55">
      <c r="A1740" s="86" t="inlineStr">
        <is>
          <t>Context encoder self-supervised approaches for eye fundus analysis</t>
        </is>
      </c>
      <c r="B1740" s="86" t="inlineStr">
        <is>
          <t>D. I. Morís; Á. S. Hervella; J. Rouco; J. Novo; M. Ortega</t>
        </is>
      </c>
      <c r="C1740" s="86" t="n">
        <v>2021</v>
      </c>
      <c r="D1740" s="5" t="inlineStr">
        <is>
          <t>Outcome not related to interest</t>
        </is>
      </c>
      <c r="E1740" s="86" t="n"/>
      <c r="F1740" s="86" t="n"/>
    </row>
    <row r="1741" ht="16" customHeight="1" s="55">
      <c r="A1741" s="86" t="inlineStr">
        <is>
          <t>Exudate Detection with Improved U-Net Using Fundus Images</t>
        </is>
      </c>
      <c r="B1741" s="86" t="inlineStr">
        <is>
          <t>N. J. Mohan; R. Murugan; T. Goel; P. Roy</t>
        </is>
      </c>
      <c r="C1741" s="86" t="n">
        <v>2021</v>
      </c>
      <c r="D1741" s="5" t="inlineStr">
        <is>
          <t>Outcome not related to interest</t>
        </is>
      </c>
      <c r="E1741" s="86" t="n"/>
      <c r="F1741" s="86" t="n"/>
    </row>
    <row r="1742" ht="16" customHeight="1" s="55">
      <c r="A1742" s="86" t="inlineStr">
        <is>
          <t>Improved Automatic Grading of Diabetic Retinopathy Using Deep Learning and Principal Component Analysis</t>
        </is>
      </c>
      <c r="B1742" s="86" t="inlineStr">
        <is>
          <t>E. Mohamed; M. A. Elmohsen; T. Basha</t>
        </is>
      </c>
      <c r="C1742" s="86" t="n">
        <v>2021</v>
      </c>
      <c r="D1742" s="5" t="inlineStr">
        <is>
          <t>Outcome not related to interest</t>
        </is>
      </c>
      <c r="E1742" s="86" t="n"/>
      <c r="F1742" s="86" t="n"/>
    </row>
    <row r="1743" ht="16" customHeight="1" s="55">
      <c r="A1743" s="86" t="inlineStr">
        <is>
          <t>Research on Deep Learning in the Detection and Classification of Diabetic Retinopathy</t>
        </is>
      </c>
      <c r="B1743" s="86" t="inlineStr">
        <is>
          <t>Y. Miao; S. Tang; P. Du; Z. Li</t>
        </is>
      </c>
      <c r="C1743" s="86" t="n">
        <v>2021</v>
      </c>
      <c r="D1743" s="5" t="inlineStr">
        <is>
          <t>Outcome not related to interest</t>
        </is>
      </c>
      <c r="E1743" s="86" t="n"/>
      <c r="F1743" s="86" t="n"/>
    </row>
    <row r="1744" ht="16" customHeight="1" s="55">
      <c r="A1744" s="86" t="inlineStr">
        <is>
          <t>Multitasking Deep Learning Model for Detection of Five Stages of Diabetic Retinopathy</t>
        </is>
      </c>
      <c r="B1744" s="86" t="inlineStr">
        <is>
          <t>S. Majumder; N. Kehtarnavaz</t>
        </is>
      </c>
      <c r="C1744" s="86" t="n">
        <v>2021</v>
      </c>
      <c r="D1744" s="5" t="inlineStr">
        <is>
          <t>Outcome not related to interest</t>
        </is>
      </c>
      <c r="E1744" s="86" t="n"/>
      <c r="F1744" s="86" t="n"/>
    </row>
    <row r="1745" ht="16" customHeight="1" s="55">
      <c r="A1745" s="86" t="inlineStr">
        <is>
          <t>Deep Learning based detection of Diabetic Retinopathy from Inexpensive fundus imaging techniques</t>
        </is>
      </c>
      <c r="B1745" s="86" t="inlineStr">
        <is>
          <t>R. M. B; T. Harish; V. Mayya; S. S. K</t>
        </is>
      </c>
      <c r="C1745" s="86" t="n">
        <v>2021</v>
      </c>
      <c r="D1745" s="5" t="inlineStr">
        <is>
          <t>Outcome not related to interest</t>
        </is>
      </c>
      <c r="E1745" s="86" t="n"/>
      <c r="F1745" s="86" t="n"/>
    </row>
    <row r="1746" ht="16" customHeight="1" s="55">
      <c r="A1746" s="86" t="inlineStr">
        <is>
          <t>A Novel Diabetic Retinopathy Detection Approach Based on Deep Symmetric Convolutional Neural Network</t>
        </is>
      </c>
      <c r="B1746" s="86" t="inlineStr">
        <is>
          <t>T. Liu; Y. Chen; H. Shen; R. Zhou; M. Zhang; T. Liu; J. Liu</t>
        </is>
      </c>
      <c r="C1746" s="86" t="n">
        <v>2021</v>
      </c>
      <c r="D1746" s="5" t="inlineStr">
        <is>
          <t>Outcome not related to interest</t>
        </is>
      </c>
      <c r="E1746" s="86" t="n"/>
      <c r="F1746" s="86" t="n"/>
    </row>
    <row r="1747" ht="16" customHeight="1" s="55">
      <c r="A1747" s="86" t="inlineStr">
        <is>
          <t>Multi-Label Classification of Fundus Images With Graph Convolutional Network and Self-Supervised Learning</t>
        </is>
      </c>
      <c r="B1747" s="86" t="inlineStr">
        <is>
          <t>J. Lin; Q. Cai; M. Lin</t>
        </is>
      </c>
      <c r="C1747" s="86" t="n">
        <v>2021</v>
      </c>
      <c r="D1747" s="5" t="inlineStr">
        <is>
          <t>Outcome not related to interest</t>
        </is>
      </c>
      <c r="E1747" s="86" t="n"/>
      <c r="F1747" s="86" t="n"/>
    </row>
    <row r="1748" ht="16" customHeight="1" s="55">
      <c r="A1748" s="86" t="inlineStr">
        <is>
          <t>Semi-Supervised Auto-Encoder Graph Network for Diabetic Retinopathy Grading</t>
        </is>
      </c>
      <c r="B1748" s="86" t="inlineStr">
        <is>
          <t>Y. Li; Z. Song; S. Kang; S. Jung; W. Kang</t>
        </is>
      </c>
      <c r="C1748" s="86" t="n">
        <v>2021</v>
      </c>
      <c r="D1748" s="5" t="inlineStr">
        <is>
          <t>Outcome not related to interest</t>
        </is>
      </c>
      <c r="E1748" s="86" t="n"/>
      <c r="F1748" s="86" t="n"/>
    </row>
    <row r="1749" ht="16" customHeight="1" s="55">
      <c r="A1749" s="86" t="inlineStr">
        <is>
          <t>Pixel-level Diabetic Retinopathy Lesion Detection Using Multi-scale Convolutional Neural Network</t>
        </is>
      </c>
      <c r="B1749" s="86" t="inlineStr">
        <is>
          <t>Q. Li; C. Peng; Y. Ma; S. Du; B. Guo; Y. Li</t>
        </is>
      </c>
      <c r="C1749" s="86" t="n">
        <v>2021</v>
      </c>
      <c r="D1749" s="5" t="inlineStr">
        <is>
          <t>Outcome not related to interest</t>
        </is>
      </c>
      <c r="E1749" s="86" t="n"/>
      <c r="F1749" s="86" t="n"/>
    </row>
    <row r="1750" ht="16" customHeight="1" s="55">
      <c r="A1750" s="86" t="inlineStr">
        <is>
          <t>Grading Diabetic Retinopathy Severity Using Modern Convolution Neural Networks (CNN)</t>
        </is>
      </c>
      <c r="B1750" s="86" t="inlineStr">
        <is>
          <t>A. Lee; M. Khushi; P. Hao; S. Uddin; S. K. Poon</t>
        </is>
      </c>
      <c r="C1750" s="86" t="n">
        <v>2021</v>
      </c>
      <c r="D1750" s="5" t="inlineStr">
        <is>
          <t>Outcome not related to interest</t>
        </is>
      </c>
      <c r="E1750" s="86" t="n"/>
      <c r="F1750" s="86" t="n"/>
    </row>
    <row r="1751" ht="16" customHeight="1" s="55">
      <c r="A1751" s="86" t="inlineStr">
        <is>
          <t>Detection of Diabetic Retinopathy in Retinal Fundus Image Using YOLO-RF Model</t>
        </is>
      </c>
      <c r="B1751" s="86" t="inlineStr">
        <is>
          <t>R. L; A. Padyana</t>
        </is>
      </c>
      <c r="C1751" s="86" t="n">
        <v>2021</v>
      </c>
      <c r="D1751" s="5" t="inlineStr">
        <is>
          <t>Outcome not related to interest</t>
        </is>
      </c>
      <c r="E1751" s="86" t="n"/>
      <c r="F1751" s="86" t="n"/>
    </row>
    <row r="1752" ht="16" customHeight="1" s="55">
      <c r="A1752" s="86" t="inlineStr">
        <is>
          <t>Diabetic Retinopathy Detection and Classification using Pretrained Inception-v3</t>
        </is>
      </c>
      <c r="B1752" s="86" t="inlineStr">
        <is>
          <t>G. Kurup; J. A. A. Jothi; A. Kanadath</t>
        </is>
      </c>
      <c r="C1752" s="86" t="n">
        <v>2021</v>
      </c>
      <c r="D1752" s="5" t="inlineStr">
        <is>
          <t>Outcome not related to interest</t>
        </is>
      </c>
      <c r="E1752" s="86" t="n"/>
      <c r="F1752" s="86" t="n"/>
    </row>
    <row r="1753" ht="16" customHeight="1" s="55">
      <c r="A1753" s="86" t="inlineStr">
        <is>
          <t>A Hybrid Machine Learning Strategy Assisted Diabetic Retinopathy Detection based on Retinal Images</t>
        </is>
      </c>
      <c r="B1753" s="86" t="inlineStr">
        <is>
          <t>R. K. Kumar; K. Arunabhaskar</t>
        </is>
      </c>
      <c r="C1753" s="86" t="n">
        <v>2021</v>
      </c>
      <c r="D1753" s="5" t="inlineStr">
        <is>
          <t>Outcome not related to interest</t>
        </is>
      </c>
      <c r="E1753" s="86" t="n"/>
      <c r="F1753" s="86" t="n"/>
    </row>
    <row r="1754" ht="16" customHeight="1" s="55">
      <c r="A1754" s="86" t="inlineStr">
        <is>
          <t>Diabetic Retinopathy Detection using CNN, Transformer and MLP based Architectures</t>
        </is>
      </c>
      <c r="B1754" s="86" t="inlineStr">
        <is>
          <t>N. S. Kumar; B. R. Karthikeyan</t>
        </is>
      </c>
      <c r="C1754" s="86" t="n">
        <v>2021</v>
      </c>
      <c r="D1754" s="5" t="inlineStr">
        <is>
          <t>Outcome not related to interest</t>
        </is>
      </c>
      <c r="E1754" s="86" t="n"/>
      <c r="F1754" s="86" t="n"/>
    </row>
    <row r="1755" ht="16" customHeight="1" s="55">
      <c r="A1755" s="86" t="inlineStr">
        <is>
          <t>Analysis of CNN Model based Classification of Diabetic Retinopathy Diagnosis</t>
        </is>
      </c>
      <c r="B1755" s="86" t="inlineStr">
        <is>
          <t>J. R. D. Kumar; K. Priyadharsini</t>
        </is>
      </c>
      <c r="C1755" s="86" t="n">
        <v>2021</v>
      </c>
      <c r="D1755" s="5" t="inlineStr">
        <is>
          <t>Outcome not related to interest</t>
        </is>
      </c>
      <c r="E1755" s="86" t="n"/>
      <c r="F1755" s="86" t="n"/>
    </row>
    <row r="1756" ht="16" customHeight="1" s="55">
      <c r="A1756" s="86" t="inlineStr">
        <is>
          <t>Automated Computer Aided Detection of Diabetic Retinopathy Using Machine Learning Hybrid Model</t>
        </is>
      </c>
      <c r="B1756" s="86" t="inlineStr">
        <is>
          <t>A. Kubde; S. Mohod</t>
        </is>
      </c>
      <c r="C1756" s="86" t="n">
        <v>2021</v>
      </c>
      <c r="D1756" s="5" t="inlineStr">
        <is>
          <t>Outcome not related to interest</t>
        </is>
      </c>
      <c r="E1756" s="86" t="n"/>
      <c r="F1756" s="86" t="n"/>
    </row>
    <row r="1757" ht="16" customHeight="1" s="55">
      <c r="A1757" s="86" t="inlineStr">
        <is>
          <t>Efficient Classification of Diabetic Retinopathy using Binary CNN</t>
        </is>
      </c>
      <c r="B1757" s="86" t="inlineStr">
        <is>
          <t>M. Kolla; T. V</t>
        </is>
      </c>
      <c r="C1757" s="86" t="n">
        <v>2021</v>
      </c>
      <c r="D1757" s="5" t="inlineStr">
        <is>
          <t>Outcome not related to interest</t>
        </is>
      </c>
      <c r="E1757" s="86" t="n"/>
      <c r="F1757" s="86" t="n"/>
    </row>
    <row r="1758" ht="16" customHeight="1" s="55">
      <c r="A1758" s="86" t="inlineStr">
        <is>
          <t>Diabetic Retinopathy Detection Using VGG-NIN a Deep Learning Architecture</t>
        </is>
      </c>
      <c r="B1758" s="86" t="inlineStr">
        <is>
          <t>Z. Khan; F. G. Khan; A. Khan; Z. U. Rehman; S. Shah; S. Qummar; F. Ali; S. Pack</t>
        </is>
      </c>
      <c r="C1758" s="86" t="n">
        <v>2021</v>
      </c>
      <c r="D1758" s="5" t="inlineStr">
        <is>
          <t>Outcome not related to interest</t>
        </is>
      </c>
      <c r="E1758" s="86" t="n"/>
      <c r="F1758" s="86" t="n"/>
    </row>
    <row r="1759" ht="16" customHeight="1" s="55">
      <c r="A1759" s="86" t="inlineStr">
        <is>
          <t>Ocular Inspection to Prevent Vision Impairment Caused by Diabetic Retinopathy</t>
        </is>
      </c>
      <c r="B1759" s="86" t="inlineStr">
        <is>
          <t>M. Z. Khan; Y. Lee</t>
        </is>
      </c>
      <c r="C1759" s="86" t="n">
        <v>2021</v>
      </c>
      <c r="D1759" s="5" t="inlineStr">
        <is>
          <t>Outcome not related to interest</t>
        </is>
      </c>
      <c r="E1759" s="86" t="n"/>
      <c r="F1759" s="86" t="n"/>
    </row>
    <row r="1760" ht="16" customHeight="1" s="55">
      <c r="A1760" s="86" t="inlineStr">
        <is>
          <t>Diabetic Retinopathy Diagnosis From Fundus Images Using Stacked Generalization of Deep Models</t>
        </is>
      </c>
      <c r="B1760" s="86" t="inlineStr">
        <is>
          <t>H. Kaushik; D. Singh; M. Kaur; H. Alshazly; A. Zaguia; H. Hamam</t>
        </is>
      </c>
      <c r="C1760" s="86" t="n">
        <v>2021</v>
      </c>
      <c r="D1760" s="5" t="inlineStr">
        <is>
          <t>Outcome not related to interest</t>
        </is>
      </c>
      <c r="E1760" s="86" t="n"/>
      <c r="F1760" s="86" t="n"/>
    </row>
    <row r="1761" ht="16" customHeight="1" s="55">
      <c r="A1761" s="86" t="inlineStr">
        <is>
          <t>Diabetic Retinopathy Classification using a Combination of EfficientNets</t>
        </is>
      </c>
      <c r="B1761" s="86" t="inlineStr">
        <is>
          <t>S. S. Karki; P. Kulkarni</t>
        </is>
      </c>
      <c r="C1761" s="86" t="n">
        <v>2021</v>
      </c>
      <c r="D1761" s="5" t="inlineStr">
        <is>
          <t>Outcome not related to interest</t>
        </is>
      </c>
      <c r="E1761" s="86" t="n"/>
      <c r="F1761" s="86" t="n"/>
    </row>
    <row r="1762" ht="16" customHeight="1" s="55">
      <c r="A1762" s="86" t="inlineStr">
        <is>
          <t>Comparison of Transfer Learning Strategies for Diabetic Retinopathy Detection</t>
        </is>
      </c>
      <c r="B1762" s="86" t="inlineStr">
        <is>
          <t>B. K. Karaca; B. Oltu; A. Özgür; H. Erdem</t>
        </is>
      </c>
      <c r="C1762" s="86" t="n">
        <v>2021</v>
      </c>
      <c r="D1762" s="5" t="inlineStr">
        <is>
          <t>Outcome not related to interest</t>
        </is>
      </c>
      <c r="E1762" s="86" t="n"/>
      <c r="F1762" s="86" t="n"/>
    </row>
    <row r="1763" ht="16" customHeight="1" s="55">
      <c r="A1763" s="86" t="inlineStr">
        <is>
          <t>Synergic Adversarial Label Learning for Grading Retinal Diseases via Knowledge Distillation and Multi-Task Learning R</t>
        </is>
      </c>
      <c r="B1763" s="86" t="inlineStr">
        <is>
          <t>L. Ju; X. Wang; X. Zhao; H. Lu; D. Mahapatra; P. Bonnington; Z. Ge</t>
        </is>
      </c>
      <c r="C1763" s="86" t="n">
        <v>2021</v>
      </c>
      <c r="D1763" s="44" t="inlineStr">
        <is>
          <t>Repeated article</t>
        </is>
      </c>
      <c r="E1763" s="86" t="n"/>
      <c r="F1763" s="86" t="n"/>
    </row>
    <row r="1764" ht="16" customHeight="1" s="55">
      <c r="A1764" s="86" t="inlineStr">
        <is>
          <t>Leveraging Regular Fundus Images for Training UWF Fundus Diagnosis Models via Adversarial Learning and Pseudo-Labeling R</t>
        </is>
      </c>
      <c r="B1764" s="86" t="inlineStr">
        <is>
          <t>L. Ju; X. Wang; X. Zhao; P. Bonnington; T. Drummond; Z. Ge</t>
        </is>
      </c>
      <c r="C1764" s="86" t="n">
        <v>2021</v>
      </c>
      <c r="D1764" s="86" t="inlineStr">
        <is>
          <t>Repeated article</t>
        </is>
      </c>
      <c r="E1764" s="86" t="n"/>
      <c r="F1764" s="86" t="n"/>
    </row>
    <row r="1765" ht="16" customHeight="1" s="55">
      <c r="A1765" s="86" t="inlineStr">
        <is>
          <t>An Efficient Transfer Learning Based Approach for Detecting the Abnormal Fundus Images</t>
        </is>
      </c>
      <c r="B1765" s="86" t="inlineStr">
        <is>
          <t>P. Joshi; V. M</t>
        </is>
      </c>
      <c r="C1765" s="86" t="n">
        <v>2021</v>
      </c>
      <c r="D1765" s="5" t="inlineStr">
        <is>
          <t>Outcome not related to interest</t>
        </is>
      </c>
      <c r="E1765" s="86" t="n"/>
      <c r="F1765" s="86" t="n"/>
    </row>
    <row r="1766" ht="16" customHeight="1" s="55">
      <c r="A1766" s="86" t="inlineStr">
        <is>
          <t>Certain Investigation on Various Machine Learning Techniques and Feature Selection Methods using Diabetic Retinopathy Features</t>
        </is>
      </c>
      <c r="B1766" s="86" t="inlineStr">
        <is>
          <t>W. Jaisingh; R. K. Kavitha; S. Kowsalya</t>
        </is>
      </c>
      <c r="C1766" s="86" t="n">
        <v>2021</v>
      </c>
      <c r="D1766" s="5" t="inlineStr">
        <is>
          <t>Outcome not related to interest</t>
        </is>
      </c>
      <c r="E1766" s="86" t="n"/>
      <c r="F1766" s="86" t="n"/>
    </row>
    <row r="1767" ht="16" customHeight="1" s="55">
      <c r="A1767" s="86" t="inlineStr">
        <is>
          <t>Diagnostic System for Detection of Diabetic Retinopathy Severity Diseases</t>
        </is>
      </c>
      <c r="B1767" s="86" t="inlineStr">
        <is>
          <t>S. Jain; V. Tiku</t>
        </is>
      </c>
      <c r="C1767" s="86" t="n">
        <v>2021</v>
      </c>
      <c r="D1767" s="5" t="inlineStr">
        <is>
          <t>Outcome not related to interest</t>
        </is>
      </c>
      <c r="E1767" s="86" t="n"/>
      <c r="F1767" s="86" t="n"/>
    </row>
    <row r="1768" ht="16" customHeight="1" s="55">
      <c r="A1768" s="86" t="inlineStr">
        <is>
          <t>DiaNet: A Deep Learning Based Architecture to Diagnose Diabetes Using Retinal Images Only</t>
        </is>
      </c>
      <c r="B1768" s="86" t="inlineStr">
        <is>
          <t>M. T. Islam; H. R. H. Al-Absi; E. A. Ruagh; T. Alam</t>
        </is>
      </c>
      <c r="C1768" s="86" t="n">
        <v>2021</v>
      </c>
      <c r="D1768" s="5" t="inlineStr">
        <is>
          <t>Outcome not related to interest</t>
        </is>
      </c>
      <c r="E1768" s="86" t="n"/>
      <c r="F1768" s="86" t="n"/>
    </row>
    <row r="1769" ht="16" customHeight="1" s="55">
      <c r="A1769" s="86" t="inlineStr">
        <is>
          <t>Deep Learning Solution for Diabetic Retinopathy Diagnosis based on Convolutional Neural Networks and Image Processing Algorithms</t>
        </is>
      </c>
      <c r="B1769" s="86" t="inlineStr">
        <is>
          <t>T. C. Ion; N. Elena; D. Laz; x</t>
        </is>
      </c>
      <c r="C1769" s="86" t="n">
        <v>2021</v>
      </c>
      <c r="D1769" s="5" t="inlineStr">
        <is>
          <t>Outcome not related to interest</t>
        </is>
      </c>
      <c r="E1769" s="86" t="n"/>
      <c r="F1769" s="86" t="n"/>
    </row>
    <row r="1770" ht="16" customHeight="1" s="55">
      <c r="A1770" s="86" t="inlineStr">
        <is>
          <t>Visual interpretability analysis of Deep CNNs using an Adaptive Threshold method on Diabetic Retinopathy images</t>
        </is>
      </c>
      <c r="B1770" s="86" t="inlineStr">
        <is>
          <t>G. Ioannou; T. Papagiannis; T. Tagaris; G. Alexandridis; A. Stafylopatis</t>
        </is>
      </c>
      <c r="C1770" s="86" t="n">
        <v>2021</v>
      </c>
      <c r="D1770" s="5" t="inlineStr">
        <is>
          <t>Outcome not related to interest</t>
        </is>
      </c>
      <c r="E1770" s="86" t="n"/>
      <c r="F1770" s="86" t="n"/>
    </row>
    <row r="1771" ht="16" customHeight="1" s="55">
      <c r="A1771" s="86" t="inlineStr">
        <is>
          <t>DeepOpht: Medical Report Generation for Retinal Images via Deep Models and Visual Explanation</t>
        </is>
      </c>
      <c r="B1771" s="86" t="inlineStr">
        <is>
          <t>J. H. Huang; C. H. H. Yang; F. Liu; M. Tian; Y. C. Liu; T. W. Wu; I. H. Lin; K. Wang; H. Morikawa; H. Chang; J. Tegner; M. Worring</t>
        </is>
      </c>
      <c r="C1771" s="86" t="n">
        <v>2021</v>
      </c>
      <c r="D1771" s="5" t="inlineStr">
        <is>
          <t>Outcome not related to interest</t>
        </is>
      </c>
      <c r="E1771" s="86" t="n"/>
      <c r="F1771" s="86" t="n"/>
    </row>
    <row r="1772" ht="16" customHeight="1" s="55">
      <c r="A1772" s="86" t="inlineStr">
        <is>
          <t>Convolutional Network With Twofold Feature Augmentation for Diabetic Retinopathy Recognition From Multi-Modal Images</t>
        </is>
      </c>
      <c r="B1772" s="86" t="inlineStr">
        <is>
          <t>C. H. Hua; K. Kim; T. Huynh-The; J. I. You; S. Y. Yu; T. Le-Tien; S. H. Bae; S. Lee</t>
        </is>
      </c>
      <c r="C1772" s="86" t="n">
        <v>2021</v>
      </c>
      <c r="D1772" s="5" t="inlineStr">
        <is>
          <t>Outcome not related to interest</t>
        </is>
      </c>
      <c r="E1772" s="86" t="n"/>
      <c r="F1772" s="86" t="n"/>
    </row>
    <row r="1773" ht="16" customHeight="1" s="55">
      <c r="A1773" s="86" t="inlineStr">
        <is>
          <t>Multi-Modal Retinal Image Classification With Modality-Specific Attention Network</t>
        </is>
      </c>
      <c r="B1773" s="86" t="inlineStr">
        <is>
          <t>X. He; Y. Deng; L. Fang; Q. Peng</t>
        </is>
      </c>
      <c r="C1773" s="86" t="n">
        <v>2021</v>
      </c>
      <c r="D1773" s="5" t="inlineStr">
        <is>
          <t>Outcome not related to interest</t>
        </is>
      </c>
      <c r="E1773" s="86" t="n"/>
      <c r="F1773" s="86" t="n"/>
    </row>
    <row r="1774" ht="16" customHeight="1" s="55">
      <c r="A1774" s="86" t="inlineStr">
        <is>
          <t>CABNet: Category Attention Block for Imbalanced Diabetic Retinopathy Grading</t>
        </is>
      </c>
      <c r="B1774" s="86" t="inlineStr">
        <is>
          <t>A. He; T. Li; N. Li; K. Wang; H. Fu</t>
        </is>
      </c>
      <c r="C1774" s="86" t="n">
        <v>2021</v>
      </c>
      <c r="D1774" s="5" t="inlineStr">
        <is>
          <t>Outcome not related to interest</t>
        </is>
      </c>
      <c r="E1774" s="86" t="n"/>
      <c r="F1774" s="86" t="n"/>
    </row>
    <row r="1775" ht="16" customHeight="1" s="55">
      <c r="A1775" s="86" t="inlineStr">
        <is>
          <t>Incremental Cross-Domain Adaptation for Robust Retinopathy Screening via Bayesian Deep Learning</t>
        </is>
      </c>
      <c r="B1775" s="86" t="inlineStr">
        <is>
          <t>T. Hassan; B. Hassan; M. U. Akram; S. Hashmi; A. H. Taguri; N. Werghi</t>
        </is>
      </c>
      <c r="C1775" s="86" t="n">
        <v>2021</v>
      </c>
      <c r="D1775" s="5" t="inlineStr">
        <is>
          <t>Outcome not related to interest</t>
        </is>
      </c>
      <c r="E1775" s="86" t="n"/>
      <c r="F1775" s="86" t="n"/>
    </row>
    <row r="1776" ht="16" customHeight="1" s="55">
      <c r="A1776" s="86" t="inlineStr">
        <is>
          <t>RAG-FW: A Hybrid Convolutional Framework for the Automated Extraction of Retinal Lesions and Lesion-Influenced Grading of Human Retinal Pathology</t>
        </is>
      </c>
      <c r="B1776" s="86" t="inlineStr">
        <is>
          <t>T. Hassan; M. U. Akram; N. Werghi; M. N. Nazir</t>
        </is>
      </c>
      <c r="C1776" s="86" t="n">
        <v>2021</v>
      </c>
      <c r="D1776" s="5" t="inlineStr">
        <is>
          <t>Outcome not related to interest</t>
        </is>
      </c>
      <c r="E1776" s="86" t="n"/>
      <c r="F1776" s="86" t="n"/>
    </row>
    <row r="1777" ht="16" customHeight="1" s="55">
      <c r="A1777" s="86" t="inlineStr">
        <is>
          <t>Predicting the Stages of Diabetic Retinopathy using Deep Learning</t>
        </is>
      </c>
      <c r="B1777" s="86" t="inlineStr">
        <is>
          <t>C. Harshitha; A. Asha; J. L. S. Pushkala; R. N. S. Anogini; C. K</t>
        </is>
      </c>
      <c r="C1777" s="86" t="n">
        <v>2021</v>
      </c>
      <c r="D1777" s="5" t="inlineStr">
        <is>
          <t>Outcome not related to interest</t>
        </is>
      </c>
      <c r="E1777" s="86" t="n"/>
      <c r="F1777" s="86" t="n"/>
    </row>
    <row r="1778" ht="16" customHeight="1" s="55">
      <c r="A1778" s="86" t="inlineStr">
        <is>
          <t>Diabetic Retinopathy Detection with Feature Enhancement and Deep Learning</t>
        </is>
      </c>
      <c r="B1778" s="86" t="inlineStr">
        <is>
          <t>K. N. Hari; B. Karthikeyan; M. R. Reddy; R. Seethalakshmi</t>
        </is>
      </c>
      <c r="C1778" s="86" t="n">
        <v>2021</v>
      </c>
      <c r="D1778" s="5" t="inlineStr">
        <is>
          <t>Outcome not related to interest</t>
        </is>
      </c>
      <c r="E1778" s="86" t="n"/>
      <c r="F1778" s="86" t="n"/>
    </row>
    <row r="1779" ht="16" customHeight="1" s="55">
      <c r="A1779" s="86" t="inlineStr">
        <is>
          <t>Comparative Study and Detection of Diabetic Retinopathy in Retinal Images Using Computational Approach</t>
        </is>
      </c>
      <c r="B1779" s="86" t="inlineStr">
        <is>
          <t>R. Godfrin; S. Suganthidevi</t>
        </is>
      </c>
      <c r="C1779" s="86" t="n">
        <v>2021</v>
      </c>
      <c r="D1779" s="5" t="inlineStr">
        <is>
          <t>Outcome not related to interest</t>
        </is>
      </c>
      <c r="E1779" s="86" t="n"/>
      <c r="F1779" s="86" t="n"/>
    </row>
    <row r="1780" ht="16" customHeight="1" s="55">
      <c r="A1780" s="86" t="inlineStr">
        <is>
          <t>Classification of Diabetic Retinopathy Using Few-Shot Transfer Learning from Imbalanced Data</t>
        </is>
      </c>
      <c r="B1780" s="86" t="inlineStr">
        <is>
          <t>A. Ghosh; A. B. M. A. Hossain; S. M. T. U. Raju</t>
        </is>
      </c>
      <c r="C1780" s="86" t="n">
        <v>2021</v>
      </c>
      <c r="D1780" s="5" t="inlineStr">
        <is>
          <t>Outcome not related to interest</t>
        </is>
      </c>
      <c r="E1780" s="86" t="n"/>
      <c r="F1780" s="86" t="n"/>
    </row>
    <row r="1781" ht="16" customHeight="1" s="55">
      <c r="A1781" s="86" t="inlineStr">
        <is>
          <t>Development of Automated System for Detection of Diabetic Retinopathy</t>
        </is>
      </c>
      <c r="B1781" s="86" t="inlineStr">
        <is>
          <t>R. Gatti; N. Nataraja; T. Sarala; S. S. Kumar; R. P. Prasad; S. K. N. Kumar</t>
        </is>
      </c>
      <c r="C1781" s="86" t="n">
        <v>2021</v>
      </c>
      <c r="D1781" s="5" t="inlineStr">
        <is>
          <t>Outcome not related to interest</t>
        </is>
      </c>
      <c r="E1781" s="86" t="n"/>
      <c r="F1781" s="86" t="n"/>
    </row>
    <row r="1782" ht="16" customHeight="1" s="55">
      <c r="A1782" s="86" t="inlineStr">
        <is>
          <t>Severity Classification of Diabetic Retinopathy using ShuffleNet</t>
        </is>
      </c>
      <c r="B1782" s="86" t="inlineStr">
        <is>
          <t>R. Gambhir; S. Bhardwaj; A. Kumar; R. Agarwal</t>
        </is>
      </c>
      <c r="C1782" s="86" t="n">
        <v>2021</v>
      </c>
      <c r="D1782" s="5" t="inlineStr">
        <is>
          <t>Outcome not related to interest</t>
        </is>
      </c>
      <c r="E1782" s="86" t="n"/>
      <c r="F1782" s="86" t="n"/>
    </row>
    <row r="1783" ht="16" customHeight="1" s="55">
      <c r="A1783" s="86" t="inlineStr">
        <is>
          <t>Convolutional Neural Network for Diabetic Retinopathy Detection</t>
        </is>
      </c>
      <c r="B1783" s="86" t="inlineStr">
        <is>
          <t>S. N. Firke; R. B. Jain</t>
        </is>
      </c>
      <c r="C1783" s="86" t="n">
        <v>2021</v>
      </c>
      <c r="D1783" s="5" t="inlineStr">
        <is>
          <t>Outcome not related to interest</t>
        </is>
      </c>
      <c r="E1783" s="86" t="n"/>
      <c r="F1783" s="86" t="n"/>
    </row>
    <row r="1784" ht="16" customHeight="1" s="55">
      <c r="A1784" s="86" t="inlineStr">
        <is>
          <t>Diabetic Retinopathy: New Perspectives with Artificial Intelligence</t>
        </is>
      </c>
      <c r="B1784" s="86" t="inlineStr">
        <is>
          <t>Z. Farahat; N. Souissi; M. Belmekki; K. Megdiche; S. Benamar; Y. Bennani; S. Bencherif; N. Ngote</t>
        </is>
      </c>
      <c r="C1784" s="86" t="n">
        <v>2021</v>
      </c>
      <c r="D1784" s="5" t="inlineStr">
        <is>
          <t>Outcome not related to interest</t>
        </is>
      </c>
      <c r="E1784" s="86" t="n"/>
      <c r="F1784" s="86" t="n"/>
    </row>
    <row r="1785" ht="16" customHeight="1" s="55">
      <c r="A1785" s="86" t="inlineStr">
        <is>
          <t>Performance Analysis of Diabetic Retinopathy Prediction using Machine Learning Models</t>
        </is>
      </c>
      <c r="B1785" s="86" t="inlineStr">
        <is>
          <t>M. U. Emon; R. Zannat; T. Khatun; M. Rahman; M. S. Keya; Ohidujjaman</t>
        </is>
      </c>
      <c r="C1785" s="86" t="n">
        <v>2021</v>
      </c>
      <c r="D1785" s="5" t="inlineStr">
        <is>
          <t>Outcome not related to interest</t>
        </is>
      </c>
      <c r="E1785" s="86" t="n"/>
      <c r="F1785" s="86" t="n"/>
    </row>
    <row r="1786" ht="16" customHeight="1" s="55">
      <c r="A1786" s="86" t="inlineStr">
        <is>
          <t>Juxtaposing Deep Learning Models Efficacy for Ocular Disorder Detection of Diabetic Retinopathy for Ophthalmoscopy</t>
        </is>
      </c>
      <c r="B1786" s="86" t="inlineStr">
        <is>
          <t>S. A. Dwivedi; A. Attry</t>
        </is>
      </c>
      <c r="C1786" s="86" t="n">
        <v>2021</v>
      </c>
      <c r="D1786" s="5" t="inlineStr">
        <is>
          <t>Outcome not related to interest</t>
        </is>
      </c>
      <c r="E1786" s="86" t="n"/>
      <c r="F1786" s="86" t="n"/>
    </row>
    <row r="1787" ht="16" customHeight="1" s="55">
      <c r="A1787" s="86" t="inlineStr">
        <is>
          <t>Comparative Study of Methods Used for Diagnosis of Diabetic Retinopathy Using Image Processing</t>
        </is>
      </c>
      <c r="B1787" s="86" t="inlineStr">
        <is>
          <t>P. Dixit; R. Pradhan</t>
        </is>
      </c>
      <c r="C1787" s="86" t="n">
        <v>2021</v>
      </c>
      <c r="D1787" s="5" t="inlineStr">
        <is>
          <t>Outcome not related to interest</t>
        </is>
      </c>
      <c r="E1787" s="86" t="n"/>
      <c r="F1787" s="86" t="n"/>
    </row>
    <row r="1788" ht="16" customHeight="1" s="55">
      <c r="A1788" s="86" t="inlineStr">
        <is>
          <t>An Improved SFLA-Kmeans Algorithm Based on Approximate Backbone and Its Application in Retinal Fundus Image</t>
        </is>
      </c>
      <c r="B1788" s="86" t="inlineStr">
        <is>
          <t>W. Ding; Y. Zhang; Y. Sun; T. Qin</t>
        </is>
      </c>
      <c r="C1788" s="86" t="n">
        <v>2021</v>
      </c>
      <c r="D1788" s="5" t="inlineStr">
        <is>
          <t>Outcome not related to interest</t>
        </is>
      </c>
      <c r="E1788" s="86" t="n"/>
      <c r="F1788" s="86" t="n"/>
    </row>
    <row r="1789" ht="16" customHeight="1" s="55">
      <c r="A1789" s="86" t="inlineStr">
        <is>
          <t>Detection of Diabetic Retinopathy using Optimized Back-Propagation Neural Network (Op-BPN) Algorithm</t>
        </is>
      </c>
      <c r="B1789" s="86" t="inlineStr">
        <is>
          <t>R. M. Devi; P. Keerthika; K. V. Devi; P. Suresh; M. Sangeetha; C. Sagana; K. Devendran</t>
        </is>
      </c>
      <c r="C1789" s="86" t="n">
        <v>2021</v>
      </c>
      <c r="D1789" s="5" t="inlineStr">
        <is>
          <t>Outcome not related to interest</t>
        </is>
      </c>
      <c r="E1789" s="86" t="n"/>
      <c r="F1789" s="86" t="n"/>
    </row>
    <row r="1790" ht="16" customHeight="1" s="55">
      <c r="A1790" s="86" t="inlineStr">
        <is>
          <t>Automated Detection of Diabetic Retinopathy Images using Pre-trained Convolutional Neural Network</t>
        </is>
      </c>
      <c r="B1790" s="86" t="inlineStr">
        <is>
          <t>V. Deepa; C. S. Kumar; T. Cherian</t>
        </is>
      </c>
      <c r="C1790" s="86" t="n">
        <v>2021</v>
      </c>
      <c r="D1790" s="5" t="inlineStr">
        <is>
          <t>Outcome not related to interest</t>
        </is>
      </c>
      <c r="E1790" s="86" t="n"/>
      <c r="F1790" s="86" t="n"/>
    </row>
    <row r="1791" ht="16" customHeight="1" s="55">
      <c r="A1791" s="86" t="inlineStr">
        <is>
          <t>Deep Diabetic Retinopathy Detection System (DDRDS) using Convolutional Neural Network: A Comparative Study</t>
        </is>
      </c>
      <c r="B1791" s="86" t="inlineStr">
        <is>
          <t>S. Das; D. Das; S. K. Biswas; B. Purkayastha</t>
        </is>
      </c>
      <c r="C1791" s="86" t="n">
        <v>2021</v>
      </c>
      <c r="D1791" s="5" t="inlineStr">
        <is>
          <t>Outcome not related to interest</t>
        </is>
      </c>
      <c r="E1791" s="86" t="n"/>
      <c r="F1791" s="86" t="n"/>
    </row>
    <row r="1792" ht="16" customHeight="1" s="55">
      <c r="A1792" s="86" t="inlineStr">
        <is>
          <t>Deep Diabetic Retinopathy Feature eXtraction and Random Forest based ensemble Classification System (DDRFXRFCS)</t>
        </is>
      </c>
      <c r="B1792" s="86" t="inlineStr">
        <is>
          <t>D. Das; S. Das; S. K. Biswas; B. Purkayastha</t>
        </is>
      </c>
      <c r="C1792" s="86" t="n">
        <v>2021</v>
      </c>
      <c r="D1792" s="5" t="inlineStr">
        <is>
          <t>Outcome not related to interest</t>
        </is>
      </c>
      <c r="E1792" s="86" t="n"/>
      <c r="F1792" s="86" t="n"/>
    </row>
    <row r="1793" ht="16" customHeight="1" s="55">
      <c r="A1793" s="86" t="inlineStr">
        <is>
          <t>Transfer Learning Approach for Diabetic Retinopathy Detection using Efficient Network with 2 Phase Training</t>
        </is>
      </c>
      <c r="B1793" s="86" t="inlineStr">
        <is>
          <t>P. Chowdhury; M. R. Islam; M. A. Based; P. Chowdhury</t>
        </is>
      </c>
      <c r="C1793" s="86" t="n">
        <v>2021</v>
      </c>
      <c r="D1793" s="5" t="inlineStr">
        <is>
          <t>Outcome not related to interest</t>
        </is>
      </c>
      <c r="E1793" s="86" t="n"/>
      <c r="F1793" s="86" t="n"/>
    </row>
    <row r="1794" ht="16" customHeight="1" s="55">
      <c r="A1794" s="86" t="inlineStr">
        <is>
          <t>ADRS-Net: Automated Diabetic Retinopathy Screening Net</t>
        </is>
      </c>
      <c r="B1794" s="86" t="inlineStr">
        <is>
          <t>Y. Chen; Y. Lo; L. Qu; K. Zhang; G. Zhang; C. Yang; L. Jia; Y. Dong</t>
        </is>
      </c>
      <c r="C1794" s="86" t="n">
        <v>2021</v>
      </c>
      <c r="D1794" s="5" t="inlineStr">
        <is>
          <t>Outcome not related to interest</t>
        </is>
      </c>
      <c r="E1794" s="86" t="n"/>
      <c r="F1794" s="86" t="n"/>
    </row>
    <row r="1795" ht="16" customHeight="1" s="55">
      <c r="A1795" s="86" t="inlineStr">
        <is>
          <t>Multi-Task Knowledge Distillation for Eye Disease Prediction</t>
        </is>
      </c>
      <c r="B1795" s="86" t="inlineStr">
        <is>
          <t>S. Chelaramani; M. Gupta; V. Agarwal; P. Gupta; R. Habash</t>
        </is>
      </c>
      <c r="C1795" s="86" t="n">
        <v>2021</v>
      </c>
      <c r="D1795" s="5" t="inlineStr">
        <is>
          <t>Outcome not related to interest</t>
        </is>
      </c>
      <c r="E1795" s="86" t="n"/>
      <c r="F1795" s="86" t="n"/>
    </row>
    <row r="1796" ht="16" customHeight="1" s="55">
      <c r="A1796" s="86" t="inlineStr">
        <is>
          <t>Comparison of Deep Learning Models on Detection and Classification of Diabetic Retinopathy</t>
        </is>
      </c>
      <c r="B1796" s="86" t="inlineStr">
        <is>
          <t>J. Cao; J. Chen</t>
        </is>
      </c>
      <c r="C1796" s="86" t="n">
        <v>2021</v>
      </c>
      <c r="D1796" s="5" t="inlineStr">
        <is>
          <t>Outcome not related to interest</t>
        </is>
      </c>
      <c r="E1796" s="86" t="n"/>
      <c r="F1796" s="86" t="n"/>
    </row>
    <row r="1797" ht="16" customHeight="1" s="55">
      <c r="A1797" s="86" t="inlineStr">
        <is>
          <t>Classification of Diabetic Retinopathy based on Hybrid Neural Network</t>
        </is>
      </c>
      <c r="B1797" s="86" t="inlineStr">
        <is>
          <t>Y. S. Boral; S. S. Thorat</t>
        </is>
      </c>
      <c r="C1797" s="86" t="n">
        <v>2021</v>
      </c>
      <c r="D1797" s="5" t="inlineStr">
        <is>
          <t>Outcome not related to interest</t>
        </is>
      </c>
      <c r="E1797" s="86" t="n"/>
      <c r="F1797" s="86" t="n"/>
    </row>
    <row r="1798" ht="16" customHeight="1" s="55">
      <c r="A1798" s="86" t="inlineStr">
        <is>
          <t>A Study of Bilateral Symmetry in Color Fundus Photographs</t>
        </is>
      </c>
      <c r="B1798" s="86" t="inlineStr">
        <is>
          <t>S. Biswas; J. Rohdin; A. Biswas; M. Drahansky</t>
        </is>
      </c>
      <c r="C1798" s="86" t="n">
        <v>2021</v>
      </c>
      <c r="D1798" s="5" t="inlineStr">
        <is>
          <t>Outcome not related to interest</t>
        </is>
      </c>
      <c r="E1798" s="86" t="n"/>
      <c r="F1798" s="86" t="n"/>
    </row>
    <row r="1799" ht="16" customHeight="1" s="55">
      <c r="A1799" s="86" t="inlineStr">
        <is>
          <t>Deploying Machine Learning Inference on Diabetic Retinopathy in Binary and Multi-class Classification</t>
        </is>
      </c>
      <c r="B1799" s="86" t="inlineStr">
        <is>
          <t>I. Bidari; S. Chickerur; A. Kulkarni; A. Mahajan; A. Nikkam; T. H. M. A</t>
        </is>
      </c>
      <c r="C1799" s="86" t="n">
        <v>2021</v>
      </c>
      <c r="D1799" s="5" t="inlineStr">
        <is>
          <t>Outcome not related to interest</t>
        </is>
      </c>
      <c r="E1799" s="86" t="n"/>
      <c r="F1799" s="86" t="n"/>
    </row>
    <row r="1800" ht="16" customHeight="1" s="55">
      <c r="A1800" s="86" t="inlineStr">
        <is>
          <t>Automatic Detection of Exudates for Daignosis of Non-proliferative Diabetic Retinopathy using Region-based Convolutional Neural Networks</t>
        </is>
      </c>
      <c r="B1800" s="86" t="inlineStr">
        <is>
          <t>N. Bibi; N. Nida; A. Irtaza; S. M. Anwar</t>
        </is>
      </c>
      <c r="C1800" s="86" t="n">
        <v>2021</v>
      </c>
      <c r="D1800" s="5" t="inlineStr">
        <is>
          <t>Outcome not related to interest</t>
        </is>
      </c>
      <c r="E1800" s="86" t="n"/>
      <c r="F1800" s="86" t="n"/>
    </row>
    <row r="1801" ht="16" customHeight="1" s="55">
      <c r="A1801" s="86" t="inlineStr">
        <is>
          <t>A Clinical Decision Support System to Stratify the Temporal Risk of Diabetic Retinopathy</t>
        </is>
      </c>
      <c r="B1801" s="86" t="inlineStr">
        <is>
          <t>M. Bernardini; L. Romeo; A. Mancini; E. Frontoni</t>
        </is>
      </c>
      <c r="C1801" s="86" t="n">
        <v>2021</v>
      </c>
      <c r="D1801" s="5" t="inlineStr">
        <is>
          <t>Outcome not related to interest</t>
        </is>
      </c>
      <c r="E1801" s="86" t="n"/>
      <c r="F1801" s="86" t="n"/>
    </row>
    <row r="1802" ht="16" customHeight="1" s="55">
      <c r="A1802" s="86" t="inlineStr">
        <is>
          <t>Classification of Eye Diseases in Fundus Images</t>
        </is>
      </c>
      <c r="B1802" s="86" t="inlineStr">
        <is>
          <t>O. Bernabé; E. Acevedo; A. Acevedo; R. Carreño; S. Gómez</t>
        </is>
      </c>
      <c r="C1802" s="86" t="n">
        <v>2021</v>
      </c>
      <c r="D1802" s="5" t="inlineStr">
        <is>
          <t>Outcome not related to interest</t>
        </is>
      </c>
      <c r="E1802" s="86" t="n"/>
      <c r="F1802" s="86" t="n"/>
    </row>
    <row r="1803" ht="16" customHeight="1" s="55">
      <c r="A1803" s="86" t="inlineStr">
        <is>
          <t>Deep Learning-based Techniques for the Automatic Classification of Fundus Images: A Comparative Study</t>
        </is>
      </c>
      <c r="B1803" s="86" t="inlineStr">
        <is>
          <t>A. Bali; V. Mansotra</t>
        </is>
      </c>
      <c r="C1803" s="86" t="n">
        <v>2021</v>
      </c>
      <c r="D1803" s="5" t="inlineStr">
        <is>
          <t>Outcome not related to interest</t>
        </is>
      </c>
      <c r="E1803" s="86" t="n"/>
      <c r="F1803" s="86" t="n"/>
    </row>
    <row r="1804" ht="16" customHeight="1" s="55">
      <c r="A1804" s="86" t="inlineStr">
        <is>
          <t>Contrast Enhancement of Fundus Images by Employing Modified PSO for Improving the Performance of Deep Learning Models</t>
        </is>
      </c>
      <c r="B1804" s="86" t="inlineStr">
        <is>
          <t>K. Aurangzeb; S. Aslam; M. Alhussein; R. A. Naqvi; M. Arsalan; S. I. Haider</t>
        </is>
      </c>
      <c r="C1804" s="86" t="n">
        <v>2021</v>
      </c>
      <c r="D1804" s="5" t="inlineStr">
        <is>
          <t>Outcome not related to interest</t>
        </is>
      </c>
      <c r="E1804" s="86" t="n"/>
      <c r="F1804" s="86" t="n"/>
    </row>
    <row r="1805" ht="16" customHeight="1" s="55">
      <c r="A1805" s="86" t="inlineStr">
        <is>
          <t>DR-Net with Convolution Neural Network</t>
        </is>
      </c>
      <c r="B1805" s="86" t="inlineStr">
        <is>
          <t>A. B. Aujih; M. I. Shapiai; F. Meriaudeau; T. B. Tang</t>
        </is>
      </c>
      <c r="C1805" s="86" t="n">
        <v>2021</v>
      </c>
      <c r="D1805" s="5" t="inlineStr">
        <is>
          <t>Outcome not related to interest</t>
        </is>
      </c>
      <c r="E1805" s="86" t="n"/>
      <c r="F1805" s="86" t="n"/>
    </row>
    <row r="1806" ht="16" customHeight="1" s="55">
      <c r="A1806" s="86" t="inlineStr">
        <is>
          <t>The Cluster Analysis and Feature Selection: Perspective of Machine Learning and Image Processing</t>
        </is>
      </c>
      <c r="B1806" s="86" t="inlineStr">
        <is>
          <t>B. Aradhana</t>
        </is>
      </c>
      <c r="C1806" s="86" t="n">
        <v>2021</v>
      </c>
      <c r="D1806" s="5" t="inlineStr">
        <is>
          <t>Outcome not related to interest</t>
        </is>
      </c>
      <c r="E1806" s="86" t="n"/>
      <c r="F1806" s="86" t="n"/>
    </row>
    <row r="1807" ht="16" customHeight="1" s="55">
      <c r="A1807" s="86" t="inlineStr">
        <is>
          <t>Retinal Width Estimation of High-Resolution Fundus Images For Diabetic Retinopathy Detection</t>
        </is>
      </c>
      <c r="B1807" s="86" t="inlineStr">
        <is>
          <t>A. Ali; W. M. D. W. Zaki; A. Hussain; W. H. W. A. Halim</t>
        </is>
      </c>
      <c r="C1807" s="86" t="n">
        <v>2021</v>
      </c>
      <c r="D1807" s="5" t="inlineStr">
        <is>
          <t>Outcome not related to interest</t>
        </is>
      </c>
      <c r="E1807" s="86" t="n"/>
      <c r="F1807" s="86" t="n"/>
    </row>
    <row r="1808" ht="16" customHeight="1" s="55">
      <c r="A1808" s="86" t="inlineStr">
        <is>
          <t>Multi-Scale Attention Network for Diabetic Retinopathy Classification</t>
        </is>
      </c>
      <c r="B1808" s="86" t="inlineStr">
        <is>
          <t>M. T. Al-Antary; Y. Arafa</t>
        </is>
      </c>
      <c r="C1808" s="86" t="n">
        <v>2021</v>
      </c>
      <c r="D1808" s="5" t="inlineStr">
        <is>
          <t>Outcome not related to interest</t>
        </is>
      </c>
      <c r="E1808" s="86" t="n"/>
      <c r="F1808" s="86" t="n"/>
    </row>
    <row r="1809" ht="16" customHeight="1" s="55">
      <c r="A1809" s="86" t="inlineStr">
        <is>
          <t>Integration of Artificial Intelligence for a low-cost diagnosis of Diabetic Retinopathy</t>
        </is>
      </c>
      <c r="B1809" s="86" t="inlineStr">
        <is>
          <t>M. S. Ahmed; T. Mithun; R. Nagaraju; Y. S. Reddy; W. M. Baban; S. Jaiswal</t>
        </is>
      </c>
      <c r="C1809" s="86" t="n">
        <v>2021</v>
      </c>
      <c r="D1809" s="5" t="inlineStr">
        <is>
          <t>Outcome not related to interest</t>
        </is>
      </c>
      <c r="E1809" s="86" t="n"/>
      <c r="F1809" s="86" t="n"/>
    </row>
    <row r="1810" ht="16" customHeight="1" s="55">
      <c r="A1810" s="86" t="inlineStr">
        <is>
          <t>Diagnosis of Diabetic Retinopathy Using Deep Learning Techniques</t>
        </is>
      </c>
      <c r="B1810" s="86" t="inlineStr">
        <is>
          <t>S. W. Aditi; F. Kabir; P. C. Shill</t>
        </is>
      </c>
      <c r="C1810" s="86" t="n">
        <v>2021</v>
      </c>
      <c r="D1810" s="5" t="inlineStr">
        <is>
          <t>Outcome not related to interest</t>
        </is>
      </c>
      <c r="E1810" s="86" t="n"/>
      <c r="F1810" s="86" t="n"/>
    </row>
    <row r="1811" ht="16" customHeight="1" s="55">
      <c r="A1811" s="86" t="inlineStr">
        <is>
          <t>Automatic Diabetic Retinopathy Grading System Based on Detecting Multiple Retinal Lesions</t>
        </is>
      </c>
      <c r="B1811" s="86" t="inlineStr">
        <is>
          <t>E. Abdelmaksoud; S. El-Sappagh; S. Barakat; T. Abuhmed; M. Elmogy</t>
        </is>
      </c>
      <c r="C1811" s="86" t="n">
        <v>2021</v>
      </c>
      <c r="D1811" s="5" t="inlineStr">
        <is>
          <t>Outcome not related to interest</t>
        </is>
      </c>
      <c r="E1811" s="86" t="n"/>
      <c r="F1811" s="86" t="n"/>
    </row>
    <row r="1812" ht="16" customHeight="1" s="55">
      <c r="A1812" s="86" t="inlineStr">
        <is>
          <t>Sea-Net: Squeeze-And-Excitation Attention Net For Diabetic Retinopathy Grading</t>
        </is>
      </c>
      <c r="B1812" s="86" t="inlineStr">
        <is>
          <t>Z. Zhao; K. Chopra; Z. Zeng; X. Li</t>
        </is>
      </c>
      <c r="C1812" s="86" t="n">
        <v>2020</v>
      </c>
      <c r="D1812" s="5" t="inlineStr">
        <is>
          <t>Outcome not related to interest</t>
        </is>
      </c>
      <c r="E1812" s="86" t="n"/>
      <c r="F1812" s="86" t="n"/>
    </row>
    <row r="1813" ht="16" customHeight="1" s="55">
      <c r="A1813" s="86" t="inlineStr">
        <is>
          <t>Deep-learning based automated segmentation of Diabetic Retinopathy symptoms</t>
        </is>
      </c>
      <c r="B1813" s="86" t="inlineStr">
        <is>
          <t>H. Yeh; C. J. Lin; C. C. Hsu; C. Y. Lee</t>
        </is>
      </c>
      <c r="C1813" s="86" t="n">
        <v>2020</v>
      </c>
      <c r="D1813" s="5" t="inlineStr">
        <is>
          <t>Outcome not related to interest</t>
        </is>
      </c>
      <c r="E1813" s="86" t="n"/>
      <c r="F1813" s="86" t="n"/>
    </row>
    <row r="1814" ht="16" customHeight="1" s="55">
      <c r="A1814" s="86" t="inlineStr">
        <is>
          <t>Feature-based optimized deep residual network architecture for diabetic retinopathy detection</t>
        </is>
      </c>
      <c r="B1814" s="86" t="inlineStr">
        <is>
          <t>M. K. Yaqoob; S. F. Ali; I. Kareem; M. M. Fraz</t>
        </is>
      </c>
      <c r="C1814" s="86" t="n">
        <v>2020</v>
      </c>
      <c r="D1814" s="5" t="inlineStr">
        <is>
          <t>Outcome not related to interest</t>
        </is>
      </c>
      <c r="E1814" s="86" t="n"/>
      <c r="F1814" s="86" t="n"/>
    </row>
    <row r="1815" ht="16" customHeight="1" s="55">
      <c r="A1815" s="86" t="inlineStr">
        <is>
          <t>Simultaneous Diagnosis of Severity and Features of Diabetic Retinopathy in Fundus Photography Using Deep Learning</t>
        </is>
      </c>
      <c r="B1815" s="86" t="inlineStr">
        <is>
          <t>J. Wang; Y. Bai; B. Xia</t>
        </is>
      </c>
      <c r="C1815" s="86" t="n">
        <v>2020</v>
      </c>
      <c r="D1815" s="5" t="inlineStr">
        <is>
          <t>Outcome not related to interest</t>
        </is>
      </c>
      <c r="E1815" s="86" t="n"/>
      <c r="F1815" s="86" t="n"/>
    </row>
    <row r="1816" ht="16" customHeight="1" s="55">
      <c r="A1816" s="86" t="inlineStr">
        <is>
          <t>Improving the Accuracy of Diabetic Retinopathy Severity Classification with Transfer Learning</t>
        </is>
      </c>
      <c r="B1816" s="86" t="inlineStr">
        <is>
          <t>N. B. Thota; D. U. Reddy</t>
        </is>
      </c>
      <c r="C1816" s="86" t="n">
        <v>2020</v>
      </c>
      <c r="D1816" s="5" t="inlineStr">
        <is>
          <t>Outcome not related to interest</t>
        </is>
      </c>
      <c r="E1816" s="86" t="n"/>
      <c r="F1816" s="86" t="n"/>
    </row>
    <row r="1817" ht="16" customHeight="1" s="55">
      <c r="A1817" s="86" t="inlineStr">
        <is>
          <t>Diabetic Retinopathy Classification Using A Hybrid and Efficient MobileNetV2-SVM Model</t>
        </is>
      </c>
      <c r="B1817" s="86" t="inlineStr">
        <is>
          <t>S. Taufiqurrahman; A. Handayani; B. R. Hermanto; T. L. E. R. Mengko</t>
        </is>
      </c>
      <c r="C1817" s="86" t="n">
        <v>2020</v>
      </c>
      <c r="D1817" s="5" t="inlineStr">
        <is>
          <t>Outcome not related to interest</t>
        </is>
      </c>
      <c r="E1817" s="86" t="n"/>
      <c r="F1817" s="86" t="n"/>
    </row>
    <row r="1818" ht="16" customHeight="1" s="55">
      <c r="A1818" s="86" t="inlineStr">
        <is>
          <t>A Novelty Approach to Retina Diagnosing Using Biometric Techniques With SVM and Clustering Algorithms</t>
        </is>
      </c>
      <c r="B1818" s="86" t="inlineStr">
        <is>
          <t>M. Szymkowski; E. Saeed; M. Omieljanowicz; A. Omieljanowicz; K. Saeed; Z. Mariak</t>
        </is>
      </c>
      <c r="C1818" s="86" t="n">
        <v>2020</v>
      </c>
      <c r="D1818" s="5" t="inlineStr">
        <is>
          <t>Outcome not related to interest</t>
        </is>
      </c>
      <c r="E1818" s="86" t="n"/>
      <c r="F1818" s="86" t="n"/>
    </row>
    <row r="1819" ht="16" customHeight="1" s="55">
      <c r="A1819" s="86" t="inlineStr">
        <is>
          <t>Diabetic Retinopathy Stages Classification using Improved Deep Learning</t>
        </is>
      </c>
      <c r="B1819" s="86" t="inlineStr">
        <is>
          <t>P. W. Sudarmadji; P. D. Pakan; R. Y. Dillak</t>
        </is>
      </c>
      <c r="C1819" s="86" t="n">
        <v>2020</v>
      </c>
      <c r="D1819" s="5" t="inlineStr">
        <is>
          <t>Outcome not related to interest</t>
        </is>
      </c>
      <c r="E1819" s="86" t="n"/>
      <c r="F1819" s="86" t="n"/>
    </row>
    <row r="1820" ht="16" customHeight="1" s="55">
      <c r="A1820" s="86" t="inlineStr">
        <is>
          <t>Detection and Prognosis Evaluation of Diabetic Retinopathy using Ensemble Deep Convolutional Neural Networks</t>
        </is>
      </c>
      <c r="B1820" s="86" t="inlineStr">
        <is>
          <t>S. Sridhar; S. Sanagavarapu</t>
        </is>
      </c>
      <c r="C1820" s="86" t="n">
        <v>2020</v>
      </c>
      <c r="D1820" s="5" t="inlineStr">
        <is>
          <t>Outcome not related to interest</t>
        </is>
      </c>
      <c r="E1820" s="86" t="n"/>
      <c r="F1820" s="86" t="n"/>
    </row>
    <row r="1821" ht="16" customHeight="1" s="55">
      <c r="A1821" s="86" t="inlineStr">
        <is>
          <t>A Domain Adaptation Multi-instance Learning for Diabetic Retinopathy Grading on Retinal Images</t>
        </is>
      </c>
      <c r="B1821" s="86" t="inlineStr">
        <is>
          <t>R. Song; P. Cao; J. Yang; D. Zhao; O. R. Zaiane</t>
        </is>
      </c>
      <c r="C1821" s="86" t="n">
        <v>2020</v>
      </c>
      <c r="D1821" s="5" t="inlineStr">
        <is>
          <t>Outcome not related to interest</t>
        </is>
      </c>
      <c r="E1821" s="86" t="n"/>
      <c r="F1821" s="86" t="n"/>
    </row>
    <row r="1822" ht="16" customHeight="1" s="55">
      <c r="A1822" s="86" t="inlineStr">
        <is>
          <t>Detection of diabetic blindness with Deep-Learning</t>
        </is>
      </c>
      <c r="B1822" s="86" t="inlineStr">
        <is>
          <t>A. Singh; W. Kim</t>
        </is>
      </c>
      <c r="C1822" s="86" t="n">
        <v>2020</v>
      </c>
      <c r="D1822" s="5" t="inlineStr">
        <is>
          <t>Outcome not related to interest</t>
        </is>
      </c>
      <c r="E1822" s="86" t="n"/>
      <c r="F1822" s="86" t="n"/>
    </row>
    <row r="1823" ht="16" customHeight="1" s="55">
      <c r="A1823" s="86" t="inlineStr">
        <is>
          <t>DRDr II: Detecting the Severity Level of Diabetic Retinopathy Using Mask RCNN and Transfer Learning</t>
        </is>
      </c>
      <c r="B1823" s="86" t="inlineStr">
        <is>
          <t>F. Shenavarmasouleh; F. G. Mohammadi; M. H. Amini; H. R. Arabnia</t>
        </is>
      </c>
      <c r="C1823" s="86" t="n">
        <v>2020</v>
      </c>
      <c r="D1823" s="5" t="inlineStr">
        <is>
          <t>Outcome not related to interest</t>
        </is>
      </c>
      <c r="E1823" s="86" t="n"/>
      <c r="F1823" s="86" t="n"/>
    </row>
    <row r="1824" ht="16" customHeight="1" s="55">
      <c r="A1824" s="86" t="inlineStr">
        <is>
          <t>Hyperparameter Tuning Deep Learning for Diabetic Retinopathy Fundus Image Classification</t>
        </is>
      </c>
      <c r="B1824" s="86" t="inlineStr">
        <is>
          <t>K. Shankar; Y. Zhang; Y. Liu; L. Wu; C. H. Chen</t>
        </is>
      </c>
      <c r="C1824" s="86" t="n">
        <v>2020</v>
      </c>
      <c r="D1824" s="5" t="inlineStr">
        <is>
          <t>Outcome not related to interest</t>
        </is>
      </c>
      <c r="E1824" s="86" t="n"/>
      <c r="F1824" s="86" t="n"/>
    </row>
    <row r="1825" ht="16" customHeight="1" s="55">
      <c r="A1825" s="86" t="inlineStr">
        <is>
          <t>Detection and Scrutiny of Diabetic Retinopathy Using Machine Learning Modus</t>
        </is>
      </c>
      <c r="B1825" s="86" t="inlineStr">
        <is>
          <t>S. G. Sandhya; A. Suhasini; M. D. Kumar</t>
        </is>
      </c>
      <c r="C1825" s="86" t="n">
        <v>2020</v>
      </c>
      <c r="D1825" s="5" t="inlineStr">
        <is>
          <t>Outcome not related to interest</t>
        </is>
      </c>
      <c r="E1825" s="86" t="n"/>
      <c r="F1825" s="86" t="n"/>
    </row>
    <row r="1826" ht="16" customHeight="1" s="55">
      <c r="A1826" s="86" t="inlineStr">
        <is>
          <t>Diabetic Retinopathy Grading Using ResNet Convolutional Neural Network</t>
        </is>
      </c>
      <c r="B1826" s="86" t="inlineStr">
        <is>
          <t>M. S. Sallam; A. L. Asnawi; R. F. Olanrewaju</t>
        </is>
      </c>
      <c r="C1826" s="86" t="n">
        <v>2020</v>
      </c>
      <c r="D1826" s="5" t="inlineStr">
        <is>
          <t>Outcome not related to interest</t>
        </is>
      </c>
      <c r="E1826" s="86" t="n"/>
      <c r="F1826" s="86" t="n"/>
    </row>
    <row r="1827" ht="16" customHeight="1" s="55">
      <c r="A1827" s="86" t="inlineStr">
        <is>
          <t>Diabetic Retinopathy Detection using Texture Features and Ensemble Learning</t>
        </is>
      </c>
      <c r="B1827" s="86" t="inlineStr">
        <is>
          <t>M. M. H. Sabbir; A. Sayeed; M. A. U. Z. Jamee</t>
        </is>
      </c>
      <c r="C1827" s="86" t="n">
        <v>2020</v>
      </c>
      <c r="D1827" s="5" t="inlineStr">
        <is>
          <t>Outcome not related to interest</t>
        </is>
      </c>
      <c r="E1827" s="86" t="n"/>
      <c r="F1827" s="86" t="n"/>
    </row>
    <row r="1828" ht="16" customHeight="1" s="55">
      <c r="A1828" s="86" t="inlineStr">
        <is>
          <t>A Deep Learning Approach for Diabetic Retinopathy detection using Transfer Learning</t>
        </is>
      </c>
      <c r="B1828" s="86" t="inlineStr">
        <is>
          <t>S. Ramchandre; B. Patil; S. Pharande; K. Javali; H. Pande</t>
        </is>
      </c>
      <c r="C1828" s="86" t="n">
        <v>2020</v>
      </c>
      <c r="D1828" s="5" t="inlineStr">
        <is>
          <t>Outcome not related to interest</t>
        </is>
      </c>
      <c r="E1828" s="86" t="n"/>
      <c r="F1828" s="86" t="n"/>
    </row>
    <row r="1829" ht="16" customHeight="1" s="55">
      <c r="A1829" s="86" t="inlineStr">
        <is>
          <t>Multivariate Regression-Based Convolutional Neural Network Model for Fundus Image Quality Assessment</t>
        </is>
      </c>
      <c r="B1829" s="86" t="inlineStr">
        <is>
          <t>A. Raj; N. A. Shah; A. K. Tiwari; M. G. Martini</t>
        </is>
      </c>
      <c r="C1829" s="86" t="n">
        <v>2020</v>
      </c>
      <c r="D1829" s="5" t="inlineStr">
        <is>
          <t>Outcome not related to interest</t>
        </is>
      </c>
      <c r="E1829" s="86" t="n"/>
      <c r="F1829" s="86" t="n"/>
    </row>
    <row r="1830" ht="16" customHeight="1" s="55">
      <c r="A1830" s="86" t="inlineStr">
        <is>
          <t>Computer based Technique to Examine Diabetic Retinopathy in Fundus Retinal Images</t>
        </is>
      </c>
      <c r="B1830" s="86" t="inlineStr">
        <is>
          <t>K. R. R; M. N. G</t>
        </is>
      </c>
      <c r="C1830" s="86" t="n">
        <v>2020</v>
      </c>
      <c r="D1830" s="5" t="inlineStr">
        <is>
          <t>Outcome not related to interest</t>
        </is>
      </c>
      <c r="E1830" s="86" t="n"/>
      <c r="F1830" s="86" t="n"/>
    </row>
    <row r="1831" ht="16" customHeight="1" s="55">
      <c r="A1831" s="86" t="inlineStr">
        <is>
          <t>Diabetic Retinopathy Detection Using Prognosis of Microaneurysm and Early Diagnosis System for Non-Proliferative Diabetic Retinopathy Based on Deep Learning Algorithms</t>
        </is>
      </c>
      <c r="B1831" s="86" t="inlineStr">
        <is>
          <t>L. Qiao; Y. Zhu; H. Zhou</t>
        </is>
      </c>
      <c r="C1831" s="86" t="n">
        <v>2020</v>
      </c>
      <c r="D1831" s="5" t="inlineStr">
        <is>
          <t>Outcome not related to interest</t>
        </is>
      </c>
      <c r="E1831" s="86" t="n"/>
      <c r="F1831" s="86" t="n"/>
    </row>
    <row r="1832" ht="16" customHeight="1" s="55">
      <c r="A1832" s="86" t="inlineStr">
        <is>
          <t>Transfer Learning based Classification of Diabetic Retinopathy Stages</t>
        </is>
      </c>
      <c r="B1832" s="86" t="inlineStr">
        <is>
          <t>A. Pradhan; B. K. Dey; R. K. Nath; B. Sarma</t>
        </is>
      </c>
      <c r="C1832" s="86" t="n">
        <v>2020</v>
      </c>
      <c r="D1832" s="5" t="inlineStr">
        <is>
          <t>Outcome not related to interest</t>
        </is>
      </c>
      <c r="E1832" s="86" t="n"/>
      <c r="F1832" s="86" t="n"/>
    </row>
    <row r="1833" ht="16" customHeight="1" s="55">
      <c r="A1833" s="86" t="inlineStr">
        <is>
          <t>Automatic Detection and Monitoring of Diabetic Retinopathy Using Efficient Convolutional Neural Networks and Contrast Limited Adaptive Histogram Equalization</t>
        </is>
      </c>
      <c r="B1833" s="86" t="inlineStr">
        <is>
          <t>A. M. Pour; H. Seyedarabi; S. H. A. Jahromi; A. Javadzadeh</t>
        </is>
      </c>
      <c r="C1833" s="86" t="n">
        <v>2020</v>
      </c>
      <c r="D1833" s="5" t="inlineStr">
        <is>
          <t>Outcome not related to interest</t>
        </is>
      </c>
      <c r="E1833" s="86" t="n"/>
      <c r="F1833" s="86" t="n"/>
    </row>
    <row r="1834" ht="16" customHeight="1" s="55">
      <c r="A1834" s="86" t="inlineStr">
        <is>
          <t>Quality Evaluation of Fundus Images using Transfer Learning</t>
        </is>
      </c>
      <c r="B1834" s="86" t="inlineStr">
        <is>
          <t>K. Pin; J. Y. Kim; J. H. Chang; Y. Nam</t>
        </is>
      </c>
      <c r="C1834" s="86" t="n">
        <v>2020</v>
      </c>
      <c r="D1834" s="5" t="inlineStr">
        <is>
          <t>Outcome not related to interest</t>
        </is>
      </c>
      <c r="E1834" s="86" t="n"/>
      <c r="F1834" s="86" t="n"/>
    </row>
    <row r="1835" ht="16" customHeight="1" s="55">
      <c r="A1835" s="86" t="inlineStr">
        <is>
          <t>Transfer Learning with Fine-Tuned MobileNetV2 for Diabetic Retinopathy</t>
        </is>
      </c>
      <c r="B1835" s="86" t="inlineStr">
        <is>
          <t>R. Patel; A. Chaware</t>
        </is>
      </c>
      <c r="C1835" s="86" t="n">
        <v>2020</v>
      </c>
      <c r="D1835" s="5" t="inlineStr">
        <is>
          <t>Outcome not related to interest</t>
        </is>
      </c>
      <c r="E1835" s="86" t="n"/>
      <c r="F1835" s="86" t="n"/>
    </row>
    <row r="1836" ht="16" customHeight="1" s="55">
      <c r="A1836" s="86" t="inlineStr">
        <is>
          <t>Classification of Diabetic Retinopathy through Deep Feature Extraction and Classic Machine Learning Approach</t>
        </is>
      </c>
      <c r="B1836" s="86" t="inlineStr">
        <is>
          <t>R. H. Paradisa; D. Sarwinda; A. Bustamam; T. Argyadiva</t>
        </is>
      </c>
      <c r="C1836" s="86" t="n">
        <v>2020</v>
      </c>
      <c r="D1836" s="5" t="inlineStr">
        <is>
          <t>Outcome not related to interest</t>
        </is>
      </c>
      <c r="E1836" s="86" t="n"/>
      <c r="F1836" s="86" t="n"/>
    </row>
    <row r="1837" ht="16" customHeight="1" s="55">
      <c r="A1837" s="86" t="inlineStr">
        <is>
          <t>Comparison of Key Performance Metrics of Ensemble Learning Algorithms for Diagnosis of Diabetic Retinopathy</t>
        </is>
      </c>
      <c r="B1837" s="86" t="inlineStr">
        <is>
          <t>S. B. Nandeeswar; J. AlameluMangai</t>
        </is>
      </c>
      <c r="C1837" s="86" t="n">
        <v>2020</v>
      </c>
      <c r="D1837" s="5" t="inlineStr">
        <is>
          <t>Outcome not related to interest</t>
        </is>
      </c>
      <c r="E1837" s="86" t="n"/>
      <c r="F1837" s="86" t="n"/>
    </row>
    <row r="1838" ht="16" customHeight="1" s="55">
      <c r="A1838" s="86" t="inlineStr">
        <is>
          <t>A Smartphone Based Application for Early Detection of Diabetic Retinopathy Using Normal Eye Extraction</t>
        </is>
      </c>
      <c r="B1838" s="86" t="inlineStr">
        <is>
          <t>Mrutyunjaya; S. Raga</t>
        </is>
      </c>
      <c r="C1838" s="86" t="n">
        <v>2020</v>
      </c>
      <c r="D1838" s="5" t="inlineStr">
        <is>
          <t>Outcome not related to interest</t>
        </is>
      </c>
      <c r="E1838" s="86" t="n"/>
      <c r="F1838" s="86" t="n"/>
    </row>
    <row r="1839" ht="16" customHeight="1" s="55">
      <c r="A1839" s="86" t="inlineStr">
        <is>
          <t>Diabetic Retinopathy Detection using Deep Learning R</t>
        </is>
      </c>
      <c r="B1839" s="86" t="inlineStr">
        <is>
          <t>S. Mishra; S. Hanchate; Z. Saquib</t>
        </is>
      </c>
      <c r="C1839" s="86" t="n">
        <v>2020</v>
      </c>
      <c r="D1839" s="86" t="inlineStr">
        <is>
          <t>Repeated article</t>
        </is>
      </c>
      <c r="E1839" s="86" t="n"/>
      <c r="F1839" s="86" t="n"/>
    </row>
    <row r="1840" ht="16" customHeight="1" s="55">
      <c r="A1840" s="86" t="inlineStr">
        <is>
          <t>Computer-assisted diagnosis (CAD) system for Diabetic Retinopathy screening using color fundus images using Deep learning</t>
        </is>
      </c>
      <c r="B1840" s="86" t="inlineStr">
        <is>
          <t>N. Memari; S. Abdollahi; M. M. Ganzagh; M. Moghbel</t>
        </is>
      </c>
      <c r="C1840" s="86" t="n">
        <v>2020</v>
      </c>
      <c r="D1840" s="5" t="inlineStr">
        <is>
          <t>Outcome not related to interest</t>
        </is>
      </c>
      <c r="E1840" s="86" t="n"/>
      <c r="F1840" s="86" t="n"/>
    </row>
    <row r="1841" ht="16" customHeight="1" s="55">
      <c r="A1841" s="86" t="inlineStr">
        <is>
          <t>EdgeAI: Diabetic Retinopathy Detection in Intel Architecture</t>
        </is>
      </c>
      <c r="B1841" s="86" t="inlineStr">
        <is>
          <t>G. Mathew; S. S. Ramachandran; V. S. S</t>
        </is>
      </c>
      <c r="C1841" s="86" t="n">
        <v>2020</v>
      </c>
      <c r="D1841" s="5" t="inlineStr">
        <is>
          <t>Outcome not related to interest</t>
        </is>
      </c>
      <c r="E1841" s="86" t="n"/>
      <c r="F1841" s="86" t="n"/>
    </row>
    <row r="1842" ht="16" customHeight="1" s="55">
      <c r="A1842" s="86" t="inlineStr">
        <is>
          <t>CNN Based Detection of the Severity of Diabetic Retinopathy from the Fundus Photography using EfficientNet-B5</t>
        </is>
      </c>
      <c r="B1842" s="86" t="inlineStr">
        <is>
          <t>M. M. S. Maswood; T. Hussain; M. B. Khan; M. T. Islam; A. G. Alharbi</t>
        </is>
      </c>
      <c r="C1842" s="86" t="n">
        <v>2020</v>
      </c>
      <c r="D1842" s="5" t="inlineStr">
        <is>
          <t>Outcome not related to interest</t>
        </is>
      </c>
      <c r="E1842" s="86" t="n"/>
      <c r="F1842" s="86" t="n"/>
    </row>
    <row r="1843" ht="16" customHeight="1" s="55">
      <c r="A1843" s="86" t="inlineStr">
        <is>
          <t>Jekyll: Attacking Medical Image Diagnostics using Deep Generative Models</t>
        </is>
      </c>
      <c r="B1843" s="86" t="inlineStr">
        <is>
          <t>N. Mangaokar; J. Pu; P. Bhattacharya; C. K. Reddy; B. Viswanath</t>
        </is>
      </c>
      <c r="C1843" s="86" t="n">
        <v>2020</v>
      </c>
      <c r="D1843" s="5" t="inlineStr">
        <is>
          <t>Outcome not related to interest</t>
        </is>
      </c>
      <c r="E1843" s="86" t="n"/>
      <c r="F1843" s="86" t="n"/>
    </row>
    <row r="1844" ht="16" customHeight="1" s="55">
      <c r="A1844" s="86" t="inlineStr">
        <is>
          <t>Classification of retinal images in stages of diabetic retinopathy using deep learning</t>
        </is>
      </c>
      <c r="B1844" s="86" t="inlineStr">
        <is>
          <t>C. Lyona; J. Menezes; T. Shinde; M. Gavhane; R. M. Rohatgi; S. Chavan</t>
        </is>
      </c>
      <c r="C1844" s="86" t="n">
        <v>2020</v>
      </c>
      <c r="D1844" s="5" t="inlineStr">
        <is>
          <t>Outcome not related to interest</t>
        </is>
      </c>
      <c r="E1844" s="86" t="n"/>
      <c r="F1844" s="86" t="n"/>
    </row>
    <row r="1845" ht="16" customHeight="1" s="55">
      <c r="A1845" s="86" t="inlineStr">
        <is>
          <t>Retinal Image Classification by Self-Supervised Fuzzy Clustering Network</t>
        </is>
      </c>
      <c r="B1845" s="86" t="inlineStr">
        <is>
          <t>Y. Luo; J. Pan; S. Fan; Z. Du; G. Zhang</t>
        </is>
      </c>
      <c r="C1845" s="86" t="n">
        <v>2020</v>
      </c>
      <c r="D1845" s="5" t="inlineStr">
        <is>
          <t>Outcome not related to interest</t>
        </is>
      </c>
      <c r="E1845" s="86" t="n"/>
      <c r="F1845" s="86" t="n"/>
    </row>
    <row r="1846" ht="16" customHeight="1" s="55">
      <c r="A1846" s="86" t="inlineStr">
        <is>
          <t>Diabetic retinopathy grading based on Lesion correlation graph</t>
        </is>
      </c>
      <c r="B1846" s="86" t="inlineStr">
        <is>
          <t>D. Luo; S. I. Kamata</t>
        </is>
      </c>
      <c r="C1846" s="86" t="n">
        <v>2020</v>
      </c>
      <c r="D1846" s="5" t="inlineStr">
        <is>
          <t>Outcome not related to interest</t>
        </is>
      </c>
      <c r="E1846" s="86" t="n"/>
      <c r="F1846" s="86" t="n"/>
    </row>
    <row r="1847" ht="16" customHeight="1" s="55">
      <c r="A1847" s="86" t="inlineStr">
        <is>
          <t>Generative Data Augmentation for Diabetic Retinopathy Classification</t>
        </is>
      </c>
      <c r="B1847" s="86" t="inlineStr">
        <is>
          <t>G. Lim; P. Thombre; M. L. Lee; W. Hsu</t>
        </is>
      </c>
      <c r="C1847" s="86" t="n">
        <v>2020</v>
      </c>
      <c r="D1847" s="5" t="inlineStr">
        <is>
          <t>Outcome not related to interest</t>
        </is>
      </c>
      <c r="E1847" s="86" t="n"/>
      <c r="F1847" s="86" t="n"/>
    </row>
    <row r="1848" ht="16" customHeight="1" s="55">
      <c r="A1848" s="86" t="inlineStr">
        <is>
          <t>Automatic Diabetic Retinopathy Classification with EfficientNet</t>
        </is>
      </c>
      <c r="B1848" s="86" t="inlineStr">
        <is>
          <t>R. N. Lazuardi; N. Abiwinanda; T. H. Suryawan; M. Hanif; A. Handayani</t>
        </is>
      </c>
      <c r="C1848" s="86" t="n">
        <v>2020</v>
      </c>
      <c r="D1848" s="5" t="inlineStr">
        <is>
          <t>Outcome not related to interest</t>
        </is>
      </c>
      <c r="E1848" s="86" t="n"/>
      <c r="F1848" s="86" t="n"/>
    </row>
    <row r="1849" ht="16" customHeight="1" s="55">
      <c r="A1849" s="86" t="inlineStr">
        <is>
          <t>Detection and Classification of Diabetic Retinopathy using Raspberry PI</t>
        </is>
      </c>
      <c r="B1849" s="86" t="inlineStr">
        <is>
          <t>R. V. Lavanya; E. P. S; C. Jayakumari; R. Isaac</t>
        </is>
      </c>
      <c r="C1849" s="86" t="n">
        <v>2020</v>
      </c>
      <c r="D1849" s="5" t="inlineStr">
        <is>
          <t>Outcome not related to interest</t>
        </is>
      </c>
      <c r="E1849" s="86" t="n"/>
      <c r="F1849" s="86" t="n"/>
    </row>
    <row r="1850" ht="16" customHeight="1" s="55">
      <c r="A1850" s="86" t="inlineStr">
        <is>
          <t>Implementation of deep learning based algorithms for diabetic retinopathy classification from fundus images</t>
        </is>
      </c>
      <c r="B1850" s="86" t="inlineStr">
        <is>
          <t>A. Lands; A. J. Kottarathil; A. Biju; E. M. Jacob; S. Thomas</t>
        </is>
      </c>
      <c r="C1850" s="86" t="n">
        <v>2020</v>
      </c>
      <c r="D1850" s="5" t="inlineStr">
        <is>
          <t>Outcome not related to interest</t>
        </is>
      </c>
      <c r="E1850" s="86" t="n"/>
      <c r="F1850" s="86" t="n"/>
    </row>
    <row r="1851" ht="16" customHeight="1" s="55">
      <c r="A1851" s="86" t="inlineStr">
        <is>
          <t>Automated Diabetic Retinopathy Screening With Montage Fundus Images</t>
        </is>
      </c>
      <c r="B1851" s="86" t="inlineStr">
        <is>
          <t>S. Kumari; N. Padmakumara; W. Palangoda; C. Balagalla; P. Samarasingha; A. Fernando; N. Pemadasa</t>
        </is>
      </c>
      <c r="C1851" s="86" t="n">
        <v>2020</v>
      </c>
      <c r="D1851" s="5" t="inlineStr">
        <is>
          <t>Outcome not related to interest</t>
        </is>
      </c>
      <c r="E1851" s="86" t="n"/>
      <c r="F1851" s="86" t="n"/>
    </row>
    <row r="1852" ht="16" customHeight="1" s="55">
      <c r="A1852" s="86" t="inlineStr">
        <is>
          <t>“Application of deep learning techniques for automating the detection of diabetic retinopathy in retinal fundus photographs”</t>
        </is>
      </c>
      <c r="B1852" s="86" t="inlineStr">
        <is>
          <t>V. Khan; D. Patel; T. A. Meenai; R. Shukla</t>
        </is>
      </c>
      <c r="C1852" s="86" t="n">
        <v>2020</v>
      </c>
      <c r="D1852" s="5" t="inlineStr">
        <is>
          <t>Outcome not related to interest</t>
        </is>
      </c>
      <c r="E1852" s="86" t="n"/>
      <c r="F1852" s="86" t="n"/>
    </row>
    <row r="1853" ht="16" customHeight="1" s="55">
      <c r="A1853" s="86" t="inlineStr">
        <is>
          <t>An Automatic Ocular Disease Detection Scheme from Enhanced Fundus Images Based on Ensembling Deep CNN Networks</t>
        </is>
      </c>
      <c r="B1853" s="86" t="inlineStr">
        <is>
          <t>I. A. Khan; A. Uzzaman; S. A. Fattah</t>
        </is>
      </c>
      <c r="C1853" s="86" t="n">
        <v>2020</v>
      </c>
      <c r="D1853" s="5" t="inlineStr">
        <is>
          <t>Outcome not related to interest</t>
        </is>
      </c>
      <c r="E1853" s="86" t="n"/>
      <c r="F1853" s="86" t="n"/>
    </row>
    <row r="1854" ht="16" customHeight="1" s="55">
      <c r="A1854" s="86" t="inlineStr">
        <is>
          <t>Detection of Diabetic Retinopathy Using Pretrained Deep Neural Networks</t>
        </is>
      </c>
      <c r="B1854" s="86" t="inlineStr">
        <is>
          <t>S. Kajan; J. Goga; K. Lacko; J. Pavlovičová</t>
        </is>
      </c>
      <c r="C1854" s="86" t="n">
        <v>2020</v>
      </c>
      <c r="D1854" s="5" t="inlineStr">
        <is>
          <t>Outcome not related to interest</t>
        </is>
      </c>
      <c r="E1854" s="86" t="n"/>
      <c r="F1854" s="86" t="n"/>
    </row>
    <row r="1855" ht="16" customHeight="1" s="55">
      <c r="A1855" s="86" t="inlineStr">
        <is>
          <t>A Multi-Label Deep Learning Model with Interpretable Grad-CAM for Diabetic Retinopathy Classification</t>
        </is>
      </c>
      <c r="B1855" s="86" t="inlineStr">
        <is>
          <t>H. Jiang; J. Xu; R. Shi; K. Yang; D. Zhang; M. Gao; H. Ma; W. Qian</t>
        </is>
      </c>
      <c r="C1855" s="86" t="n">
        <v>2020</v>
      </c>
      <c r="D1855" s="5" t="inlineStr">
        <is>
          <t>Outcome not related to interest</t>
        </is>
      </c>
      <c r="E1855" s="86" t="n"/>
      <c r="F1855" s="86" t="n"/>
    </row>
    <row r="1856" ht="16" customHeight="1" s="55">
      <c r="A1856" s="86" t="inlineStr">
        <is>
          <t>Automated Diabetic Retinopathy Detection and classification using ImageNet Convolution Neural Network using Fundus Images</t>
        </is>
      </c>
      <c r="B1856" s="86" t="inlineStr">
        <is>
          <t>C. Jayakumari; V. Lavanya; E. P. Sumesh</t>
        </is>
      </c>
      <c r="C1856" s="86" t="n">
        <v>2020</v>
      </c>
      <c r="D1856" s="5" t="inlineStr">
        <is>
          <t>Outcome not related to interest</t>
        </is>
      </c>
      <c r="E1856" s="86" t="n"/>
      <c r="F1856" s="86" t="n"/>
    </row>
    <row r="1857" ht="16" customHeight="1" s="55">
      <c r="A1857" s="86" t="inlineStr">
        <is>
          <t>Diabetes Mellitus Prediction using Different Ensemble Machine Learning Approaches</t>
        </is>
      </c>
      <c r="B1857" s="86" t="inlineStr">
        <is>
          <t>M. T. Islam; M. Raihan; N. Aktar; M. S. Alam; R. R. Ema; T. Islam</t>
        </is>
      </c>
      <c r="C1857" s="86" t="n">
        <v>2020</v>
      </c>
      <c r="D1857" s="5" t="inlineStr">
        <is>
          <t>Outcome not related to interest</t>
        </is>
      </c>
      <c r="E1857" s="86" t="n"/>
      <c r="F1857" s="86" t="n"/>
    </row>
    <row r="1858" ht="16" customHeight="1" s="55">
      <c r="A1858" s="86" t="inlineStr">
        <is>
          <t>Transfer Learning based Diabetic Retinopathy Detection with a Novel Preprocessed Layer</t>
        </is>
      </c>
      <c r="B1858" s="86" t="inlineStr">
        <is>
          <t>M. R. Islam; M. A. M. Hasan; A. Sayeed</t>
        </is>
      </c>
      <c r="C1858" s="86" t="n">
        <v>2020</v>
      </c>
      <c r="D1858" s="5" t="inlineStr">
        <is>
          <t>Outcome not related to interest</t>
        </is>
      </c>
      <c r="E1858" s="86" t="n"/>
      <c r="F1858" s="86" t="n"/>
    </row>
    <row r="1859" ht="16" customHeight="1" s="55">
      <c r="A1859" s="86" t="inlineStr">
        <is>
          <t>Identifying the Level of Diabetic Retinopathy Using Deep Convolution Neural Network</t>
        </is>
      </c>
      <c r="B1859" s="86" t="inlineStr">
        <is>
          <t>R. Hassan; M. A. Rahman; I. Ullah; A. H. Alenezi; T. H. Rassem</t>
        </is>
      </c>
      <c r="C1859" s="86" t="n">
        <v>2020</v>
      </c>
      <c r="D1859" s="5" t="inlineStr">
        <is>
          <t>Outcome not related to interest</t>
        </is>
      </c>
      <c r="E1859" s="86" t="n"/>
      <c r="F1859" s="86" t="n"/>
    </row>
    <row r="1860" ht="16" customHeight="1" s="55">
      <c r="A1860" s="86" t="inlineStr">
        <is>
          <t>Diabetic Retinopathy Detection using ensemble deep Learning and Individual Channel Training</t>
        </is>
      </c>
      <c r="B1860" s="86" t="inlineStr">
        <is>
          <t>K. H; B. K</t>
        </is>
      </c>
      <c r="C1860" s="86" t="n">
        <v>2020</v>
      </c>
      <c r="D1860" s="5" t="inlineStr">
        <is>
          <t>Outcome not related to interest</t>
        </is>
      </c>
      <c r="E1860" s="86" t="n"/>
      <c r="F1860" s="86" t="n"/>
    </row>
    <row r="1861" ht="16" customHeight="1" s="55">
      <c r="A1861" s="86" t="inlineStr">
        <is>
          <t>Iterative Augmentation of Visual Evidence for Weakly-Supervised Lesion Localization in Deep Interpretability Frameworks: Application to Color Fundus Images</t>
        </is>
      </c>
      <c r="B1861" s="86" t="inlineStr">
        <is>
          <t>C. González-Gonzalo; B. Liefers; B. v. Ginneken; C. I. Sánchez</t>
        </is>
      </c>
      <c r="C1861" s="86" t="n">
        <v>2020</v>
      </c>
      <c r="D1861" s="5" t="inlineStr">
        <is>
          <t>Outcome not related to interest</t>
        </is>
      </c>
      <c r="E1861" s="86" t="n"/>
      <c r="F1861" s="86" t="n"/>
    </row>
    <row r="1862" ht="16" customHeight="1" s="55">
      <c r="A1862" s="86" t="inlineStr">
        <is>
          <t>Artificial Intelligence-Based Referral System for Patients With Diabetic Retinopathy</t>
        </is>
      </c>
      <c r="B1862" s="86" t="inlineStr">
        <is>
          <t>G. Gonzalez-Briceno; A. Sanchez; S. Ortega-Cisneros; M. S. G. Contreras; G. A. P. Diaz; E. U. Moya-Sanchez</t>
        </is>
      </c>
      <c r="C1862" s="86" t="n">
        <v>2020</v>
      </c>
      <c r="D1862" s="5" t="inlineStr">
        <is>
          <t>Outcome not related to interest</t>
        </is>
      </c>
      <c r="E1862" s="86" t="n"/>
      <c r="F1862" s="86" t="n"/>
    </row>
    <row r="1863" ht="16" customHeight="1" s="55">
      <c r="A1863" s="86" t="inlineStr">
        <is>
          <t>Diabetic Retinopathy Classification using Deep Learning</t>
        </is>
      </c>
      <c r="B1863" s="86" t="inlineStr">
        <is>
          <t>G. Ghan; S. Chavan; A. Chaudhari</t>
        </is>
      </c>
      <c r="C1863" s="86" t="n">
        <v>2020</v>
      </c>
      <c r="D1863" s="5" t="inlineStr">
        <is>
          <t>Outcome not related to interest</t>
        </is>
      </c>
      <c r="E1863" s="86" t="n"/>
      <c r="F1863" s="86" t="n"/>
    </row>
    <row r="1864" ht="16" customHeight="1" s="55">
      <c r="A1864" s="86" t="inlineStr">
        <is>
          <t>Early Stage Diabetes Likelihood Prediction using Artificial Neural Networks</t>
        </is>
      </c>
      <c r="B1864" s="86" t="inlineStr">
        <is>
          <t>R. P. C. Gamara; A. A. Bandala; P. J. M. Loresco; R. R. P. Vicerra</t>
        </is>
      </c>
      <c r="C1864" s="86" t="n">
        <v>2020</v>
      </c>
      <c r="D1864" s="5" t="inlineStr">
        <is>
          <t>Outcome not related to interest</t>
        </is>
      </c>
      <c r="E1864" s="86" t="n"/>
      <c r="F1864" s="86" t="n"/>
    </row>
    <row r="1865" ht="16" customHeight="1" s="55">
      <c r="A1865" s="86" t="inlineStr">
        <is>
          <t>Early Deep Detection for Diabetic Retinopathy</t>
        </is>
      </c>
      <c r="B1865" s="86" t="inlineStr">
        <is>
          <t>A. Elzennary; M. Soliman; M. Ibrahim</t>
        </is>
      </c>
      <c r="C1865" s="86" t="n">
        <v>2020</v>
      </c>
      <c r="D1865" s="5" t="inlineStr">
        <is>
          <t>Outcome not related to interest</t>
        </is>
      </c>
      <c r="E1865" s="86" t="n"/>
      <c r="F1865" s="86" t="n"/>
    </row>
    <row r="1866" ht="16" customHeight="1" s="55">
      <c r="A1866" s="86" t="inlineStr">
        <is>
          <t>Automated Diabetic Retinopathy Grading using Resnet</t>
        </is>
      </c>
      <c r="B1866" s="86" t="inlineStr">
        <is>
          <t>D. K. Elswah; A. A. Elnakib; H. E.-d. Moustafa</t>
        </is>
      </c>
      <c r="C1866" s="86" t="n">
        <v>2020</v>
      </c>
      <c r="D1866" s="5" t="inlineStr">
        <is>
          <t>Outcome not related to interest</t>
        </is>
      </c>
      <c r="E1866" s="86" t="n"/>
      <c r="F1866" s="86" t="n"/>
    </row>
    <row r="1867" ht="16" customHeight="1" s="55">
      <c r="A1867" s="86" t="inlineStr">
        <is>
          <t>Automatic Detection of Diabetic Retinopathy using Neural Networks and Support Vector Machine</t>
        </is>
      </c>
      <c r="B1867" s="86" t="inlineStr">
        <is>
          <t>A. G. Eldin; M. Mustafa; R. Eltayeb; F. Mohamed</t>
        </is>
      </c>
      <c r="C1867" s="86" t="n">
        <v>2020</v>
      </c>
      <c r="D1867" s="5" t="inlineStr">
        <is>
          <t>Outcome not related to interest</t>
        </is>
      </c>
      <c r="E1867" s="86" t="n"/>
      <c r="F1867" s="86" t="n"/>
    </row>
    <row r="1868" ht="16" customHeight="1" s="55">
      <c r="A1868" s="86" t="inlineStr">
        <is>
          <t>An Approach Using Transfer Learning to Disclose Diabetic Retinopathy in Early Stage</t>
        </is>
      </c>
      <c r="B1868" s="86" t="inlineStr">
        <is>
          <t>P. M. Ebin; P. Ranjana</t>
        </is>
      </c>
      <c r="C1868" s="86" t="n">
        <v>2020</v>
      </c>
      <c r="D1868" s="5" t="inlineStr">
        <is>
          <t>Outcome not related to interest</t>
        </is>
      </c>
      <c r="E1868" s="86" t="n"/>
      <c r="F1868" s="86" t="n"/>
    </row>
    <row r="1869" ht="16" customHeight="1" s="55">
      <c r="A1869" s="86" t="inlineStr">
        <is>
          <t>Diabetic Retinopathy Classification using Downscaling Algorithms and Deep Learning</t>
        </is>
      </c>
      <c r="B1869" s="86" t="inlineStr">
        <is>
          <t>N. Doshi; U. Oza; P. Kumar</t>
        </is>
      </c>
      <c r="C1869" s="86" t="n">
        <v>2020</v>
      </c>
      <c r="D1869" s="5" t="inlineStr">
        <is>
          <t>Outcome not related to interest</t>
        </is>
      </c>
      <c r="E1869" s="86" t="n"/>
      <c r="F1869" s="86" t="n"/>
    </row>
    <row r="1870" ht="16" customHeight="1" s="55">
      <c r="A1870" s="86" t="inlineStr">
        <is>
          <t>Automated Identification of Diabetic Retinopathy Using Artificial Neutral Network</t>
        </is>
      </c>
      <c r="B1870" s="86" t="inlineStr">
        <is>
          <t>K. Dhivya; G. Premalatha; M. Kayathri</t>
        </is>
      </c>
      <c r="C1870" s="86" t="n">
        <v>2020</v>
      </c>
      <c r="D1870" s="5" t="inlineStr">
        <is>
          <t>Outcome not related to interest</t>
        </is>
      </c>
      <c r="E1870" s="86" t="n"/>
      <c r="F1870" s="86" t="n"/>
    </row>
    <row r="1871" ht="16" customHeight="1" s="55">
      <c r="A1871" s="86" t="inlineStr">
        <is>
          <t>Pre-diagnosis of Diabetic Retinopathy using Blob Detection</t>
        </is>
      </c>
      <c r="B1871" s="86" t="inlineStr">
        <is>
          <t>M. M. Dharmana; M. S. A</t>
        </is>
      </c>
      <c r="C1871" s="86" t="n">
        <v>2020</v>
      </c>
      <c r="D1871" s="5" t="inlineStr">
        <is>
          <t>Outcome not related to interest</t>
        </is>
      </c>
      <c r="E1871" s="86" t="n"/>
      <c r="F1871" s="86" t="n"/>
    </row>
    <row r="1872" ht="16" customHeight="1" s="55">
      <c r="A1872" s="86" t="inlineStr">
        <is>
          <t>Automated Grading of Diabetic Retinopathy using Local-Spatial Descriptors</t>
        </is>
      </c>
      <c r="B1872" s="86" t="inlineStr">
        <is>
          <t>V. Deepa; C. S. Kumar; S. S. Andrews</t>
        </is>
      </c>
      <c r="C1872" s="86" t="n">
        <v>2020</v>
      </c>
      <c r="D1872" s="5" t="inlineStr">
        <is>
          <t>Outcome not related to interest</t>
        </is>
      </c>
      <c r="E1872" s="86" t="n"/>
      <c r="F1872" s="86" t="n"/>
    </row>
    <row r="1873" ht="16" customHeight="1" s="55">
      <c r="A1873" s="86" t="inlineStr">
        <is>
          <t>Explainable Deep Learning for Referable Diabetic Retinopathy</t>
        </is>
      </c>
      <c r="B1873" s="86" t="inlineStr">
        <is>
          <t>M. Chetoui; A. Couturier; M. A. Akhloufi</t>
        </is>
      </c>
      <c r="C1873" s="86" t="n">
        <v>2020</v>
      </c>
      <c r="D1873" s="5" t="inlineStr">
        <is>
          <t>Outcome not related to interest</t>
        </is>
      </c>
      <c r="E1873" s="86" t="n"/>
      <c r="F1873" s="86" t="n"/>
    </row>
    <row r="1874" ht="16" customHeight="1" s="55">
      <c r="A1874" s="86" t="inlineStr">
        <is>
          <t>Explainable Diabetic Retinopathy using EfficientNET</t>
        </is>
      </c>
      <c r="B1874" s="86" t="inlineStr">
        <is>
          <t>M. Chetoui; M. A. Akhloufi</t>
        </is>
      </c>
      <c r="C1874" s="86" t="n">
        <v>2020</v>
      </c>
      <c r="D1874" s="5" t="inlineStr">
        <is>
          <t>Outcome not related to interest</t>
        </is>
      </c>
      <c r="E1874" s="86" t="n"/>
      <c r="F1874" s="86" t="n"/>
    </row>
    <row r="1875" ht="16" customHeight="1" s="55">
      <c r="A1875" s="86" t="inlineStr">
        <is>
          <t>An Approach to Detecting Diabetic Retinopathy Based on Integrated Shallow Convolutional Neural Networks</t>
        </is>
      </c>
      <c r="B1875" s="86" t="inlineStr">
        <is>
          <t>W. Chen; B. Yang; J. Li; J. Wang</t>
        </is>
      </c>
      <c r="C1875" s="86" t="n">
        <v>2020</v>
      </c>
      <c r="D1875" s="5" t="inlineStr">
        <is>
          <t>Outcome not related to interest</t>
        </is>
      </c>
      <c r="E1875" s="86" t="n"/>
      <c r="F1875" s="86" t="n"/>
    </row>
    <row r="1876" ht="16" customHeight="1" s="55">
      <c r="A1876" s="86" t="inlineStr">
        <is>
          <t>Deep Learning Approach For Detection Of Retinal Abnormalities Based On Color Fundus Images</t>
        </is>
      </c>
      <c r="B1876" s="86" t="inlineStr">
        <is>
          <t>B. Bulut; V. Kalın; B. B. Güneş; R. Khazhin</t>
        </is>
      </c>
      <c r="C1876" s="86" t="n">
        <v>2020</v>
      </c>
      <c r="D1876" s="5" t="inlineStr">
        <is>
          <t>Outcome not related to interest</t>
        </is>
      </c>
      <c r="E1876" s="86" t="n"/>
      <c r="F1876" s="86" t="n"/>
    </row>
    <row r="1877" ht="16" customHeight="1" s="55">
      <c r="A1877" s="86" t="inlineStr">
        <is>
          <t>Reducing Overfitting in Diabetic Retinopathy Detection using Transfer Learning</t>
        </is>
      </c>
      <c r="B1877" s="86" t="inlineStr">
        <is>
          <t>N. Barhate; S. Bhave; R. Bhise; R. G. Sutar; D. C. Karia</t>
        </is>
      </c>
      <c r="C1877" s="86" t="n">
        <v>2020</v>
      </c>
      <c r="D1877" s="5" t="inlineStr">
        <is>
          <t>Outcome not related to interest</t>
        </is>
      </c>
      <c r="E1877" s="86" t="n"/>
      <c r="F1877" s="86" t="n"/>
    </row>
    <row r="1878" ht="16" customHeight="1" s="55">
      <c r="A1878" s="86" t="inlineStr">
        <is>
          <t>Analysis of Adversarial based Augmentation for Diabetic Retinopathy Disease Grading</t>
        </is>
      </c>
      <c r="B1878" s="86" t="inlineStr">
        <is>
          <t>R. Balasubramanian; V. Sowmya; E. A. Gopalakrishnan; V. K. Menon; V. V. S. Variyar; K. P. Soman</t>
        </is>
      </c>
      <c r="C1878" s="86" t="n">
        <v>2020</v>
      </c>
      <c r="D1878" s="5" t="inlineStr">
        <is>
          <t>Outcome not related to interest</t>
        </is>
      </c>
      <c r="E1878" s="86" t="n"/>
      <c r="F1878" s="86" t="n"/>
    </row>
    <row r="1879" ht="16" customHeight="1" s="55">
      <c r="A1879" s="86" t="inlineStr">
        <is>
          <t>Deep Learning and Its Application in Diabetic Retinopathy Screening</t>
        </is>
      </c>
      <c r="B1879" s="86" t="inlineStr">
        <is>
          <t>Z. O. U. B; S. X; Z. H. U. C; D. A. I. Y; Y. U. E. K; C. Y; X. Y; H. J</t>
        </is>
      </c>
      <c r="C1879" s="86" t="n">
        <v>2020</v>
      </c>
      <c r="D1879" s="5" t="inlineStr">
        <is>
          <t>Outcome not related to interest</t>
        </is>
      </c>
      <c r="E1879" s="86" t="n"/>
      <c r="F1879" s="86" t="n"/>
    </row>
    <row r="1880" ht="16" customHeight="1" s="55">
      <c r="A1880" s="86" t="inlineStr">
        <is>
          <t>Data Augmentation for Improving Proliferative Diabetic Retinopathy Detection in Eye Fundus Images</t>
        </is>
      </c>
      <c r="B1880" s="86" t="inlineStr">
        <is>
          <t>T. Araújo; G. Aresta; L. Mendonça; S. Penas; C. Maia; C. Â; A. M. Mendonça; A. Campilho</t>
        </is>
      </c>
      <c r="C1880" s="86" t="n">
        <v>2020</v>
      </c>
      <c r="D1880" s="5" t="inlineStr">
        <is>
          <t>Outcome not related to interest</t>
        </is>
      </c>
      <c r="E1880" s="86" t="n"/>
      <c r="F1880" s="86" t="n"/>
    </row>
    <row r="1881" ht="16" customHeight="1" s="55">
      <c r="A1881" s="86" t="inlineStr">
        <is>
          <t>A New Strategy for the Detection of Diabetic Retinopathy using a Smartphone App and Machine Learning Methods Embedded on Cloud Computer</t>
        </is>
      </c>
      <c r="B1881" s="86" t="inlineStr">
        <is>
          <t>S. S. A. Alves; A. G. Matos; J. S. Almeida; C. A. Benevides; C. C. H. Cunha; R. V. C. Santiago; R. F. Pereira; P. P. R. Filho</t>
        </is>
      </c>
      <c r="C1881" s="86" t="n">
        <v>2020</v>
      </c>
      <c r="D1881" s="5" t="inlineStr">
        <is>
          <t>Outcome not related to interest</t>
        </is>
      </c>
      <c r="E1881" s="86" t="n"/>
      <c r="F1881" s="86" t="n"/>
    </row>
    <row r="1882" ht="16" customHeight="1" s="55">
      <c r="A1882" s="86" t="inlineStr">
        <is>
          <t>Implementation of Data Augmentation to Improve Performance CNN Method for Detecting Diabetic Retinopathy</t>
        </is>
      </c>
      <c r="B1882" s="86" t="inlineStr">
        <is>
          <t>T. Agustin; E. Utami; H. A. Fatta</t>
        </is>
      </c>
      <c r="C1882" s="86" t="n">
        <v>2020</v>
      </c>
      <c r="D1882" s="5" t="inlineStr">
        <is>
          <t>Outcome not related to interest</t>
        </is>
      </c>
      <c r="E1882" s="86" t="n"/>
      <c r="F1882" s="86" t="n"/>
    </row>
    <row r="1883" ht="16" customHeight="1" s="55">
      <c r="A1883" s="86" t="inlineStr">
        <is>
          <t>Optimization Convolutional Neural Network for Classification Diabetic Retinopathy Severity</t>
        </is>
      </c>
      <c r="B1883" s="86" t="inlineStr">
        <is>
          <t>T. Agustin; A. Sunyoto</t>
        </is>
      </c>
      <c r="C1883" s="86" t="n">
        <v>2020</v>
      </c>
      <c r="D1883" s="5" t="inlineStr">
        <is>
          <t>Outcome not related to interest</t>
        </is>
      </c>
      <c r="E1883" s="86" t="n"/>
      <c r="F1883" s="86" t="n"/>
    </row>
    <row r="1884" ht="16" customHeight="1" s="55">
      <c r="A1884" s="86" t="inlineStr">
        <is>
          <t>Diabetic Retinopathy (DR) Severity Level Classification Using Multimodel Convolutional Neural Networks</t>
        </is>
      </c>
      <c r="B1884" s="86" t="inlineStr">
        <is>
          <t>A. J. Abidalkareem; M. A. Abd; A. K. Ibrahim; H. Zhuang; A. S. Altaher; A. M. Ali</t>
        </is>
      </c>
      <c r="C1884" s="86" t="n">
        <v>2020</v>
      </c>
      <c r="D1884" s="5" t="inlineStr">
        <is>
          <t>Outcome not related to interest</t>
        </is>
      </c>
      <c r="E1884" s="86" t="n"/>
      <c r="F1884" s="86" t="n"/>
    </row>
    <row r="1885" ht="16" customHeight="1" s="55">
      <c r="A1885" s="86" t="inlineStr">
        <is>
          <t>Diabetic Retinopathy Grading Based on a Hybrid Deep Learning Model</t>
        </is>
      </c>
      <c r="B1885" s="86" t="inlineStr">
        <is>
          <t>E. AbdelMaksoud; S. Barakat; M. Elmogy</t>
        </is>
      </c>
      <c r="C1885" s="86" t="n">
        <v>2020</v>
      </c>
      <c r="D1885" s="5" t="inlineStr">
        <is>
          <t>Outcome not related to interest</t>
        </is>
      </c>
      <c r="E1885" s="86" t="n"/>
      <c r="F1885" s="86" t="n"/>
    </row>
    <row r="1886" ht="16" customHeight="1" s="55">
      <c r="A1886" s="86" t="inlineStr">
        <is>
          <t>Optimal Selection of Pyramid Pooling Components for Convolutional Neural Network Classifier</t>
        </is>
      </c>
      <c r="B1886" s="86" t="inlineStr">
        <is>
          <t>S. R. Abdani; M. A. Zulkifley</t>
        </is>
      </c>
      <c r="C1886" s="86" t="n">
        <v>2020</v>
      </c>
      <c r="D1886" s="5" t="inlineStr">
        <is>
          <t>Outcome not related to interest</t>
        </is>
      </c>
      <c r="E1886" s="86" t="n"/>
      <c r="F1886" s="86" t="n"/>
    </row>
    <row r="1887" ht="16" customHeight="1" s="55">
      <c r="A1887" s="86" t="inlineStr">
        <is>
          <t>BiRA-Net: Bilinear Attention Net for Diabetic Retinopathy Grading</t>
        </is>
      </c>
      <c r="B1887" s="86" t="inlineStr">
        <is>
          <t>Z. Zhao; K. Zhang; X. Hao; J. Tian; M. C. H. Chua; L. Chen; X. Xu</t>
        </is>
      </c>
      <c r="C1887" s="86" t="n">
        <v>2019</v>
      </c>
      <c r="D1887" s="5" t="inlineStr">
        <is>
          <t>Outcome not related to interest</t>
        </is>
      </c>
      <c r="E1887" s="86" t="n"/>
      <c r="F1887" s="86" t="n"/>
    </row>
    <row r="1888" ht="16" customHeight="1" s="55">
      <c r="A1888" s="86" t="inlineStr">
        <is>
          <t>Retinal Image Classification via Vasculature-Guided Sequential Attention</t>
        </is>
      </c>
      <c r="B1888" s="86" t="inlineStr">
        <is>
          <t>M. Zhao; G. Hamarneh</t>
        </is>
      </c>
      <c r="C1888" s="86" t="n">
        <v>2019</v>
      </c>
      <c r="D1888" s="5" t="inlineStr">
        <is>
          <t>Outcome not related to interest</t>
        </is>
      </c>
      <c r="E1888" s="86" t="n"/>
      <c r="F1888" s="86" t="n"/>
    </row>
    <row r="1889" ht="16" customHeight="1" s="55">
      <c r="A1889" s="86" t="inlineStr">
        <is>
          <t>Supervised Segmentation of Un-Annotated Retinal Fundus Images by Synthesis</t>
        </is>
      </c>
      <c r="B1889" s="86" t="inlineStr">
        <is>
          <t>H. Zhao; H. Li; S. Maurer-Stroh; Y. Guo; Q. Deng; L. Cheng</t>
        </is>
      </c>
      <c r="C1889" s="86" t="n">
        <v>2019</v>
      </c>
      <c r="D1889" s="5" t="inlineStr">
        <is>
          <t>Outcome not related to interest</t>
        </is>
      </c>
      <c r="E1889" s="86" t="n"/>
      <c r="F1889" s="86" t="n"/>
    </row>
    <row r="1890" ht="16" customHeight="1" s="55">
      <c r="A1890" s="86" t="inlineStr">
        <is>
          <t>Automated Detection of Diabetic Retinopathy using a Binocular Siamese-Like Convolutional Network</t>
        </is>
      </c>
      <c r="B1890" s="86" t="inlineStr">
        <is>
          <t>X. Zeng; H. Chen; Y. Luo; W. Ye</t>
        </is>
      </c>
      <c r="C1890" s="86" t="n">
        <v>2019</v>
      </c>
      <c r="D1890" s="5" t="inlineStr">
        <is>
          <t>Outcome not related to interest</t>
        </is>
      </c>
      <c r="E1890" s="86" t="n"/>
      <c r="F1890" s="86" t="n"/>
    </row>
    <row r="1891" ht="16" customHeight="1" s="55">
      <c r="A1891" s="86" t="inlineStr">
        <is>
          <t>Automated Classification of Retinal Diseases in STARE Database Using Neural Network Approach</t>
        </is>
      </c>
      <c r="B1891" s="86" t="inlineStr">
        <is>
          <t>N. Zaheer; A. Shehzaad; S. O. Gilani; J. Aslam; S. A. Zaidi</t>
        </is>
      </c>
      <c r="C1891" s="86" t="n">
        <v>2019</v>
      </c>
      <c r="D1891" s="5" t="inlineStr">
        <is>
          <t>Outcome not related to interest</t>
        </is>
      </c>
      <c r="E1891" s="86" t="n"/>
      <c r="F1891" s="86" t="n"/>
    </row>
    <row r="1892" ht="16" customHeight="1" s="55">
      <c r="A1892" s="86" t="inlineStr">
        <is>
          <t>Clinically Applicable Deep Learning for Diagnosis of Diabetic Retinopathy</t>
        </is>
      </c>
      <c r="B1892" s="86" t="inlineStr">
        <is>
          <t>L. Yung-Hui; Y. Nai-Ning; K. Purwandari; L. N. Harfiya</t>
        </is>
      </c>
      <c r="C1892" s="86" t="n">
        <v>2019</v>
      </c>
      <c r="D1892" s="5" t="inlineStr">
        <is>
          <t>Outcome not related to interest</t>
        </is>
      </c>
      <c r="E1892" s="86" t="n"/>
      <c r="F1892" s="86" t="n"/>
    </row>
    <row r="1893" ht="16" customHeight="1" s="55">
      <c r="A1893" s="86" t="inlineStr">
        <is>
          <t>Recognition of Diabetic Retinopathy Basedon Transfer Learning</t>
        </is>
      </c>
      <c r="B1893" s="86" t="inlineStr">
        <is>
          <t>Y. Wu; Z. Hu</t>
        </is>
      </c>
      <c r="C1893" s="86" t="n">
        <v>2019</v>
      </c>
      <c r="D1893" s="5" t="inlineStr">
        <is>
          <t>Outcome not related to interest</t>
        </is>
      </c>
      <c r="E1893" s="86" t="n"/>
      <c r="F1893" s="86" t="n"/>
    </row>
    <row r="1894" ht="16" customHeight="1" s="55">
      <c r="A1894" s="86" t="inlineStr">
        <is>
          <t>A Smart Telemedicine System with Deep Learning to Manage Diabetic Retinopathy and Foot Ulcers</t>
        </is>
      </c>
      <c r="B1894" s="86" t="inlineStr">
        <is>
          <t>I. Wijesinghe; C. Gamage; I. Perera; C. Chitraranjan</t>
        </is>
      </c>
      <c r="C1894" s="86" t="n">
        <v>2019</v>
      </c>
      <c r="D1894" s="5" t="inlineStr">
        <is>
          <t>Outcome not related to interest</t>
        </is>
      </c>
      <c r="E1894" s="86" t="n"/>
      <c r="F1894" s="86" t="n"/>
    </row>
    <row r="1895" ht="16" customHeight="1" s="55">
      <c r="A1895" s="86" t="inlineStr">
        <is>
          <t>Deep Supervised Hashing through Ensemble CNN Feature Extraction and Low-Rank Matrix Factorization for Retinal Image Retrieval of Diabetic Retinopathy</t>
        </is>
      </c>
      <c r="B1895" s="86" t="inlineStr">
        <is>
          <t>I. Wijesinghe; C. Gamage; C. Chitraranjan</t>
        </is>
      </c>
      <c r="C1895" s="86" t="n">
        <v>2019</v>
      </c>
      <c r="D1895" s="5" t="inlineStr">
        <is>
          <t>Outcome not related to interest</t>
        </is>
      </c>
      <c r="E1895" s="86" t="n"/>
      <c r="F1895" s="86" t="n"/>
    </row>
    <row r="1896" ht="16" customHeight="1" s="55">
      <c r="A1896" s="86" t="inlineStr">
        <is>
          <t>Transfer Learning with Ensemble Feature Extraction and Low-Rank Matrix Factorization for Severity Stage Classification of Diabetic Retinopathy</t>
        </is>
      </c>
      <c r="B1896" s="86" t="inlineStr">
        <is>
          <t>I. Wijesinghe; C. Gamage; C. Chitraranjan</t>
        </is>
      </c>
      <c r="C1896" s="86" t="n">
        <v>2019</v>
      </c>
      <c r="D1896" s="5" t="inlineStr">
        <is>
          <t>Outcome not related to interest</t>
        </is>
      </c>
      <c r="E1896" s="86" t="n"/>
      <c r="F1896" s="86" t="n"/>
    </row>
    <row r="1897" ht="16" customHeight="1" s="55">
      <c r="A1897" s="86" t="inlineStr">
        <is>
          <t>Feasibility of Diagnosing Both Severity and Features of Diabetic Retinopathy in Fundus Photography</t>
        </is>
      </c>
      <c r="B1897" s="86" t="inlineStr">
        <is>
          <t>J. Wang; Y. Bai; B. Xia</t>
        </is>
      </c>
      <c r="C1897" s="86" t="n">
        <v>2019</v>
      </c>
      <c r="D1897" s="5" t="inlineStr">
        <is>
          <t>Outcome not related to interest</t>
        </is>
      </c>
      <c r="E1897" s="86" t="n"/>
      <c r="F1897" s="86" t="n"/>
    </row>
    <row r="1898" ht="16" customHeight="1" s="55">
      <c r="A1898" s="86" t="inlineStr">
        <is>
          <t>5. Intelligent approach for retinal disease identification</t>
        </is>
      </c>
      <c r="B1898" s="86" t="inlineStr">
        <is>
          <t>C. R. Vipul; H. V. Chandresh; M. T. Rohit</t>
        </is>
      </c>
      <c r="C1898" s="86" t="n">
        <v>2019</v>
      </c>
      <c r="D1898" s="5" t="inlineStr">
        <is>
          <t>Outcome not related to interest</t>
        </is>
      </c>
      <c r="E1898" s="86" t="n"/>
      <c r="F1898" s="86" t="n"/>
    </row>
    <row r="1899" ht="16" customHeight="1" s="55">
      <c r="A1899" s="86" t="inlineStr">
        <is>
          <t>Automatic Screening of Diabetic Retinopathy Using Different Data Mining Classifier Techniques</t>
        </is>
      </c>
      <c r="B1899" s="86" t="inlineStr">
        <is>
          <t>S. Vadloori; Y. P. Huang; T. T. Lee</t>
        </is>
      </c>
      <c r="C1899" s="86" t="n">
        <v>2019</v>
      </c>
      <c r="D1899" s="5" t="inlineStr">
        <is>
          <t>Outcome not related to interest</t>
        </is>
      </c>
      <c r="E1899" s="86" t="n"/>
      <c r="F1899" s="86" t="n"/>
    </row>
    <row r="1900" ht="16" customHeight="1" s="55">
      <c r="A1900" s="86" t="inlineStr">
        <is>
          <t>On Deep Learning based algorithms for Detection of Diabetic Retinopathy</t>
        </is>
      </c>
      <c r="B1900" s="86" t="inlineStr">
        <is>
          <t>H. Thanati; R. J. Chalakkal; W. H. Abdulla</t>
        </is>
      </c>
      <c r="C1900" s="86" t="n">
        <v>2019</v>
      </c>
      <c r="D1900" s="5" t="inlineStr">
        <is>
          <t>Outcome not related to interest</t>
        </is>
      </c>
      <c r="E1900" s="86" t="n"/>
      <c r="F1900" s="86" t="n"/>
    </row>
    <row r="1901" ht="16" customHeight="1" s="55">
      <c r="A1901" s="86" t="inlineStr">
        <is>
          <t>Diagnosis and Analysis of Diabetic Retinopathy Based on Electronic Health Records</t>
        </is>
      </c>
      <c r="B1901" s="86" t="inlineStr">
        <is>
          <t>Y. Sun; D. Zhang</t>
        </is>
      </c>
      <c r="C1901" s="86" t="n">
        <v>2019</v>
      </c>
      <c r="D1901" s="5" t="inlineStr">
        <is>
          <t>Outcome not related to interest</t>
        </is>
      </c>
      <c r="E1901" s="86" t="n"/>
      <c r="F1901" s="86" t="n"/>
    </row>
    <row r="1902" ht="16" customHeight="1" s="55">
      <c r="A1902" s="86" t="inlineStr">
        <is>
          <t>The Neural Network of One-Dimensional Convolution-An Example of the Diagnosis of Diabetic Retinopathy</t>
        </is>
      </c>
      <c r="B1902" s="86" t="inlineStr">
        <is>
          <t>Y. Sun</t>
        </is>
      </c>
      <c r="C1902" s="86" t="n">
        <v>2019</v>
      </c>
      <c r="D1902" s="5" t="inlineStr">
        <is>
          <t>Outcome not related to interest</t>
        </is>
      </c>
      <c r="E1902" s="86" t="n"/>
      <c r="F1902" s="86" t="n"/>
    </row>
    <row r="1903" ht="16" customHeight="1" s="55">
      <c r="A1903" s="86" t="inlineStr">
        <is>
          <t>Automated Detection of Diabetic Retinopathy</t>
        </is>
      </c>
      <c r="B1903" s="86" t="inlineStr">
        <is>
          <t>T. M. Singh; P. Bharali; C. Bhuyan</t>
        </is>
      </c>
      <c r="C1903" s="86" t="n">
        <v>2019</v>
      </c>
      <c r="D1903" s="5" t="inlineStr">
        <is>
          <t>Outcome not related to interest</t>
        </is>
      </c>
      <c r="E1903" s="86" t="n"/>
      <c r="F1903" s="86" t="n"/>
    </row>
    <row r="1904" ht="16" customHeight="1" s="55">
      <c r="A1904" s="86" t="inlineStr">
        <is>
          <t>Classification of Pathological Signs for Diabetic Retinopathy Diagnosis using Image Enhancement Technique and Convolution Neural Network</t>
        </is>
      </c>
      <c r="B1904" s="86" t="inlineStr">
        <is>
          <t>A. H. A. Samah; F. Ahmad; M. K. Osman; M. Idris; N. M. Tahir; N. A. A. Aziz</t>
        </is>
      </c>
      <c r="C1904" s="86" t="n">
        <v>2019</v>
      </c>
      <c r="D1904" s="5" t="inlineStr">
        <is>
          <t>Outcome not related to interest</t>
        </is>
      </c>
      <c r="E1904" s="86" t="n"/>
      <c r="F1904" s="86" t="n"/>
    </row>
    <row r="1905" ht="16" customHeight="1" s="55">
      <c r="A1905" s="86" t="inlineStr">
        <is>
          <t>Recalibrating Fully Convolutional Networks With Spatial and Channel “Squeeze and Excitation” Blocks</t>
        </is>
      </c>
      <c r="B1905" s="86" t="inlineStr">
        <is>
          <t>A. G. Roy; N. Navab; C. Wachinger</t>
        </is>
      </c>
      <c r="C1905" s="86" t="n">
        <v>2019</v>
      </c>
      <c r="D1905" s="5" t="inlineStr">
        <is>
          <t>Outcome not related to interest</t>
        </is>
      </c>
      <c r="E1905" s="86" t="n"/>
      <c r="F1905" s="86" t="n"/>
    </row>
    <row r="1906" ht="16" customHeight="1" s="55">
      <c r="A1906" s="86" t="inlineStr">
        <is>
          <t>Detecting Diabetic Retinopathy from Retinal Images Using CUDA Deep Neural Network</t>
        </is>
      </c>
      <c r="B1906" s="86" t="inlineStr">
        <is>
          <t>P. Ricky; L. Ramanathan; P. Swarnalatha; S. Rajkumar</t>
        </is>
      </c>
      <c r="C1906" s="86" t="n">
        <v>2019</v>
      </c>
      <c r="D1906" s="5" t="inlineStr">
        <is>
          <t>Outcome not related to interest</t>
        </is>
      </c>
      <c r="E1906" s="86" t="n"/>
      <c r="F1906" s="86" t="n"/>
    </row>
    <row r="1907" ht="16" customHeight="1" s="55">
      <c r="A1907" s="86" t="inlineStr">
        <is>
          <t>A Novel Approachfor the Diagnosis of Diabetic Retinopathy using Convolutional Neural Network</t>
        </is>
      </c>
      <c r="B1907" s="86" t="inlineStr">
        <is>
          <t>H. N. Rajini</t>
        </is>
      </c>
      <c r="C1907" s="86" t="n">
        <v>2019</v>
      </c>
      <c r="D1907" s="5" t="inlineStr">
        <is>
          <t>Outcome not related to interest</t>
        </is>
      </c>
      <c r="E1907" s="86" t="n"/>
      <c r="F1907" s="86" t="n"/>
    </row>
    <row r="1908" ht="16" customHeight="1" s="55">
      <c r="A1908" s="86" t="inlineStr">
        <is>
          <t>A Deep Learning Ensemble Approach for Diabetic Retinopathy Detection</t>
        </is>
      </c>
      <c r="B1908" s="86" t="inlineStr">
        <is>
          <t>S. Qummar; F. G. Khan; S. Shah; A. Khan; S. Shamshirband; Z. U. Rehman; I. A. Khan; W. Jadoon</t>
        </is>
      </c>
      <c r="C1908" s="86" t="n">
        <v>2019</v>
      </c>
      <c r="D1908" s="5" t="inlineStr">
        <is>
          <t>Outcome not related to interest</t>
        </is>
      </c>
      <c r="E1908" s="86" t="n"/>
      <c r="F1908" s="86" t="n"/>
    </row>
    <row r="1909" ht="16" customHeight="1" s="55">
      <c r="A1909" s="86" t="inlineStr">
        <is>
          <t>Classification of Diabetic Retinopathy and Normal Retinal Images using CNN and SVM</t>
        </is>
      </c>
      <c r="B1909" s="86" t="inlineStr">
        <is>
          <t>D. U. N. Qomariah; H. Tjandrasa; C. Fatichah</t>
        </is>
      </c>
      <c r="C1909" s="86" t="n">
        <v>2019</v>
      </c>
      <c r="D1909" s="5" t="inlineStr">
        <is>
          <t>Outcome not related to interest</t>
        </is>
      </c>
      <c r="E1909" s="86" t="n"/>
      <c r="F1909" s="86" t="n"/>
    </row>
    <row r="1910" ht="16" customHeight="1" s="55">
      <c r="A1910" s="86" t="inlineStr">
        <is>
          <t>Superpixel based Segmentation for Multilesion Detection in Diabetic Retinopathy</t>
        </is>
      </c>
      <c r="B1910" s="86" t="inlineStr">
        <is>
          <t>S. Praveena; R. Lavanya</t>
        </is>
      </c>
      <c r="C1910" s="86" t="n">
        <v>2019</v>
      </c>
      <c r="D1910" s="5" t="inlineStr">
        <is>
          <t>Outcome not related to interest</t>
        </is>
      </c>
      <c r="E1910" s="86" t="n"/>
      <c r="F1910" s="86" t="n"/>
    </row>
    <row r="1911" ht="16" customHeight="1" s="55">
      <c r="A1911" s="86" t="inlineStr">
        <is>
          <t>Multiple eye disease detection using Deep Neural Network</t>
        </is>
      </c>
      <c r="B1911" s="86" t="inlineStr">
        <is>
          <t>K. Prasad; P. S. Sajith; M. Neema; L. Madhu; P. N. Priya</t>
        </is>
      </c>
      <c r="C1911" s="86" t="n">
        <v>2019</v>
      </c>
      <c r="D1911" s="5" t="inlineStr">
        <is>
          <t>Outcome not related to interest</t>
        </is>
      </c>
      <c r="E1911" s="86" t="n"/>
      <c r="F1911" s="86" t="n"/>
    </row>
    <row r="1912" ht="16" customHeight="1" s="55">
      <c r="A1912" s="86" t="inlineStr">
        <is>
          <t>A Novel Weakly Supervised Multitask Architecture for Retinal Lesions Segmentation on Fundus Images</t>
        </is>
      </c>
      <c r="B1912" s="86" t="inlineStr">
        <is>
          <t>C. Playout; R. Duval; F. Cheriet</t>
        </is>
      </c>
      <c r="C1912" s="86" t="n">
        <v>2019</v>
      </c>
      <c r="D1912" s="5" t="inlineStr">
        <is>
          <t>Outcome not related to interest</t>
        </is>
      </c>
      <c r="E1912" s="86" t="n"/>
      <c r="F1912" s="86" t="n"/>
    </row>
    <row r="1913" ht="16" customHeight="1" s="55">
      <c r="A1913" s="86" t="inlineStr">
        <is>
          <t>Classification of proliferative diabetic retinopathy using deep learning</t>
        </is>
      </c>
      <c r="B1913" s="86" t="inlineStr">
        <is>
          <t>R. Ortiz-Feregrino; S. Tovar-Arriag; J. Ramos-Arreguin; E. Gorrostieta</t>
        </is>
      </c>
      <c r="C1913" s="86" t="n">
        <v>2019</v>
      </c>
      <c r="D1913" s="5" t="inlineStr">
        <is>
          <t>Outcome not related to interest</t>
        </is>
      </c>
      <c r="E1913" s="86" t="n"/>
      <c r="F1913" s="86" t="n"/>
    </row>
    <row r="1914" ht="16" customHeight="1" s="55">
      <c r="A1914" s="86" t="inlineStr">
        <is>
          <t>An Effective CNN Approach for Diabetic Retinopathy Stage Classification with Dual Inputs and Selective Data Sampling</t>
        </is>
      </c>
      <c r="B1914" s="86" t="inlineStr">
        <is>
          <t>J. Ni; Q. Chen; C. Liu; H. Wang; Y. Cao; B. Liu</t>
        </is>
      </c>
      <c r="C1914" s="86" t="n">
        <v>2019</v>
      </c>
      <c r="D1914" s="5" t="inlineStr">
        <is>
          <t>Outcome not related to interest</t>
        </is>
      </c>
      <c r="E1914" s="86" t="n"/>
      <c r="F1914" s="86" t="n"/>
    </row>
    <row r="1915" ht="16" customHeight="1" s="55">
      <c r="A1915" s="86" t="inlineStr">
        <is>
          <t>Deep Learning Framework for Diabetic Retinopathy Diagnosis</t>
        </is>
      </c>
      <c r="B1915" s="86" t="inlineStr">
        <is>
          <t>G. Nagaraj; S. C. Simha; H. G. R. Chandra; M. Indiramma</t>
        </is>
      </c>
      <c r="C1915" s="86" t="n">
        <v>2019</v>
      </c>
      <c r="D1915" s="5" t="inlineStr">
        <is>
          <t>Outcome not related to interest</t>
        </is>
      </c>
      <c r="E1915" s="86" t="n"/>
      <c r="F1915" s="86" t="n"/>
    </row>
    <row r="1916" ht="16" customHeight="1" s="55">
      <c r="A1916" s="86" t="inlineStr">
        <is>
          <t>Classification of Diabetic Retinopathy Images Based on Customised CNN Architecture</t>
        </is>
      </c>
      <c r="B1916" s="86" t="inlineStr">
        <is>
          <t>R. Mobeen ur; S. H. Khan; Z. Abbas; S. M. D. Rizvi</t>
        </is>
      </c>
      <c r="C1916" s="86" t="n">
        <v>2019</v>
      </c>
      <c r="D1916" s="5" t="inlineStr">
        <is>
          <t>Outcome not related to interest</t>
        </is>
      </c>
      <c r="E1916" s="86" t="n"/>
      <c r="F1916" s="86" t="n"/>
    </row>
    <row r="1917" ht="16" customHeight="1" s="55">
      <c r="A1917" s="86" t="inlineStr">
        <is>
          <t>Segmentation and machine learning techniques applied to automatic detection of diseases from eye-fundus retina images</t>
        </is>
      </c>
      <c r="B1917" s="86" t="inlineStr">
        <is>
          <t>W. Mircea</t>
        </is>
      </c>
      <c r="C1917" s="86" t="n">
        <v>2019</v>
      </c>
      <c r="D1917" s="5" t="inlineStr">
        <is>
          <t>Outcome not related to interest</t>
        </is>
      </c>
      <c r="E1917" s="86" t="n"/>
      <c r="F1917" s="86" t="n"/>
    </row>
    <row r="1918" ht="16" customHeight="1" s="55">
      <c r="A1918" s="86" t="inlineStr">
        <is>
          <t>Small Scale Feature Propagation Using Deep Residual Learning for Diabetic Retinopathy Classification</t>
        </is>
      </c>
      <c r="B1918" s="86" t="inlineStr">
        <is>
          <t>A. C. Metan; A. Lambert; M. Pickering</t>
        </is>
      </c>
      <c r="C1918" s="86" t="n">
        <v>2019</v>
      </c>
      <c r="D1918" s="5" t="inlineStr">
        <is>
          <t>Outcome not related to interest</t>
        </is>
      </c>
      <c r="E1918" s="86" t="n"/>
      <c r="F1918" s="86" t="n"/>
    </row>
    <row r="1919" ht="16" customHeight="1" s="55">
      <c r="A1919" s="86" t="inlineStr">
        <is>
          <t>Detection of Retinal Lesions Based on Deep Learning for Diabetic Retinopathy</t>
        </is>
      </c>
      <c r="B1919" s="86" t="inlineStr">
        <is>
          <t>K. V. Maya; K. S. Adarsh</t>
        </is>
      </c>
      <c r="C1919" s="86" t="n">
        <v>2019</v>
      </c>
      <c r="D1919" s="5" t="inlineStr">
        <is>
          <t>Outcome not related to interest</t>
        </is>
      </c>
      <c r="E1919" s="86" t="n"/>
      <c r="F1919" s="86" t="n"/>
    </row>
    <row r="1920" ht="16" customHeight="1" s="55">
      <c r="A1920" s="86" t="inlineStr">
        <is>
          <t>Multi-scale Stepwise Training Strategy of Convolutional Neural Networks for Diabetic Retinopathy Severity Assessment</t>
        </is>
      </c>
      <c r="B1920" s="86" t="inlineStr">
        <is>
          <t>F. Li; D. Yuan; M. Zhang; C. Liang; X. Zhou; H. Zhang</t>
        </is>
      </c>
      <c r="C1920" s="86" t="n">
        <v>2019</v>
      </c>
      <c r="D1920" s="5" t="inlineStr">
        <is>
          <t>Outcome not related to interest</t>
        </is>
      </c>
      <c r="E1920" s="86" t="n"/>
      <c r="F1920" s="86" t="n"/>
    </row>
    <row r="1921" ht="16" customHeight="1" s="55">
      <c r="A1921" s="86" t="inlineStr">
        <is>
          <t>Computer-aided diagnosis for Diabetic Retinopathy based on Firefly algorithm</t>
        </is>
      </c>
      <c r="B1921" s="86" t="inlineStr">
        <is>
          <t>B. Keerthiveena; T. Veerakumar; S. Esakkirajan; B. N. Subudhi</t>
        </is>
      </c>
      <c r="C1921" s="86" t="n">
        <v>2019</v>
      </c>
      <c r="D1921" s="5" t="inlineStr">
        <is>
          <t>Outcome not related to interest</t>
        </is>
      </c>
      <c r="E1921" s="86" t="n"/>
      <c r="F1921" s="86" t="n"/>
    </row>
    <row r="1922" ht="16" customHeight="1" s="55">
      <c r="A1922" s="86" t="inlineStr">
        <is>
          <t>Diabetic Retinopathy Classification Using a Modified Xception Architecture</t>
        </is>
      </c>
      <c r="B1922" s="86" t="inlineStr">
        <is>
          <t>S. H. Kassani; P. H. Kassani; R. Khazaeinezhad; M. J. Wesolowski; K. A. Schneider; R. Deters</t>
        </is>
      </c>
      <c r="C1922" s="86" t="n">
        <v>2019</v>
      </c>
      <c r="D1922" s="5" t="inlineStr">
        <is>
          <t>Outcome not related to interest</t>
        </is>
      </c>
      <c r="E1922" s="86" t="n"/>
      <c r="F1922" s="86" t="n"/>
    </row>
    <row r="1923" ht="16" customHeight="1" s="55">
      <c r="A1923" s="86" t="inlineStr">
        <is>
          <t>An Interpretable Ensemble Deep Learning Model for Diabetic Retinopathy Disease Classification</t>
        </is>
      </c>
      <c r="B1923" s="86" t="inlineStr">
        <is>
          <t>H. Jiang; K. Yang; M. Gao; D. Zhang; H. Ma; W. Qian</t>
        </is>
      </c>
      <c r="C1923" s="86" t="n">
        <v>2019</v>
      </c>
      <c r="D1923" s="5" t="inlineStr">
        <is>
          <t>Outcome not related to interest</t>
        </is>
      </c>
      <c r="E1923" s="86" t="n"/>
      <c r="F1923" s="86" t="n"/>
    </row>
    <row r="1924" ht="16" customHeight="1" s="55">
      <c r="A1924" s="86" t="inlineStr">
        <is>
          <t>Empirical Analysis of Activation Functions and Pooling Layers in CNN for Classification of Diabetic Retinopathy</t>
        </is>
      </c>
      <c r="B1924" s="86" t="inlineStr">
        <is>
          <t>M. Jena; S. P. Mishra; D. Mishra</t>
        </is>
      </c>
      <c r="C1924" s="86" t="n">
        <v>2019</v>
      </c>
      <c r="D1924" s="5" t="inlineStr">
        <is>
          <t>Outcome not related to interest</t>
        </is>
      </c>
      <c r="E1924" s="86" t="n"/>
      <c r="F1924" s="86" t="n"/>
    </row>
    <row r="1925" ht="16" customHeight="1" s="55">
      <c r="A1925" s="86" t="inlineStr">
        <is>
          <t>Deep Learning for Detection and Severity Classification of Diabetic Retinopathy</t>
        </is>
      </c>
      <c r="B1925" s="86" t="inlineStr">
        <is>
          <t>A. Jain; A. Jalui; J. Jasani; Y. Lahoti; R. Karani</t>
        </is>
      </c>
      <c r="C1925" s="86" t="n">
        <v>2019</v>
      </c>
      <c r="D1925" s="5" t="inlineStr">
        <is>
          <t>Outcome not related to interest</t>
        </is>
      </c>
      <c r="E1925" s="86" t="n"/>
      <c r="F1925" s="86" t="n"/>
    </row>
    <row r="1926" ht="16" customHeight="1" s="55">
      <c r="A1926" s="86" t="inlineStr">
        <is>
          <t>DeepDR: An image guideddiabetic retinopathy detection technique using attention-based deep learning scheme</t>
        </is>
      </c>
      <c r="B1926" s="86" t="inlineStr">
        <is>
          <t>N. Islam; U. Saeed; R. Naz; J. Tanveer; K. Kumar; A. A. Shaikh</t>
        </is>
      </c>
      <c r="C1926" s="86" t="n">
        <v>2019</v>
      </c>
      <c r="D1926" s="5" t="inlineStr">
        <is>
          <t>Outcome not related to interest</t>
        </is>
      </c>
      <c r="E1926" s="86" t="n"/>
      <c r="F1926" s="86" t="n"/>
    </row>
    <row r="1927" ht="16" customHeight="1" s="55">
      <c r="A1927" s="86" t="inlineStr">
        <is>
          <t>Source and Camera Independent Ophthalmic Disease Recognition from Fundus Image Using Neural Network</t>
        </is>
      </c>
      <c r="B1927" s="86" t="inlineStr">
        <is>
          <t>M. T. Islam; S. A. Imran; A. Arefeen; M. Hasan; C. Shahnaz</t>
        </is>
      </c>
      <c r="C1927" s="86" t="n">
        <v>2019</v>
      </c>
      <c r="D1927" s="5" t="inlineStr">
        <is>
          <t>Outcome not related to interest</t>
        </is>
      </c>
      <c r="E1927" s="86" t="n"/>
      <c r="F1927" s="86" t="n"/>
    </row>
    <row r="1928" ht="16" customHeight="1" s="55">
      <c r="A1928" s="86" t="inlineStr">
        <is>
          <t>An Improved Approach for Detection of Diabetic Retinopathy Using Feature Importance and Machine Learning Algorithms</t>
        </is>
      </c>
      <c r="B1928" s="86" t="inlineStr">
        <is>
          <t>S. M. A. Huda; I. J. Ila; S. Sarder; M. Shamsujjoha; M. N. Y. Ali</t>
        </is>
      </c>
      <c r="C1928" s="86" t="n">
        <v>2019</v>
      </c>
      <c r="D1928" s="5" t="inlineStr">
        <is>
          <t>Outcome not related to interest</t>
        </is>
      </c>
      <c r="E1928" s="86" t="n"/>
      <c r="F1928" s="86" t="n"/>
    </row>
    <row r="1929" ht="16" customHeight="1" s="55">
      <c r="A1929" s="86" t="inlineStr">
        <is>
          <t>Diabetic Retinopathy Grade and Macular Edema Risk Classification Using Convolutional Neural Networks</t>
        </is>
      </c>
      <c r="B1929" s="86" t="inlineStr">
        <is>
          <t>J. He; L. Shen; X. Ai; X. Li</t>
        </is>
      </c>
      <c r="C1929" s="86" t="n">
        <v>2019</v>
      </c>
      <c r="D1929" s="5" t="inlineStr">
        <is>
          <t>Outcome not related to interest</t>
        </is>
      </c>
      <c r="E1929" s="86" t="n"/>
      <c r="F1929" s="86" t="n"/>
    </row>
    <row r="1930" ht="16" customHeight="1" s="55">
      <c r="A1930" s="86" t="inlineStr">
        <is>
          <t>Automated Grading of Diabetic Retinopathy in Retinal Fundus Images using Deep Learning</t>
        </is>
      </c>
      <c r="B1930" s="86" t="inlineStr">
        <is>
          <t>S. B. Hathwar; G. Srinivasa</t>
        </is>
      </c>
      <c r="C1930" s="86" t="n">
        <v>2019</v>
      </c>
      <c r="D1930" s="5" t="inlineStr">
        <is>
          <t>Outcome not related to interest</t>
        </is>
      </c>
      <c r="E1930" s="86" t="n"/>
      <c r="F1930" s="86" t="n"/>
    </row>
    <row r="1931" ht="16" customHeight="1" s="55">
      <c r="A1931" s="86" t="inlineStr">
        <is>
          <t>Automatic screening of fundus images using a combination of convolutional neural network and hand-crafted features</t>
        </is>
      </c>
      <c r="B1931" s="86" t="inlineStr">
        <is>
          <t>B. Harangi; J. Toth; A. Baran; A. Hajdu</t>
        </is>
      </c>
      <c r="C1931" s="86" t="n">
        <v>2019</v>
      </c>
      <c r="D1931" s="5" t="inlineStr">
        <is>
          <t>Outcome not related to interest</t>
        </is>
      </c>
      <c r="E1931" s="86" t="n"/>
      <c r="F1931" s="86" t="n"/>
    </row>
    <row r="1932" ht="16" customHeight="1" s="55">
      <c r="A1932" s="86" t="inlineStr">
        <is>
          <t>Hierarchical Pruning for Simplification of Convolutional Neural Networks in Diabetic Retinopathy Classification</t>
        </is>
      </c>
      <c r="B1932" s="86" t="inlineStr">
        <is>
          <t>M. Hajabdollahi; R. Esfandiarpoor; K. Najarian; N. Karimi; S. Samavi; S. M. R. Soroushmehr</t>
        </is>
      </c>
      <c r="C1932" s="86" t="n">
        <v>2019</v>
      </c>
      <c r="D1932" s="5" t="inlineStr">
        <is>
          <t>Outcome not related to interest</t>
        </is>
      </c>
      <c r="E1932" s="86" t="n"/>
      <c r="F1932" s="86" t="n"/>
    </row>
    <row r="1933" ht="16" customHeight="1" s="55">
      <c r="A1933" s="86" t="inlineStr">
        <is>
          <t>Automated Smartphone Based System for Diagnosis of Diabetic Retinopathy</t>
        </is>
      </c>
      <c r="B1933" s="86" t="inlineStr">
        <is>
          <t>M. T. Hagos; S. Kant; S. A. Bala</t>
        </is>
      </c>
      <c r="C1933" s="86" t="n">
        <v>2019</v>
      </c>
      <c r="D1933" s="5" t="inlineStr">
        <is>
          <t>Outcome not related to interest</t>
        </is>
      </c>
      <c r="E1933" s="86" t="n"/>
      <c r="F1933" s="86" t="n"/>
    </row>
    <row r="1934" ht="16" customHeight="1" s="55">
      <c r="A1934" s="86" t="inlineStr">
        <is>
          <t>Classification of Lesions in Retinal Fundus Images for Diabetic Retinopathy Using Transfer Learning</t>
        </is>
      </c>
      <c r="B1934" s="86" t="inlineStr">
        <is>
          <t>S. Gupta; A. Panwar; S. Goel; A. Mittal; R. Nijhawan; A. K. Singh</t>
        </is>
      </c>
      <c r="C1934" s="86" t="n">
        <v>2019</v>
      </c>
      <c r="D1934" s="5" t="inlineStr">
        <is>
          <t>Outcome not related to interest</t>
        </is>
      </c>
      <c r="E1934" s="86" t="n"/>
      <c r="F1934" s="86" t="n"/>
    </row>
    <row r="1935" ht="16" customHeight="1" s="55">
      <c r="A1935" s="86" t="inlineStr">
        <is>
          <t>Eminent identification and classification of Diabetic Retinopathy in clinical fundus images using Probabilistic Neural Network</t>
        </is>
      </c>
      <c r="B1935" s="86" t="inlineStr">
        <is>
          <t>V. Govindaraj; M. Balaji; T. a. Mohideen; S. a. F. J. mohideen</t>
        </is>
      </c>
      <c r="C1935" s="86" t="n">
        <v>2019</v>
      </c>
      <c r="D1935" s="5" t="inlineStr">
        <is>
          <t>Outcome not related to interest</t>
        </is>
      </c>
      <c r="E1935" s="86" t="n"/>
      <c r="F1935" s="86" t="n"/>
    </row>
    <row r="1936" ht="16" customHeight="1" s="55">
      <c r="A1936" s="86" t="inlineStr">
        <is>
          <t>Automated Diagnosis of Diabetic Retinopathy using image processing for non-invasive biomedical application</t>
        </is>
      </c>
      <c r="B1936" s="86" t="inlineStr">
        <is>
          <t>A. S. Gautam; S. K. Jana; M. P. Dutta</t>
        </is>
      </c>
      <c r="C1936" s="86" t="n">
        <v>2019</v>
      </c>
      <c r="D1936" s="5" t="inlineStr">
        <is>
          <t>Outcome not related to interest</t>
        </is>
      </c>
      <c r="E1936" s="86" t="n"/>
      <c r="F1936" s="86" t="n"/>
    </row>
    <row r="1937" ht="16" customHeight="1" s="55">
      <c r="A1937" s="86" t="inlineStr">
        <is>
          <t>Diagnosis of Diabetic Retinopathy Using Deep Neural Networks</t>
        </is>
      </c>
      <c r="B1937" s="86" t="inlineStr">
        <is>
          <t>Z. Gao; J. Li; J. Guo; Y. Chen; Z. Yi; J. Zhong</t>
        </is>
      </c>
      <c r="C1937" s="86" t="n">
        <v>2019</v>
      </c>
      <c r="D1937" s="5" t="inlineStr">
        <is>
          <t>Outcome not related to interest</t>
        </is>
      </c>
      <c r="E1937" s="86" t="n"/>
      <c r="F1937" s="86" t="n"/>
    </row>
    <row r="1938" ht="16" customHeight="1" s="55">
      <c r="A1938" s="86" t="inlineStr">
        <is>
          <t>Artificial Neural Network as Ensemble Technique Fuser for Improving Classification Accuracy</t>
        </is>
      </c>
      <c r="B1938" s="86" t="inlineStr">
        <is>
          <t>M. Elnahas; M. Hussein; A. Keshk</t>
        </is>
      </c>
      <c r="C1938" s="86" t="n">
        <v>2019</v>
      </c>
      <c r="D1938" s="5" t="inlineStr">
        <is>
          <t>Outcome not related to interest</t>
        </is>
      </c>
      <c r="E1938" s="86" t="n"/>
      <c r="F1938" s="86" t="n"/>
    </row>
    <row r="1939" ht="16" customHeight="1" s="55">
      <c r="A1939" s="86" t="inlineStr">
        <is>
          <t>Classification of diabetic retinopathy based on DSIRNet</t>
        </is>
      </c>
      <c r="B1939" s="86" t="inlineStr">
        <is>
          <t>C. W. Dong; D. Xia; J. Jin; Z. Yang</t>
        </is>
      </c>
      <c r="C1939" s="86" t="n">
        <v>2019</v>
      </c>
      <c r="D1939" s="5" t="inlineStr">
        <is>
          <t>Outcome not related to interest</t>
        </is>
      </c>
      <c r="E1939" s="86" t="n"/>
      <c r="F1939" s="86" t="n"/>
    </row>
    <row r="1940" ht="16" customHeight="1" s="55">
      <c r="A1940" s="86" t="inlineStr">
        <is>
          <t>Deep Diagnosis of Non-Proliferative Diabetic Retinopathy in a Mobile System</t>
        </is>
      </c>
      <c r="B1940" s="86" t="inlineStr">
        <is>
          <t>B. Dizdaroğlu; B. Çorbacioğlu</t>
        </is>
      </c>
      <c r="C1940" s="86" t="n">
        <v>2019</v>
      </c>
      <c r="D1940" s="5" t="inlineStr">
        <is>
          <t>Outcome not related to interest</t>
        </is>
      </c>
      <c r="E1940" s="86" t="n"/>
      <c r="F1940" s="86" t="n"/>
    </row>
    <row r="1941" ht="16" customHeight="1" s="55">
      <c r="A1941" s="86" t="inlineStr">
        <is>
          <t>Deep Learning Based Method for Computer Aided Diagnosis of Diabetic Retinopathy</t>
        </is>
      </c>
      <c r="B1941" s="86" t="inlineStr">
        <is>
          <t>O. Dekhil; A. Naglah; M. Shaban; M. Ghazal; F. Taher; A. Elbaz</t>
        </is>
      </c>
      <c r="C1941" s="86" t="n">
        <v>2019</v>
      </c>
      <c r="D1941" s="5" t="inlineStr">
        <is>
          <t>Outcome not related to interest</t>
        </is>
      </c>
      <c r="E1941" s="86" t="n"/>
      <c r="F1941" s="86" t="n"/>
    </row>
    <row r="1942" ht="16" customHeight="1" s="55">
      <c r="A1942" s="86" t="inlineStr">
        <is>
          <t>Classification of Retinal Diseases Using Transfer Learning Approach</t>
        </is>
      </c>
      <c r="B1942" s="86" t="inlineStr">
        <is>
          <t>A. Das; R. Giri; G. Chourasia; A. A. Bala</t>
        </is>
      </c>
      <c r="C1942" s="86" t="n">
        <v>2019</v>
      </c>
      <c r="D1942" s="5" t="inlineStr">
        <is>
          <t>Outcome not related to interest</t>
        </is>
      </c>
      <c r="E1942" s="86" t="n"/>
      <c r="F1942" s="86" t="n"/>
    </row>
    <row r="1943" ht="16" customHeight="1" s="55">
      <c r="A1943" s="86" t="inlineStr">
        <is>
          <t>EyeWeS: Weakly Supervised Pre-Trained Convolutional Neural Networks for Diabetic Retinopathy Detection</t>
        </is>
      </c>
      <c r="B1943" s="86" t="inlineStr">
        <is>
          <t>P. Costa; T. Araújo; G. Aresta; A. Galdran; A. M. Mendonça; A. Smailagic; A. Campilho</t>
        </is>
      </c>
      <c r="C1943" s="86" t="n">
        <v>2019</v>
      </c>
      <c r="D1943" s="5" t="inlineStr">
        <is>
          <t>Outcome not related to interest</t>
        </is>
      </c>
      <c r="E1943" s="86" t="n"/>
      <c r="F1943" s="86" t="n"/>
    </row>
    <row r="1944" ht="16" customHeight="1" s="55">
      <c r="A1944" s="86" t="inlineStr">
        <is>
          <t>Diabetic Retinopathy Classification with a Light Convolutional Neural Network</t>
        </is>
      </c>
      <c r="B1944" s="86" t="inlineStr">
        <is>
          <t>M. S. Chowdhury; F. R. Taimy; N. Sikder; A. A. Nahid</t>
        </is>
      </c>
      <c r="C1944" s="86" t="n">
        <v>2019</v>
      </c>
      <c r="D1944" s="5" t="inlineStr">
        <is>
          <t>Outcome not related to interest</t>
        </is>
      </c>
      <c r="E1944" s="86" t="n"/>
      <c r="F1944" s="86" t="n"/>
    </row>
    <row r="1945" ht="16" customHeight="1" s="55">
      <c r="A1945" s="86" t="inlineStr">
        <is>
          <t>Case Based Reasoning in Retina Abnormalities Detection</t>
        </is>
      </c>
      <c r="B1945" s="86" t="inlineStr">
        <is>
          <t>A. R. Chowdhury; S. Banerjee</t>
        </is>
      </c>
      <c r="C1945" s="86" t="n">
        <v>2019</v>
      </c>
      <c r="D1945" s="5" t="inlineStr">
        <is>
          <t>Outcome not related to interest</t>
        </is>
      </c>
      <c r="E1945" s="86" t="n"/>
      <c r="F1945" s="86" t="n"/>
    </row>
    <row r="1946" ht="16" customHeight="1" s="55">
      <c r="A1946" s="86" t="inlineStr">
        <is>
          <t>Mini Lesions Detection on Diabetic Retinopathy Images via Large Scale CNN Features</t>
        </is>
      </c>
      <c r="B1946" s="86" t="inlineStr">
        <is>
          <t>Q. Chen; X. Sun; N. Zhang; Y. Cao; B. Liu</t>
        </is>
      </c>
      <c r="C1946" s="86" t="n">
        <v>2019</v>
      </c>
      <c r="D1946" s="5" t="inlineStr">
        <is>
          <t>Outcome not related to interest</t>
        </is>
      </c>
      <c r="E1946" s="86" t="n"/>
      <c r="F1946" s="86" t="n"/>
    </row>
    <row r="1947" ht="16" customHeight="1" s="55">
      <c r="A1947" s="86" t="inlineStr">
        <is>
          <t>Deep Learning Based Data Augmentation and Classification for Limited Medical Data Learning</t>
        </is>
      </c>
      <c r="B1947" s="86" t="inlineStr">
        <is>
          <t>H. Chen; P. Cao</t>
        </is>
      </c>
      <c r="C1947" s="86" t="n">
        <v>2019</v>
      </c>
      <c r="D1947" s="5" t="inlineStr">
        <is>
          <t>Outcome not related to interest</t>
        </is>
      </c>
      <c r="E1947" s="86" t="n"/>
      <c r="F1947" s="86" t="n"/>
    </row>
    <row r="1948" ht="16" customHeight="1" s="55">
      <c r="A1948" s="86" t="inlineStr">
        <is>
          <t>DR-NET: A Stacked Convolutional Classifier Framework for Detection of Diabetic Retinopathy</t>
        </is>
      </c>
      <c r="B1948" s="86" t="inlineStr">
        <is>
          <t>S. N. Chakravarthy; H. Singhal; N. Y. R.P</t>
        </is>
      </c>
      <c r="C1948" s="86" t="n">
        <v>2019</v>
      </c>
      <c r="D1948" s="5" t="inlineStr">
        <is>
          <t>Outcome not related to interest</t>
        </is>
      </c>
      <c r="E1948" s="86" t="n"/>
      <c r="F1948" s="86" t="n"/>
    </row>
    <row r="1949" ht="16" customHeight="1" s="55">
      <c r="A1949" s="86" t="inlineStr">
        <is>
          <t>An Offbeat Technique for Diabetic Retinopathy Detection using Computer Vision</t>
        </is>
      </c>
      <c r="B1949" s="86" t="inlineStr">
        <is>
          <t>N. Chakrabarty; S. Chatterjee</t>
        </is>
      </c>
      <c r="C1949" s="86" t="n">
        <v>2019</v>
      </c>
      <c r="D1949" s="5" t="inlineStr">
        <is>
          <t>Outcome not related to interest</t>
        </is>
      </c>
      <c r="E1949" s="86" t="n"/>
      <c r="F1949" s="86" t="n"/>
    </row>
    <row r="1950" ht="16" customHeight="1" s="55">
      <c r="A1950" s="86" t="inlineStr">
        <is>
          <t>Diabetic Retinopathy Detection from Eye Fundus Images with Parameter Tuning for Convolutional Neural Networks</t>
        </is>
      </c>
      <c r="B1950" s="86" t="inlineStr">
        <is>
          <t>C. Bhardwaj; S. Jain; M. Sood</t>
        </is>
      </c>
      <c r="C1950" s="86" t="n">
        <v>2019</v>
      </c>
      <c r="D1950" s="5" t="inlineStr">
        <is>
          <t>Outcome not related to interest</t>
        </is>
      </c>
      <c r="E1950" s="86" t="n"/>
      <c r="F1950" s="86" t="n"/>
    </row>
    <row r="1951" ht="16" customHeight="1" s="55">
      <c r="A1951" s="86" t="inlineStr">
        <is>
          <t>Algorithmic Analysis of Distance-based Monarch Butterfly oriented Deep Belief Network for Diabetic Retinopathy</t>
        </is>
      </c>
      <c r="B1951" s="86" t="inlineStr">
        <is>
          <t>S. S. Basha; K. V. Ramanaiah</t>
        </is>
      </c>
      <c r="C1951" s="86" t="n">
        <v>2019</v>
      </c>
      <c r="D1951" s="5" t="inlineStr">
        <is>
          <t>Outcome not related to interest</t>
        </is>
      </c>
      <c r="E1951" s="86" t="n"/>
      <c r="F1951" s="86" t="n"/>
    </row>
    <row r="1952" ht="16" customHeight="1" s="55">
      <c r="A1952" s="86" t="inlineStr">
        <is>
          <t>Decision tree CART algorithm for diabetic retinopathy classification</t>
        </is>
      </c>
      <c r="B1952" s="86" t="inlineStr">
        <is>
          <t>E. Z. Aziza; L. M. E. Amine; M. Mohamed; B. Abdelhafid</t>
        </is>
      </c>
      <c r="C1952" s="86" t="n">
        <v>2019</v>
      </c>
      <c r="D1952" s="5" t="inlineStr">
        <is>
          <t>Outcome not related to interest</t>
        </is>
      </c>
      <c r="E1952" s="86" t="n"/>
      <c r="F1952" s="86" t="n"/>
    </row>
    <row r="1953" ht="16" customHeight="1" s="55">
      <c r="A1953" s="86" t="inlineStr">
        <is>
          <t>The Impact of Features Selection on Performance of Artificial Neural Network in Diagnosis of Diabetic Retinopathy</t>
        </is>
      </c>
      <c r="B1953" s="86" t="inlineStr">
        <is>
          <t>T. Astuti; R. Wahyudi; U. Hasanah; B. P. Hartato; Z. Rifai</t>
        </is>
      </c>
      <c r="C1953" s="86" t="n">
        <v>2019</v>
      </c>
      <c r="D1953" s="5" t="inlineStr">
        <is>
          <t>Outcome not related to interest</t>
        </is>
      </c>
      <c r="E1953" s="86" t="n"/>
      <c r="F1953" s="86" t="n"/>
    </row>
    <row r="1954" ht="16" customHeight="1" s="55">
      <c r="A1954" s="86" t="inlineStr">
        <is>
          <t>Deep Neural Network for Diabetic Retinopathy Detection</t>
        </is>
      </c>
      <c r="B1954" s="86" t="inlineStr">
        <is>
          <t>M. Arora; M. Pandey</t>
        </is>
      </c>
      <c r="C1954" s="86" t="n">
        <v>2019</v>
      </c>
      <c r="D1954" s="5" t="inlineStr">
        <is>
          <t>Outcome not related to interest</t>
        </is>
      </c>
      <c r="E1954" s="86" t="n"/>
      <c r="F1954" s="86" t="n"/>
    </row>
    <row r="1955" ht="16" customHeight="1" s="55">
      <c r="A1955" s="86" t="inlineStr">
        <is>
          <t>Automatic Fundus Image Segmentation for Diabetic Retinopathy Diagnosis by Multiple Modified U-Nets and SegNets</t>
        </is>
      </c>
      <c r="B1955" s="86" t="inlineStr">
        <is>
          <t>S. Ananda; D. Kitahara; A. Hirabayashi; K. R. U. K. Reddy</t>
        </is>
      </c>
      <c r="C1955" s="86" t="n">
        <v>2019</v>
      </c>
      <c r="D1955" s="5" t="inlineStr">
        <is>
          <t>Outcome not related to interest</t>
        </is>
      </c>
      <c r="E1955" s="86" t="n"/>
      <c r="F1955" s="86" t="n"/>
    </row>
    <row r="1956" ht="16" customHeight="1" s="55">
      <c r="A1956" s="86" t="inlineStr">
        <is>
          <t>Deep Learning for Weak Supervision of Diabetic Retinopathy Abnormalities</t>
        </is>
      </c>
      <c r="B1956" s="86" t="inlineStr">
        <is>
          <t>M. Ahmad; N. Kasukurthi; H. Pande</t>
        </is>
      </c>
      <c r="C1956" s="86" t="n">
        <v>2019</v>
      </c>
      <c r="D1956" s="5" t="inlineStr">
        <is>
          <t>Outcome not related to interest</t>
        </is>
      </c>
      <c r="E1956" s="86" t="n"/>
      <c r="F1956" s="86" t="n"/>
    </row>
    <row r="1957" ht="16" customHeight="1" s="55">
      <c r="A1957" s="86" t="inlineStr">
        <is>
          <t>Multi-Cell Multi-Task Convolutional Neural Networks for Diabetic Retinopathy Grading</t>
        </is>
      </c>
      <c r="B1957" s="86" t="inlineStr">
        <is>
          <t>K. Zhou; Z. Gu; W. Liu; W. Luo; J. Cheng; S. Gao; J. Liu</t>
        </is>
      </c>
      <c r="C1957" s="86" t="n">
        <v>2018</v>
      </c>
      <c r="D1957" s="5" t="inlineStr">
        <is>
          <t>Outcome not related to interest</t>
        </is>
      </c>
      <c r="E1957" s="86" t="n"/>
      <c r="F1957" s="86" t="n"/>
    </row>
    <row r="1958" ht="16" customHeight="1" s="55">
      <c r="A1958" s="86" t="inlineStr">
        <is>
          <t>Classification of retinal images with deep learning for early detection of diabetic retinopathy disease</t>
        </is>
      </c>
      <c r="B1958" s="86" t="inlineStr">
        <is>
          <t>N. Yalçin; S. Alver; N. Uluhatun</t>
        </is>
      </c>
      <c r="C1958" s="86" t="n">
        <v>2018</v>
      </c>
      <c r="D1958" s="5" t="inlineStr">
        <is>
          <t>Outcome not related to interest</t>
        </is>
      </c>
      <c r="E1958" s="86" t="n"/>
      <c r="F1958" s="86" t="n"/>
    </row>
    <row r="1959" ht="16" customHeight="1" s="55">
      <c r="A1959" s="86" t="inlineStr">
        <is>
          <t>Diabetic Retinopathy Stage Classification Using Convolutional Neural Networks</t>
        </is>
      </c>
      <c r="B1959" s="86" t="inlineStr">
        <is>
          <t>X. Wang; Y. Lu; Y. Wang; W. B. Chen</t>
        </is>
      </c>
      <c r="C1959" s="86" t="n">
        <v>2018</v>
      </c>
      <c r="D1959" s="5" t="inlineStr">
        <is>
          <t>Outcome not related to interest</t>
        </is>
      </c>
      <c r="E1959" s="86" t="n"/>
      <c r="F1959" s="86" t="n"/>
    </row>
    <row r="1960" ht="16" customHeight="1" s="55">
      <c r="A1960" s="86" t="inlineStr">
        <is>
          <t>Mobile assisted diabetic retinopathy detection using deep neural network</t>
        </is>
      </c>
      <c r="B1960" s="86" t="inlineStr">
        <is>
          <t>S. Suriyal; C. Druzgalski; K. Gautam</t>
        </is>
      </c>
      <c r="C1960" s="86" t="n">
        <v>2018</v>
      </c>
      <c r="D1960" s="5" t="inlineStr">
        <is>
          <t>Outcome not related to interest</t>
        </is>
      </c>
      <c r="E1960" s="86" t="n"/>
      <c r="F1960" s="86" t="n"/>
    </row>
    <row r="1961" ht="16" customHeight="1" s="55">
      <c r="A1961" s="86" t="inlineStr">
        <is>
          <t>Severity level detection of diabetic retinopathy using ELM classifier</t>
        </is>
      </c>
      <c r="B1961" s="86" t="inlineStr">
        <is>
          <t>M. Smitha; P. K. Kodoth</t>
        </is>
      </c>
      <c r="C1961" s="86" t="n">
        <v>2018</v>
      </c>
      <c r="D1961" s="5" t="inlineStr">
        <is>
          <t>Outcome not related to interest</t>
        </is>
      </c>
      <c r="E1961" s="86" t="n"/>
      <c r="F1961" s="86" t="n"/>
    </row>
    <row r="1962" ht="16" customHeight="1" s="55">
      <c r="A1962" s="86" t="inlineStr">
        <is>
          <t>MedAL: Accurate and Robust Deep Active Learning for Medical Image Analysis</t>
        </is>
      </c>
      <c r="B1962" s="86" t="inlineStr">
        <is>
          <t>A. Smailagic; P. Costa; H. Y. Noh; D. Walawalkar; K. Khandelwal; A. Galdran; M. Mirshekari; J. Fagert; S. Xu; P. Zhang; A. Campilho</t>
        </is>
      </c>
      <c r="C1962" s="86" t="n">
        <v>2018</v>
      </c>
      <c r="D1962" s="5" t="inlineStr">
        <is>
          <t>Outcome not related to interest</t>
        </is>
      </c>
      <c r="E1962" s="86" t="n"/>
      <c r="F1962" s="86" t="n"/>
    </row>
    <row r="1963" ht="16" customHeight="1" s="55">
      <c r="A1963" s="86" t="inlineStr">
        <is>
          <t>Susceptibility to misdiagnosis of adversarial images by deep learning based retinal image analysis algorithms</t>
        </is>
      </c>
      <c r="B1963" s="86" t="inlineStr">
        <is>
          <t>A. Shah; S. Lynch; M. Niemeijer; R. Amelon; W. Clarida; J. Folk; S. Russell; X. Wu; M. D. Abràmoff</t>
        </is>
      </c>
      <c r="C1963" s="86" t="n">
        <v>2018</v>
      </c>
      <c r="D1963" s="5" t="inlineStr">
        <is>
          <t>Outcome not related to interest</t>
        </is>
      </c>
      <c r="E1963" s="86" t="n"/>
      <c r="F1963" s="86" t="n"/>
    </row>
    <row r="1964" ht="16" customHeight="1" s="55">
      <c r="A1964" s="86" t="inlineStr">
        <is>
          <t>Automated Staging of Diabetic Retinopathy Using a 2D Convolutional Neural Network</t>
        </is>
      </c>
      <c r="B1964" s="86" t="inlineStr">
        <is>
          <t>M. Shaban; Z. Ogur; A. Shalaby; A. Mahmoud; M. Ghazal; H. Sandhu; H. Kaplan; A. El-Baz</t>
        </is>
      </c>
      <c r="C1964" s="86" t="n">
        <v>2018</v>
      </c>
      <c r="D1964" s="5" t="inlineStr">
        <is>
          <t>Outcome not related to interest</t>
        </is>
      </c>
      <c r="E1964" s="86" t="n"/>
      <c r="F1964" s="86" t="n"/>
    </row>
    <row r="1965" ht="16" customHeight="1" s="55">
      <c r="A1965" s="86" t="inlineStr">
        <is>
          <t>Classification of Diabetic Retinopathy Stages using Histogram of Oriented Gradients and Shallow Learning</t>
        </is>
      </c>
      <c r="B1965" s="86" t="inlineStr">
        <is>
          <t>D. Sarwinda; T. Siswantining; A. Bustamam</t>
        </is>
      </c>
      <c r="C1965" s="86" t="n">
        <v>2018</v>
      </c>
      <c r="D1965" s="5" t="inlineStr">
        <is>
          <t>Outcome not related to interest</t>
        </is>
      </c>
      <c r="E1965" s="86" t="n"/>
      <c r="F1965" s="86" t="n"/>
    </row>
    <row r="1966" ht="16" customHeight="1" s="55">
      <c r="A1966" s="86" t="inlineStr">
        <is>
          <t>Diabetic retinopathy fundus image classification using discrete wavelet transform</t>
        </is>
      </c>
      <c r="B1966" s="86" t="inlineStr">
        <is>
          <t>M. u. Rehman; Z. Abbas; S. H. Khan; S. H. Ghani; Najam</t>
        </is>
      </c>
      <c r="C1966" s="86" t="n">
        <v>2018</v>
      </c>
      <c r="D1966" s="5" t="inlineStr">
        <is>
          <t>Outcome not related to interest</t>
        </is>
      </c>
      <c r="E1966" s="86" t="n"/>
      <c r="F1966" s="86" t="n"/>
    </row>
    <row r="1967" ht="16" customHeight="1" s="55">
      <c r="A1967" s="86" t="inlineStr">
        <is>
          <t>Retinal based Automated Healthcare Framework via Deep Learning</t>
        </is>
      </c>
      <c r="B1967" s="86" t="inlineStr">
        <is>
          <t>P. D. R; G. Rakshitha; I. Juvanna; D. V. Subramanian</t>
        </is>
      </c>
      <c r="C1967" s="86" t="n">
        <v>2018</v>
      </c>
      <c r="D1967" s="5" t="inlineStr">
        <is>
          <t>Outcome not related to interest</t>
        </is>
      </c>
      <c r="E1967" s="86" t="n"/>
      <c r="F1967" s="86" t="n"/>
    </row>
    <row r="1968" ht="16" customHeight="1" s="55">
      <c r="A1968" s="86" t="inlineStr">
        <is>
          <t>An Automated Approach for Diagnosing Diabetic Retinopathy in Retinal Fundus Images</t>
        </is>
      </c>
      <c r="B1968" s="86" t="inlineStr">
        <is>
          <t>V. Prasannan; C. S. Kumar; V. Deepa</t>
        </is>
      </c>
      <c r="C1968" s="86" t="n">
        <v>2018</v>
      </c>
      <c r="D1968" s="5" t="inlineStr">
        <is>
          <t>Outcome not related to interest</t>
        </is>
      </c>
      <c r="E1968" s="86" t="n"/>
      <c r="F1968" s="86" t="n"/>
    </row>
    <row r="1969" ht="16" customHeight="1" s="55">
      <c r="A1969" s="86" t="inlineStr">
        <is>
          <t>Diagnogsis of Diabetic Retinopathy Using Image Processing and Convolutional Neural Network</t>
        </is>
      </c>
      <c r="B1969" s="86" t="inlineStr">
        <is>
          <t>D. Ö; U. Köse</t>
        </is>
      </c>
      <c r="C1969" s="86" t="n">
        <v>2018</v>
      </c>
      <c r="D1969" s="5" t="inlineStr">
        <is>
          <t>Outcome not related to interest</t>
        </is>
      </c>
      <c r="E1969" s="86" t="n"/>
      <c r="F1969" s="86" t="n"/>
    </row>
    <row r="1970" ht="16" customHeight="1" s="55">
      <c r="A1970" s="86" t="inlineStr">
        <is>
          <t>Impact of Convolutional Neural Network Input Parameters on Classification Performance</t>
        </is>
      </c>
      <c r="B1970" s="86" t="inlineStr">
        <is>
          <t>S. Maitra; R. K. Ojha; K. Ghosh</t>
        </is>
      </c>
      <c r="C1970" s="86" t="n">
        <v>2018</v>
      </c>
      <c r="D1970" s="5" t="inlineStr">
        <is>
          <t>Outcome not related to interest</t>
        </is>
      </c>
      <c r="E1970" s="86" t="n"/>
      <c r="F1970" s="86" t="n"/>
    </row>
    <row r="1971" ht="16" customHeight="1" s="55">
      <c r="A1971" s="86" t="inlineStr">
        <is>
          <t>Multilevel Classification Model for Diabetic Retinopathy</t>
        </is>
      </c>
      <c r="B1971" s="86" t="inlineStr">
        <is>
          <t>K. S. Lotlekar; S. D. Desai</t>
        </is>
      </c>
      <c r="C1971" s="86" t="n">
        <v>2018</v>
      </c>
      <c r="D1971" s="5" t="inlineStr">
        <is>
          <t>Outcome not related to interest</t>
        </is>
      </c>
      <c r="E1971" s="86" t="n"/>
      <c r="F1971" s="86" t="n"/>
    </row>
    <row r="1972" ht="16" customHeight="1" s="55">
      <c r="A1972" s="86" t="inlineStr">
        <is>
          <t>Vessel Recognition of Retinal Fundus Images Based on Fully Convolutional Network</t>
        </is>
      </c>
      <c r="B1972" s="86" t="inlineStr">
        <is>
          <t>J. Li; Q. Hu; A. Imran; L. Zhang; J. j. Yang; Q. Wang</t>
        </is>
      </c>
      <c r="C1972" s="86" t="n">
        <v>2018</v>
      </c>
      <c r="D1972" s="5" t="inlineStr">
        <is>
          <t>Outcome not related to interest</t>
        </is>
      </c>
      <c r="E1972" s="86" t="n"/>
      <c r="F1972" s="86" t="n"/>
    </row>
    <row r="1973" ht="16" customHeight="1" s="55">
      <c r="A1973" s="86" t="inlineStr">
        <is>
          <t>Deep CNN based decision support system for detection and assessing the stage of diabetic retinopathy</t>
        </is>
      </c>
      <c r="B1973" s="86" t="inlineStr">
        <is>
          <t>A. Kwasigroch; B. Jarzembinski; M. Grochowski</t>
        </is>
      </c>
      <c r="C1973" s="86" t="n">
        <v>2018</v>
      </c>
      <c r="D1973" s="5" t="inlineStr">
        <is>
          <t>Outcome not related to interest</t>
        </is>
      </c>
      <c r="E1973" s="86" t="n"/>
      <c r="F1973" s="86" t="n"/>
    </row>
    <row r="1974" ht="16" customHeight="1" s="55">
      <c r="A1974" s="86" t="inlineStr">
        <is>
          <t>A Transfer Learning Approach for Diabetic Retinopathy Classification Using Deep Convolutional Neural Networks</t>
        </is>
      </c>
      <c r="B1974" s="86" t="inlineStr">
        <is>
          <t>A. S. Krishnan; D. C. R; V. Bhat; P. B. Ramteke; S. G. Koolagudi</t>
        </is>
      </c>
      <c r="C1974" s="86" t="n">
        <v>2018</v>
      </c>
      <c r="D1974" s="5" t="inlineStr">
        <is>
          <t>Outcome not related to interest</t>
        </is>
      </c>
      <c r="E1974" s="86" t="n"/>
      <c r="F1974" s="86" t="n"/>
    </row>
    <row r="1975" ht="16" customHeight="1" s="55">
      <c r="A1975" s="86" t="inlineStr">
        <is>
          <t>Processing Retinal Images to Discover Diseases</t>
        </is>
      </c>
      <c r="B1975" s="86" t="inlineStr">
        <is>
          <t>A. Kazi; M. Ajmera; P. Sukhija; K. Devadkar</t>
        </is>
      </c>
      <c r="C1975" s="86" t="n">
        <v>2018</v>
      </c>
      <c r="D1975" s="5" t="inlineStr">
        <is>
          <t>Outcome not related to interest</t>
        </is>
      </c>
      <c r="E1975" s="86" t="n"/>
      <c r="F1975" s="86" t="n"/>
    </row>
    <row r="1976" ht="16" customHeight="1" s="55">
      <c r="A1976" s="86" t="inlineStr">
        <is>
          <t>Detection of Diabetic Retinopathy Images Using a Fully Convolutional Neural Network</t>
        </is>
      </c>
      <c r="B1976" s="86" t="inlineStr">
        <is>
          <t>M. Jena; S. P. Mishra; D. Mishra</t>
        </is>
      </c>
      <c r="C1976" s="86" t="n">
        <v>2018</v>
      </c>
      <c r="D1976" s="5" t="inlineStr">
        <is>
          <t>Outcome not related to interest</t>
        </is>
      </c>
      <c r="E1976" s="86" t="n"/>
      <c r="F1976" s="86" t="n"/>
    </row>
    <row r="1977" ht="16" customHeight="1" s="55">
      <c r="A1977" s="86" t="inlineStr">
        <is>
          <t>Retinal Eye Disease Detection Using Deep Learning</t>
        </is>
      </c>
      <c r="B1977" s="86" t="inlineStr">
        <is>
          <t>L. Jain; H. V. S. Murthy; C. Patel; D. Bansal</t>
        </is>
      </c>
      <c r="C1977" s="86" t="n">
        <v>2018</v>
      </c>
      <c r="D1977" s="5" t="inlineStr">
        <is>
          <t>Outcome not related to interest</t>
        </is>
      </c>
      <c r="E1977" s="86" t="n"/>
      <c r="F1977" s="86" t="n"/>
    </row>
    <row r="1978" ht="16" customHeight="1" s="55">
      <c r="A1978" s="86" t="inlineStr">
        <is>
          <t>Fusion of Deep Convolutional Neural Networks for Microaneurysm Detection in Color Fundus Images</t>
        </is>
      </c>
      <c r="B1978" s="86" t="inlineStr">
        <is>
          <t>B. Harangi; J. Toth; A. Hajdu</t>
        </is>
      </c>
      <c r="C1978" s="86" t="n">
        <v>2018</v>
      </c>
      <c r="D1978" s="5" t="inlineStr">
        <is>
          <t>Outcome not related to interest</t>
        </is>
      </c>
      <c r="E1978" s="86" t="n"/>
      <c r="F1978" s="86" t="n"/>
    </row>
    <row r="1979" ht="16" customHeight="1" s="55">
      <c r="A1979" s="86" t="inlineStr">
        <is>
          <t>A Weakly-Supervised Framework for Interpretable Diabetic Retinopathy Detection on Retinal Images</t>
        </is>
      </c>
      <c r="B1979" s="86" t="inlineStr">
        <is>
          <t>P. Costa; A. Galdran; A. Smailagic; A. Campilho</t>
        </is>
      </c>
      <c r="C1979" s="86" t="n">
        <v>2018</v>
      </c>
      <c r="D1979" s="5" t="inlineStr">
        <is>
          <t>Outcome not related to interest</t>
        </is>
      </c>
      <c r="E1979" s="86" t="n"/>
      <c r="F1979" s="86" t="n"/>
    </row>
    <row r="1980" ht="16" customHeight="1" s="55">
      <c r="A1980" s="86" t="inlineStr">
        <is>
          <t>End-to-End Adversarial Retinal Image Synthesis</t>
        </is>
      </c>
      <c r="B1980" s="86" t="inlineStr">
        <is>
          <t>P. Costa; A. Galdran; M. I. Meyer; M. Niemeijer; M. Abràmoff; A. M. Mendonça; A. Campilho</t>
        </is>
      </c>
      <c r="C1980" s="86" t="n">
        <v>2018</v>
      </c>
      <c r="D1980" s="5" t="inlineStr">
        <is>
          <t>Outcome not related to interest</t>
        </is>
      </c>
      <c r="E1980" s="86" t="n"/>
      <c r="F1980" s="86" t="n"/>
    </row>
    <row r="1981" ht="16" customHeight="1" s="55">
      <c r="A1981" s="86" t="inlineStr">
        <is>
          <t>Diabetic Retinopathy Detection Using Machine Learning and Texture Features</t>
        </is>
      </c>
      <c r="B1981" s="86" t="inlineStr">
        <is>
          <t>M. Chetoui; M. A. Akhloufi; M. Kardouchi</t>
        </is>
      </c>
      <c r="C1981" s="86" t="n">
        <v>2018</v>
      </c>
      <c r="D1981" s="5" t="inlineStr">
        <is>
          <t>Outcome not related to interest</t>
        </is>
      </c>
      <c r="E1981" s="86" t="n"/>
      <c r="F1981" s="86" t="n"/>
    </row>
    <row r="1982" ht="16" customHeight="1" s="55">
      <c r="A1982" s="86" t="inlineStr">
        <is>
          <t>Detection of Diabetic Retinopathy using Deep Neural Network</t>
        </is>
      </c>
      <c r="B1982" s="86" t="inlineStr">
        <is>
          <t>H. Chen; X. Zeng; Y. Luo; W. Ye</t>
        </is>
      </c>
      <c r="C1982" s="86" t="n">
        <v>2018</v>
      </c>
      <c r="D1982" s="5" t="inlineStr">
        <is>
          <t>Outcome not related to interest</t>
        </is>
      </c>
      <c r="E1982" s="86" t="n"/>
      <c r="F1982" s="86" t="n"/>
    </row>
    <row r="1983" ht="16" customHeight="1" s="55">
      <c r="A1983" s="86" t="inlineStr">
        <is>
          <t>A Deep Learning Method for the detection of Diabetic Retinopathy</t>
        </is>
      </c>
      <c r="B1983" s="86" t="inlineStr">
        <is>
          <t>N. Chakrabarty</t>
        </is>
      </c>
      <c r="C1983" s="86" t="n">
        <v>2018</v>
      </c>
      <c r="D1983" s="5" t="inlineStr">
        <is>
          <t>Outcome not related to interest</t>
        </is>
      </c>
      <c r="E1983" s="86" t="n"/>
      <c r="F1983" s="86" t="n"/>
    </row>
    <row r="1984" ht="16" customHeight="1" s="55">
      <c r="A1984" s="86" t="inlineStr">
        <is>
          <t>The Power of Ensembles for Active Learning in Image Classification</t>
        </is>
      </c>
      <c r="B1984" s="86" t="inlineStr">
        <is>
          <t>W. H. Beluch; T. Genewein; A. Nurnberger; J. M. Kohler</t>
        </is>
      </c>
      <c r="C1984" s="86" t="n">
        <v>2018</v>
      </c>
      <c r="D1984" s="5" t="inlineStr">
        <is>
          <t>Outcome not related to interest</t>
        </is>
      </c>
      <c r="E1984" s="86" t="n"/>
      <c r="F1984" s="86" t="n"/>
    </row>
    <row r="1985" ht="16" customHeight="1" s="55">
      <c r="A1985" s="86" t="inlineStr">
        <is>
          <t>Automatic Detection of Exudates in Digital Color Fundus Images Using Superpixel Multi-Feature Classification</t>
        </is>
      </c>
      <c r="B1985" s="86" t="inlineStr">
        <is>
          <t>W. Zhou; C. Wu; Y. Yi; W. Du</t>
        </is>
      </c>
      <c r="C1985" s="86" t="n">
        <v>2017</v>
      </c>
      <c r="D1985" s="5" t="inlineStr">
        <is>
          <t>Outcome not related to interest</t>
        </is>
      </c>
      <c r="E1985" s="86" t="n"/>
      <c r="F1985" s="86" t="n"/>
    </row>
    <row r="1986" ht="16" customHeight="1" s="55">
      <c r="A1986" s="86" t="inlineStr">
        <is>
          <t>Diabetic retinopathy classification using deeply supervised ResNet</t>
        </is>
      </c>
      <c r="B1986" s="86" t="inlineStr">
        <is>
          <t>D. Zhang; W. Bu; X. Wu</t>
        </is>
      </c>
      <c r="C1986" s="86" t="n">
        <v>2017</v>
      </c>
      <c r="D1986" s="5" t="inlineStr">
        <is>
          <t>Outcome not related to interest</t>
        </is>
      </c>
      <c r="E1986" s="86" t="n"/>
      <c r="F1986" s="86" t="n"/>
    </row>
    <row r="1987" ht="16" customHeight="1" s="55">
      <c r="A1987" s="86" t="inlineStr">
        <is>
          <t>Generative caption for diabetic retinopathy images</t>
        </is>
      </c>
      <c r="B1987" s="86" t="inlineStr">
        <is>
          <t>L. Wu; C. Wan; Y. Wu; J. Liu</t>
        </is>
      </c>
      <c r="C1987" s="86" t="n">
        <v>2017</v>
      </c>
      <c r="D1987" s="5" t="inlineStr">
        <is>
          <t>Outcome not related to interest</t>
        </is>
      </c>
      <c r="E1987" s="86" t="n"/>
      <c r="F1987" s="86" t="n"/>
    </row>
    <row r="1988" ht="16" customHeight="1" s="55">
      <c r="A1988" s="86" t="inlineStr">
        <is>
          <t>Retinal area detection by using laser ophthalmoscope(LO)images to diagnose retinal diseases</t>
        </is>
      </c>
      <c r="B1988" s="86" t="inlineStr">
        <is>
          <t>D. Vijayalakshmi; N. RamaMurthy</t>
        </is>
      </c>
      <c r="C1988" s="86" t="n">
        <v>2017</v>
      </c>
      <c r="D1988" s="5" t="inlineStr">
        <is>
          <t>Outcome not related to interest</t>
        </is>
      </c>
      <c r="E1988" s="86" t="n"/>
      <c r="F1988" s="86" t="n"/>
    </row>
    <row r="1989" ht="16" customHeight="1" s="55">
      <c r="A1989" s="86" t="inlineStr">
        <is>
          <t>Retina disease classification based on colour fundus images using convolutional neural networks</t>
        </is>
      </c>
      <c r="B1989" s="86" t="inlineStr">
        <is>
          <t>B. K. Triwijoyo; Y. Heryadi; Lukas; A. S. Ahmad; B. S. Sabarguna; W. Budiharto; E. Abdurachman</t>
        </is>
      </c>
      <c r="C1989" s="86" t="n">
        <v>2017</v>
      </c>
      <c r="D1989" s="5" t="inlineStr">
        <is>
          <t>Outcome not related to interest</t>
        </is>
      </c>
      <c r="E1989" s="86" t="n"/>
      <c r="F1989" s="86" t="n"/>
    </row>
    <row r="1990" ht="16" customHeight="1" s="55">
      <c r="A1990" s="86" t="inlineStr">
        <is>
          <t>A modern screening approach for detection of diabetic retinopathy</t>
        </is>
      </c>
      <c r="B1990" s="86" t="inlineStr">
        <is>
          <t>S. D. Shirbahadurkar; V. M. Mane; D. V. Jadhav</t>
        </is>
      </c>
      <c r="C1990" s="86" t="n">
        <v>2017</v>
      </c>
      <c r="D1990" s="5" t="inlineStr">
        <is>
          <t>Outcome not related to interest</t>
        </is>
      </c>
      <c r="E1990" s="86" t="n"/>
      <c r="F1990" s="86" t="n"/>
    </row>
    <row r="1991" ht="16" customHeight="1" s="55">
      <c r="A1991" s="86" t="inlineStr">
        <is>
          <t>Residual convolutional neural network for diabetic retinopathy</t>
        </is>
      </c>
      <c r="B1991" s="86" t="inlineStr">
        <is>
          <t>S. i. Rufaida; M. I. Fanany</t>
        </is>
      </c>
      <c r="C1991" s="86" t="n">
        <v>2017</v>
      </c>
      <c r="D1991" s="5" t="inlineStr">
        <is>
          <t>Outcome not related to interest</t>
        </is>
      </c>
      <c r="E1991" s="86" t="n"/>
      <c r="F1991" s="86" t="n"/>
    </row>
    <row r="1992" ht="16" customHeight="1" s="55">
      <c r="A1992" s="86" t="inlineStr">
        <is>
          <t>Automatic Diabetic Retinopathy Detection Through Ensemble Classification Techniques Automated Diabetic Retionapthy Classification</t>
        </is>
      </c>
      <c r="B1992" s="86" t="inlineStr">
        <is>
          <t>R. G. Ramani; J. S. J; B. Lakshmi</t>
        </is>
      </c>
      <c r="C1992" s="86" t="n">
        <v>2017</v>
      </c>
      <c r="D1992" s="5" t="inlineStr">
        <is>
          <t>Outcome not related to interest</t>
        </is>
      </c>
      <c r="E1992" s="86" t="n"/>
      <c r="F1992" s="86" t="n"/>
    </row>
    <row r="1993" ht="16" customHeight="1" s="55">
      <c r="A1993" s="86" t="inlineStr">
        <is>
          <t>Severity grading of diabetic retinopathy using extreme learning machine</t>
        </is>
      </c>
      <c r="B1993" s="86" t="inlineStr">
        <is>
          <t>I. S. H. Punithavathi; P. G. Kumar</t>
        </is>
      </c>
      <c r="C1993" s="86" t="n">
        <v>2017</v>
      </c>
      <c r="D1993" s="5" t="inlineStr">
        <is>
          <t>Outcome not related to interest</t>
        </is>
      </c>
      <c r="E1993" s="86" t="n"/>
      <c r="F1993" s="86" t="n"/>
    </row>
    <row r="1994" ht="16" customHeight="1" s="55">
      <c r="A1994" s="86" t="inlineStr">
        <is>
          <t>Classification of diabetic retinopathy using textural features in retinal color fundus image</t>
        </is>
      </c>
      <c r="B1994" s="86" t="inlineStr">
        <is>
          <t>A. G. A. Padmanabha; M. A. Appaji; M. Prasad; H. Lu; S. Joshi</t>
        </is>
      </c>
      <c r="C1994" s="86" t="n">
        <v>2017</v>
      </c>
      <c r="D1994" s="5" t="inlineStr">
        <is>
          <t>Outcome not related to interest</t>
        </is>
      </c>
      <c r="E1994" s="86" t="n"/>
      <c r="F1994" s="86" t="n"/>
    </row>
    <row r="1995" ht="16" customHeight="1" s="55">
      <c r="A1995" s="86" t="inlineStr">
        <is>
          <t>Automatic diabetic retinopathy detection and classification system</t>
        </is>
      </c>
      <c r="B1995" s="86" t="inlineStr">
        <is>
          <t>Z. A. Omar; M. Hanafi; S. Mashohor; N. F. M. Mahfudz; M. Muna'im</t>
        </is>
      </c>
      <c r="C1995" s="86" t="n">
        <v>2017</v>
      </c>
      <c r="D1995" s="5" t="inlineStr">
        <is>
          <t>Outcome not related to interest</t>
        </is>
      </c>
      <c r="E1995" s="86" t="n"/>
      <c r="F1995" s="86" t="n"/>
    </row>
    <row r="1996" ht="16" customHeight="1" s="55">
      <c r="A1996" s="86" t="inlineStr">
        <is>
          <t>Multi-label learning model for improving retinal image classification in diabetic retinopathy</t>
        </is>
      </c>
      <c r="B1996" s="86" t="inlineStr">
        <is>
          <t>M. A. Omar; M. A. Tahir; F. Khelifi</t>
        </is>
      </c>
      <c r="C1996" s="86" t="n">
        <v>2017</v>
      </c>
      <c r="D1996" s="5" t="inlineStr">
        <is>
          <t>Outcome not related to interest</t>
        </is>
      </c>
      <c r="E1996" s="86" t="n"/>
      <c r="F1996" s="86" t="n"/>
    </row>
    <row r="1997" ht="16" customHeight="1" s="55">
      <c r="A1997" s="86" t="inlineStr">
        <is>
          <t>Towards development of a computerised system for screening and monitoring of diabetic retinopathy</t>
        </is>
      </c>
      <c r="B1997" s="86" t="inlineStr">
        <is>
          <t>H. A. Nugroho</t>
        </is>
      </c>
      <c r="C1997" s="86" t="n">
        <v>2017</v>
      </c>
      <c r="D1997" s="5" t="inlineStr">
        <is>
          <t>Outcome not related to interest</t>
        </is>
      </c>
      <c r="E1997" s="86" t="n"/>
      <c r="F1997" s="86" t="n"/>
    </row>
    <row r="1998" ht="16" customHeight="1" s="55">
      <c r="A1998" s="86" t="inlineStr">
        <is>
          <t>Comparative Study of Fine-Tuning of Pre-Trained Convolutional Neural Networks for Diabetic Retinopathy Screening</t>
        </is>
      </c>
      <c r="B1998" s="86" t="inlineStr">
        <is>
          <t>S. Mohammadian; A. Karsaz; Y. M. Roshan</t>
        </is>
      </c>
      <c r="C1998" s="86" t="n">
        <v>2017</v>
      </c>
      <c r="D1998" s="5" t="inlineStr">
        <is>
          <t>Outcome not related to interest</t>
        </is>
      </c>
      <c r="E1998" s="86" t="n"/>
      <c r="F1998" s="86" t="n"/>
    </row>
    <row r="1999" ht="16" customHeight="1" s="55">
      <c r="A1999" s="86" t="inlineStr">
        <is>
          <t>A comparative analysis of classification algorithms in diabetic retinopathy screening</t>
        </is>
      </c>
      <c r="B1999" s="86" t="inlineStr">
        <is>
          <t>S. Mohammadian; A. Karsaz; Y. M. Roshan</t>
        </is>
      </c>
      <c r="C1999" s="86" t="n">
        <v>2017</v>
      </c>
      <c r="D1999" s="5" t="inlineStr">
        <is>
          <t>Outcome not related to interest</t>
        </is>
      </c>
      <c r="E1999" s="86" t="n"/>
      <c r="F1999" s="86" t="n"/>
    </row>
    <row r="2000" ht="16" customHeight="1" s="55">
      <c r="A2000" s="86" t="inlineStr">
        <is>
          <t>Identification of diabetic retinopathy in eye images using transfer learning</t>
        </is>
      </c>
      <c r="B2000" s="86" t="inlineStr">
        <is>
          <t>S. Masood; T. Luthra; H. Sundriyal; M. Ahmed</t>
        </is>
      </c>
      <c r="C2000" s="86" t="n">
        <v>2017</v>
      </c>
      <c r="D2000" s="5" t="inlineStr">
        <is>
          <t>Outcome not related to interest</t>
        </is>
      </c>
      <c r="E2000" s="86" t="n"/>
      <c r="F2000" s="86" t="n"/>
    </row>
    <row r="2001" ht="16" customHeight="1" s="55">
      <c r="A2001" s="86" t="inlineStr">
        <is>
          <t>Convolutional neural networks based transfer learning for diabetic retinopathy fundus image classification</t>
        </is>
      </c>
      <c r="B2001" s="86" t="inlineStr">
        <is>
          <t>X. Li; T. Pang; B. Xiong; W. Liu; P. Liang; T. Wang</t>
        </is>
      </c>
      <c r="C2001" s="86" t="n">
        <v>2017</v>
      </c>
      <c r="D2001" s="5" t="inlineStr">
        <is>
          <t>Outcome not related to interest</t>
        </is>
      </c>
      <c r="E2001" s="86" t="n"/>
      <c r="F2001" s="86" t="n"/>
    </row>
    <row r="2002" ht="16" customHeight="1" s="55">
      <c r="A2002" s="86" t="inlineStr">
        <is>
          <t>Comparison of classification methodologies for predicting the stages of diabetic retinopathy</t>
        </is>
      </c>
      <c r="B2002" s="86" t="inlineStr">
        <is>
          <t>D. Karanjgaokar; B. K. Prasanna; R. K. Chaurasiya</t>
        </is>
      </c>
      <c r="C2002" s="86" t="n">
        <v>2017</v>
      </c>
      <c r="D2002" s="5" t="inlineStr">
        <is>
          <t>Outcome not related to interest</t>
        </is>
      </c>
      <c r="E2002" s="86" t="n"/>
      <c r="F2002" s="86" t="n"/>
    </row>
    <row r="2003" ht="16" customHeight="1" s="55">
      <c r="A2003" s="86" t="inlineStr">
        <is>
          <t>A dictionary learning based method for detection of diabetic retinopathy in color fundus images</t>
        </is>
      </c>
      <c r="B2003" s="86" t="inlineStr">
        <is>
          <t>N. Karami; H. Rabbani</t>
        </is>
      </c>
      <c r="C2003" s="86" t="n">
        <v>2017</v>
      </c>
      <c r="D2003" s="5" t="inlineStr">
        <is>
          <t>Outcome not related to interest</t>
        </is>
      </c>
      <c r="E2003" s="86" t="n"/>
      <c r="F2003" s="86" t="n"/>
    </row>
    <row r="2004" ht="16" customHeight="1" s="55">
      <c r="A2004" s="86" t="inlineStr">
        <is>
          <t>Detecting diabetic retinopathy using deep learning</t>
        </is>
      </c>
      <c r="B2004" s="86" t="inlineStr">
        <is>
          <t>Y. S. Kanungo; B. Srinivasan; S. Choudhary</t>
        </is>
      </c>
      <c r="C2004" s="86" t="n">
        <v>2017</v>
      </c>
      <c r="D2004" s="5" t="inlineStr">
        <is>
          <t>Outcome not related to interest</t>
        </is>
      </c>
      <c r="E2004" s="86" t="n"/>
      <c r="F2004" s="86" t="n"/>
    </row>
    <row r="2005" ht="16" customHeight="1" s="55">
      <c r="A2005" s="86" t="inlineStr">
        <is>
          <t>Weakly-supervised localization of diabetic retinopathy lesions in retinal fundus images</t>
        </is>
      </c>
      <c r="B2005" s="86" t="inlineStr">
        <is>
          <t>W. M. Gondal; J. M. Köhler; R. Grzeszick; G. A. Fink; M. Hirsch</t>
        </is>
      </c>
      <c r="C2005" s="86" t="n">
        <v>2017</v>
      </c>
      <c r="D2005" s="5" t="inlineStr">
        <is>
          <t>Outcome not related to interest</t>
        </is>
      </c>
      <c r="E2005" s="86" t="n"/>
      <c r="F2005" s="86" t="n"/>
    </row>
    <row r="2006" ht="16" customHeight="1" s="55">
      <c r="A2006" s="86" t="inlineStr">
        <is>
          <t>Automatic detection and classification of diabetic retinopathy stages using CNN</t>
        </is>
      </c>
      <c r="B2006" s="86" t="inlineStr">
        <is>
          <t>R. Ghosh; K. Ghosh; S. Maitra</t>
        </is>
      </c>
      <c r="C2006" s="86" t="n">
        <v>2017</v>
      </c>
      <c r="D2006" s="5" t="inlineStr">
        <is>
          <t>Outcome not related to interest</t>
        </is>
      </c>
      <c r="E2006" s="86" t="n"/>
      <c r="F2006" s="86" t="n"/>
    </row>
    <row r="2007" ht="16" customHeight="1" s="55">
      <c r="A2007" s="86" t="inlineStr">
        <is>
          <t>Convolutional bag of words for diabetic retinopathy detection from eye fundus images</t>
        </is>
      </c>
      <c r="B2007" s="86" t="inlineStr">
        <is>
          <t>P. Costa; A. Campilho</t>
        </is>
      </c>
      <c r="C2007" s="86" t="n">
        <v>2017</v>
      </c>
      <c r="D2007" s="5" t="inlineStr">
        <is>
          <t>Outcome not related to interest</t>
        </is>
      </c>
      <c r="E2007" s="86" t="n"/>
      <c r="F2007" s="86" t="n"/>
    </row>
    <row r="2008" ht="16" customHeight="1" s="55">
      <c r="A2008" s="86" t="inlineStr">
        <is>
          <t>Deep learning-based Diabetic Retinopathy assessment on embedded system</t>
        </is>
      </c>
      <c r="B2008" s="86" t="inlineStr">
        <is>
          <t>I. Ardiyanto; H. A. Nugroho; R. L. B. Buana</t>
        </is>
      </c>
      <c r="C2008" s="86" t="n">
        <v>2017</v>
      </c>
      <c r="D2008" s="5" t="inlineStr">
        <is>
          <t>Outcome not related to interest</t>
        </is>
      </c>
      <c r="E2008" s="86" t="n"/>
      <c r="F2008" s="86" t="n"/>
    </row>
    <row r="2009" ht="16" customHeight="1" s="55">
      <c r="A2009" s="86" t="inlineStr">
        <is>
          <t>Diabetic retinopathy screening based on CNN</t>
        </is>
      </c>
      <c r="B2009" s="86" t="inlineStr">
        <is>
          <t>M. Andonová; J. Pavlovičová; S. Kajan; M. Oravec; V. Kurilová</t>
        </is>
      </c>
      <c r="C2009" s="86" t="n">
        <v>2017</v>
      </c>
      <c r="D2009" s="5" t="inlineStr">
        <is>
          <t>Outcome not related to interest</t>
        </is>
      </c>
      <c r="E2009" s="86" t="n"/>
      <c r="F2009" s="86" t="n"/>
    </row>
    <row r="2010" ht="16" customHeight="1" s="55">
      <c r="A2010" s="86" t="inlineStr">
        <is>
          <t>Automated detection of exudates using histogram analysis for Digital Retinal Images</t>
        </is>
      </c>
      <c r="B2010" s="86" t="inlineStr">
        <is>
          <t>K. Y. Win; S. Choomchuay</t>
        </is>
      </c>
      <c r="C2010" s="86" t="n">
        <v>2016</v>
      </c>
      <c r="D2010" s="5" t="inlineStr">
        <is>
          <t>Outcome not related to interest</t>
        </is>
      </c>
      <c r="E2010" s="86" t="n"/>
      <c r="F2010" s="86" t="n"/>
    </row>
    <row r="2011" ht="16" customHeight="1" s="55">
      <c r="A2011" s="86" t="inlineStr">
        <is>
          <t>Autogenous diabetic retinopathy censor for ophthalmologists - AKSHI</t>
        </is>
      </c>
      <c r="B2011" s="86" t="inlineStr">
        <is>
          <t>A. Wijesinghe; N. D. Kodikara; D. Sandaruwan</t>
        </is>
      </c>
      <c r="C2011" s="86" t="n">
        <v>2016</v>
      </c>
      <c r="D2011" s="5" t="inlineStr">
        <is>
          <t>Outcome not related to interest</t>
        </is>
      </c>
      <c r="E2011" s="86" t="n"/>
      <c r="F2011" s="86" t="n"/>
    </row>
    <row r="2012" ht="16" customHeight="1" s="55">
      <c r="A2012" s="86" t="inlineStr">
        <is>
          <t>New Deep Neural Nets for Fine-Grained Diabetic Retinopathy Recognition on Hybrid Color Space</t>
        </is>
      </c>
      <c r="B2012" s="86" t="inlineStr">
        <is>
          <t>H. H. Vo; A. Verma</t>
        </is>
      </c>
      <c r="C2012" s="86" t="n">
        <v>2016</v>
      </c>
      <c r="D2012" s="5" t="inlineStr">
        <is>
          <t>Outcome not related to interest</t>
        </is>
      </c>
      <c r="E2012" s="86" t="n"/>
      <c r="F2012" s="86" t="n"/>
    </row>
    <row r="2013" ht="16" customHeight="1" s="55">
      <c r="A2013" s="86" t="inlineStr">
        <is>
          <t>Machine learning algorithm for retinal image analysis</t>
        </is>
      </c>
      <c r="B2013" s="86" t="inlineStr">
        <is>
          <t>R. Santhakumar; M. Tandur; E. R. Rajkumar; K. S. Geetha; G. Haritz; K. T. Rajamani</t>
        </is>
      </c>
      <c r="C2013" s="86" t="n">
        <v>2016</v>
      </c>
      <c r="D2013" s="5" t="inlineStr">
        <is>
          <t>Outcome not related to interest</t>
        </is>
      </c>
      <c r="E2013" s="86" t="n"/>
      <c r="F2013" s="86" t="n"/>
    </row>
    <row r="2014" ht="16" customHeight="1" s="55">
      <c r="A2014" s="86" t="inlineStr">
        <is>
          <t>Classification of large-scale fundus image data sets: A cloud-computing framework</t>
        </is>
      </c>
      <c r="B2014" s="86" t="inlineStr">
        <is>
          <t>S. Roychowdhury</t>
        </is>
      </c>
      <c r="C2014" s="86" t="n">
        <v>2016</v>
      </c>
      <c r="D2014" s="5" t="inlineStr">
        <is>
          <t>Outcome not related to interest</t>
        </is>
      </c>
      <c r="E2014" s="86" t="n"/>
      <c r="F2014" s="86" t="n"/>
    </row>
    <row r="2015" ht="16" customHeight="1" s="55">
      <c r="A2015" s="86" t="inlineStr">
        <is>
          <t>Automatic Eye Type Detection in Retinal Fundus Image Using Fusion of Transfer Learning and Anatomical Features</t>
        </is>
      </c>
      <c r="B2015" s="86" t="inlineStr">
        <is>
          <t>P. K. Roy; R. Chakravorty; S. Sedai; D. Mahapatra; R. Garnavi</t>
        </is>
      </c>
      <c r="C2015" s="86" t="n">
        <v>2016</v>
      </c>
      <c r="D2015" s="5" t="inlineStr">
        <is>
          <t>Outcome not related to interest</t>
        </is>
      </c>
      <c r="E2015" s="86" t="n"/>
      <c r="F2015" s="86" t="n"/>
    </row>
    <row r="2016" ht="16" customHeight="1" s="55">
      <c r="A2016" s="86" t="inlineStr">
        <is>
          <t>Proposed retinal abnormality detection and classification approach: Computer aided detection for diabetic retinopathy by machine learning approaches</t>
        </is>
      </c>
      <c r="B2016" s="86" t="inlineStr">
        <is>
          <t>V. Raman; P. Then; P. Sumari</t>
        </is>
      </c>
      <c r="C2016" s="86" t="n">
        <v>2016</v>
      </c>
      <c r="D2016" s="5" t="inlineStr">
        <is>
          <t>Outcome not related to interest</t>
        </is>
      </c>
      <c r="E2016" s="86" t="n"/>
      <c r="F2016" s="86" t="n"/>
    </row>
    <row r="2017" ht="16" customHeight="1" s="55">
      <c r="A2017" s="86" t="inlineStr">
        <is>
          <t>An Incremental Feature Extraction Framework for Referable Diabetic Retinopathy Detection</t>
        </is>
      </c>
      <c r="B2017" s="86" t="inlineStr">
        <is>
          <t>J. Nandy; W. Hsu; M. L. Lee</t>
        </is>
      </c>
      <c r="C2017" s="86" t="n">
        <v>2016</v>
      </c>
      <c r="D2017" s="5" t="inlineStr">
        <is>
          <t>Outcome not related to interest</t>
        </is>
      </c>
      <c r="E2017" s="86" t="n"/>
      <c r="F2017" s="86" t="n"/>
    </row>
    <row r="2018" ht="16" customHeight="1" s="55">
      <c r="A2018" s="86" t="inlineStr">
        <is>
          <t>Classification of stages of diabetic retinopathy in human retina</t>
        </is>
      </c>
      <c r="B2018" s="86" t="inlineStr">
        <is>
          <t>A. L. Nanayakkara; N. D. Kodikara; A. S. Karunananda; M. M. Dissanayake</t>
        </is>
      </c>
      <c r="C2018" s="86" t="n">
        <v>2016</v>
      </c>
      <c r="D2018" s="5" t="inlineStr">
        <is>
          <t>Outcome not related to interest</t>
        </is>
      </c>
      <c r="E2018" s="86" t="n"/>
      <c r="F2018" s="86" t="n"/>
    </row>
    <row r="2019" ht="16" customHeight="1" s="55">
      <c r="A2019" s="86" t="inlineStr">
        <is>
          <t>Clinical utilization of automated image analysis software for improving retinal reader's performance</t>
        </is>
      </c>
      <c r="B2019" s="86" t="inlineStr">
        <is>
          <t>V. Joshi; C. Agurto; E. Barriga; S. Nemeth; P. Soliz</t>
        </is>
      </c>
      <c r="C2019" s="86" t="n">
        <v>2016</v>
      </c>
      <c r="D2019" s="5" t="inlineStr">
        <is>
          <t>Outcome not related to interest</t>
        </is>
      </c>
      <c r="E2019" s="86" t="n"/>
      <c r="F2019" s="86" t="n"/>
    </row>
    <row r="2020" ht="16" customHeight="1" s="55">
      <c r="A2020" s="86" t="inlineStr">
        <is>
          <t>Implementation of Diabetic Retinopathy screening using realtime data</t>
        </is>
      </c>
      <c r="B2020" s="86" t="inlineStr">
        <is>
          <t>D. Fitriati; A. Murtako</t>
        </is>
      </c>
      <c r="C2020" s="86" t="n">
        <v>2016</v>
      </c>
      <c r="D2020" s="5" t="inlineStr">
        <is>
          <t>Outcome not related to interest</t>
        </is>
      </c>
      <c r="E2020" s="86" t="n"/>
      <c r="F2020" s="86" t="n"/>
    </row>
    <row r="2021" ht="16" customHeight="1" s="55">
      <c r="A2021" s="86" t="inlineStr">
        <is>
          <t>Diabetic retinopathy detection using deep convolutional neural networks</t>
        </is>
      </c>
      <c r="B2021" s="86" t="inlineStr">
        <is>
          <t>D. Doshi; A. Shenoy; D. Sidhpura; P. Gharpure</t>
        </is>
      </c>
      <c r="C2021" s="86" t="n">
        <v>2016</v>
      </c>
      <c r="D2021" s="5" t="inlineStr">
        <is>
          <t>Outcome not related to interest</t>
        </is>
      </c>
      <c r="E2021" s="86" t="n"/>
      <c r="F2021" s="86" t="n"/>
    </row>
    <row r="2022" ht="16" customHeight="1" s="55">
      <c r="A2022" s="86" t="inlineStr">
        <is>
          <t>Meta-cognitive neural network method for classification of diabetic retinal images</t>
        </is>
      </c>
      <c r="B2022" s="86" t="inlineStr">
        <is>
          <t>R. Banu; V. Arun; N. Shankaraiah; V. Shyam</t>
        </is>
      </c>
      <c r="C2022" s="86" t="n">
        <v>2016</v>
      </c>
      <c r="D2022" s="5" t="inlineStr">
        <is>
          <t>Outcome not related to interest</t>
        </is>
      </c>
      <c r="E2022" s="86" t="n"/>
      <c r="F2022" s="86" t="n"/>
    </row>
    <row r="2023" ht="16" customHeight="1" s="55">
      <c r="A2023" s="86" t="inlineStr">
        <is>
          <t>Multiple instance learning for the determination of appropriate images for fundus image algorithms</t>
        </is>
      </c>
      <c r="B2023" s="86" t="inlineStr">
        <is>
          <t>Amruthavarshini; K. Venkatesan; K. S. Geetha; D. Singh; K. T. Rajamani</t>
        </is>
      </c>
      <c r="C2023" s="86" t="n">
        <v>2016</v>
      </c>
      <c r="D2023" s="5" t="inlineStr">
        <is>
          <t>Outcome not related to interest</t>
        </is>
      </c>
      <c r="E2023" s="86" t="n"/>
      <c r="F2023" s="86" t="n"/>
    </row>
    <row r="2024" ht="16" customHeight="1" s="55">
      <c r="A2024" s="86" t="inlineStr">
        <is>
          <t>Machine learning approach for the identification of diabetes retinopathy and its stages</t>
        </is>
      </c>
      <c r="B2024" s="86" t="inlineStr">
        <is>
          <t>P. Nijalingappa; B. Sandeep</t>
        </is>
      </c>
      <c r="C2024" s="86" t="n">
        <v>2015</v>
      </c>
      <c r="D2024" s="5" t="inlineStr">
        <is>
          <t>Outcome not related to interest</t>
        </is>
      </c>
      <c r="E2024" s="86" t="n"/>
      <c r="F2024" s="86" t="n"/>
    </row>
    <row r="2025" ht="16" customHeight="1" s="55">
      <c r="A2025" s="86" t="inlineStr">
        <is>
          <t>Diabetic Retinopathy using morphological operations and machine learning</t>
        </is>
      </c>
      <c r="B2025" s="86" t="inlineStr">
        <is>
          <t>J. Lachure; A. V. Deorankar; S. Lachure; S. Gupta; R. Jadhav</t>
        </is>
      </c>
      <c r="C2025" s="86" t="n">
        <v>2015</v>
      </c>
      <c r="D2025" s="5" t="inlineStr">
        <is>
          <t>Outcome not related to interest</t>
        </is>
      </c>
      <c r="E2025" s="86" t="n"/>
      <c r="F2025" s="86" t="n"/>
    </row>
    <row r="2026" ht="16" customHeight="1" s="55">
      <c r="A2026" s="86" t="inlineStr">
        <is>
          <t>Computer-assisted identification of proliferative diabetic retinopathy in color retinal images</t>
        </is>
      </c>
      <c r="B2026" s="86" t="inlineStr">
        <is>
          <t>G. Gupta; S. Kulasekaran; K. Ram; N. Joshi; M. Sivaprakasam; R. Gandhi</t>
        </is>
      </c>
      <c r="C2026" s="86" t="n">
        <v>2015</v>
      </c>
      <c r="D2026" s="5" t="inlineStr">
        <is>
          <t>Outcome not related to interest</t>
        </is>
      </c>
      <c r="E2026" s="86" t="n"/>
      <c r="F2026" s="86" t="n"/>
    </row>
    <row r="2027" ht="16" customHeight="1" s="55">
      <c r="A2027" s="86" t="inlineStr">
        <is>
          <t>Performance evaluation of techniques for retinal abnormality detection</t>
        </is>
      </c>
      <c r="B2027" s="86" t="inlineStr">
        <is>
          <t>M. Aiswarya Raj; M. Shinu Acca</t>
        </is>
      </c>
      <c r="C2027" s="86" t="n">
        <v>2015</v>
      </c>
      <c r="D2027" s="5" t="inlineStr">
        <is>
          <t>Outcome not related to interest</t>
        </is>
      </c>
      <c r="E2027" s="86" t="n"/>
      <c r="F2027" s="86" t="n"/>
    </row>
    <row r="2028" ht="16" customHeight="1" s="55">
      <c r="A2028" s="86" t="inlineStr">
        <is>
          <t>DREAM: Diabetic Retinopathy Analysis Using Machine Learning</t>
        </is>
      </c>
      <c r="B2028" s="86" t="inlineStr">
        <is>
          <t>S. Roychowdhury; D. D. Koozekanani; K. K. Parhi</t>
        </is>
      </c>
      <c r="C2028" s="86" t="n">
        <v>2014</v>
      </c>
      <c r="D2028" s="5" t="inlineStr">
        <is>
          <t>Outcome not related to interest</t>
        </is>
      </c>
      <c r="E2028" s="86" t="n"/>
      <c r="F2028" s="86" t="n"/>
    </row>
    <row r="2029" ht="16" customHeight="1" s="55">
      <c r="A2029" s="86" t="inlineStr">
        <is>
          <t>Estimating maximal measurable performance for automated decision systems from the characteristics of the reference standard. application to diabetic retinopathy screening</t>
        </is>
      </c>
      <c r="B2029" s="86" t="inlineStr">
        <is>
          <t>G. Quellec; M. D. Abràmoff</t>
        </is>
      </c>
      <c r="C2029" s="86" t="n">
        <v>2014</v>
      </c>
      <c r="D2029" s="5" t="inlineStr">
        <is>
          <t>Outcome not related to interest</t>
        </is>
      </c>
      <c r="E2029" s="86" t="n"/>
      <c r="F2029" s="86" t="n"/>
    </row>
    <row r="2030" ht="16" customHeight="1" s="55">
      <c r="A2030" s="86" t="inlineStr">
        <is>
          <t>Automatic Diabetic Retinopathy detection using BossaNova representation</t>
        </is>
      </c>
      <c r="B2030" s="86" t="inlineStr">
        <is>
          <t>R. Pires; S. Avila; H. F. Jelinek; J. Wainer; E. Valle; A. Rocha</t>
        </is>
      </c>
      <c r="C2030" s="86" t="n">
        <v>2014</v>
      </c>
      <c r="D2030" s="5" t="inlineStr">
        <is>
          <t>Outcome not related to interest</t>
        </is>
      </c>
      <c r="E2030" s="86" t="n"/>
      <c r="F2030" s="86" t="n"/>
    </row>
    <row r="2031" ht="16" customHeight="1" s="55">
      <c r="A2031" s="86" t="inlineStr">
        <is>
          <t>Automated detection of diseases by nicking quantification in retinal images</t>
        </is>
      </c>
      <c r="B2031" s="86" t="inlineStr">
        <is>
          <t>K. Parasuraman; R. Ramya</t>
        </is>
      </c>
      <c r="C2031" s="86" t="n">
        <v>2014</v>
      </c>
      <c r="D2031" s="5" t="inlineStr">
        <is>
          <t>Outcome not related to interest</t>
        </is>
      </c>
      <c r="E2031" s="86" t="n"/>
      <c r="F2031" s="86" t="n"/>
    </row>
    <row r="2032" ht="16" customHeight="1" s="55">
      <c r="A2032" s="86" t="inlineStr">
        <is>
          <t>Deploying and Evaluating Multiple Deep Learning Models on Edge Devices for Diabetic Retinopathy Detection</t>
        </is>
      </c>
      <c r="B2032" s="86" t="n"/>
      <c r="C2032" s="86" t="n"/>
      <c r="D2032" s="5" t="inlineStr">
        <is>
          <t>Outcome not related to interest</t>
        </is>
      </c>
      <c r="E2032" s="86" t="n"/>
      <c r="F2032" s="86" t="n"/>
    </row>
    <row r="2033" ht="16" customHeight="1" s="55">
      <c r="A2033" s="86" t="inlineStr">
        <is>
          <t>VR-FuseNet: A Fusion of Heterogeneous Fundus Data and Explainable Deep Network for Diabetic Retinopathy Classification</t>
        </is>
      </c>
      <c r="B2033" s="86" t="n"/>
      <c r="C2033" s="86" t="n"/>
      <c r="D2033" s="5" t="inlineStr">
        <is>
          <t>Outcome not related to interest</t>
        </is>
      </c>
      <c r="E2033" s="86" t="n"/>
      <c r="F2033" s="86" t="n"/>
    </row>
    <row r="2034" ht="16" customHeight="1" s="55">
      <c r="A2034" s="86" t="inlineStr">
        <is>
          <t>Low-Rank Adaptive Structural Priors for Generalizable Diabetic Retinopathy Grading</t>
        </is>
      </c>
      <c r="B2034" s="86" t="n"/>
      <c r="C2034" s="86" t="n"/>
      <c r="D2034" s="5" t="inlineStr">
        <is>
          <t>Outcome not related to interest</t>
        </is>
      </c>
      <c r="E2034" s="86" t="n"/>
      <c r="F2034" s="86" t="n"/>
    </row>
    <row r="2035" ht="16" customHeight="1" s="55">
      <c r="A2035" s="86" t="inlineStr">
        <is>
          <t>Integrating Non-Linear Radon Transformation for Diabetic Retinopathy Grading</t>
        </is>
      </c>
      <c r="B2035" s="86" t="n"/>
      <c r="C2035" s="86" t="n"/>
      <c r="D2035" s="5" t="inlineStr">
        <is>
          <t>Outcome not related to interest</t>
        </is>
      </c>
      <c r="E2035" s="86" t="n"/>
      <c r="F2035" s="86" t="n"/>
    </row>
    <row r="2036" ht="16" customHeight="1" s="55">
      <c r="A2036" s="86" t="inlineStr">
        <is>
          <t>AI-Driven Diabetic Retinopathy Diagnosis Enhancement through Image Processing and Salp Swarm Algorithm-Optimized Ensemble Network</t>
        </is>
      </c>
      <c r="B2036" s="86" t="n"/>
      <c r="C2036" s="86" t="n"/>
      <c r="D2036" s="5" t="inlineStr">
        <is>
          <t>Outcome not related to interest</t>
        </is>
      </c>
      <c r="E2036" s="86" t="n"/>
      <c r="F2036" s="86" t="n"/>
    </row>
    <row r="2037" ht="16" customHeight="1" s="55">
      <c r="A2037" s="86" t="inlineStr">
        <is>
          <t>Semantic Data Augmentation Enhanced Invariant Risk Minimization for Medical Image Domain Generalization</t>
        </is>
      </c>
      <c r="B2037" s="86" t="n"/>
      <c r="C2037" s="86" t="n"/>
      <c r="D2037" s="5" t="inlineStr">
        <is>
          <t>Outcome not related to interest</t>
        </is>
      </c>
      <c r="E2037" s="86" t="n"/>
      <c r="F2037" s="86" t="n"/>
    </row>
    <row r="2038" ht="16" customHeight="1" s="55">
      <c r="A2038" s="86" t="inlineStr">
        <is>
          <t>AI-Driven Diabetic Retinopathy Screening: Multicentric Validation of AIDRSS in India</t>
        </is>
      </c>
      <c r="B2038" s="86" t="n"/>
      <c r="C2038" s="86" t="n"/>
      <c r="D2038" s="5" t="inlineStr">
        <is>
          <t>Outcome not related to interest</t>
        </is>
      </c>
      <c r="E2038" s="86" t="n"/>
      <c r="F2038" s="86" t="n"/>
    </row>
    <row r="2039" ht="16" customHeight="1" s="55">
      <c r="A2039" s="86" t="inlineStr">
        <is>
          <t>Diabetic Retinopathy Detection Using CNN with Residual Block with DCGAN</t>
        </is>
      </c>
      <c r="B2039" s="86" t="n"/>
      <c r="C2039" s="86" t="n"/>
      <c r="D2039" s="5" t="inlineStr">
        <is>
          <t>Outcome not related to interest</t>
        </is>
      </c>
      <c r="E2039" s="86" t="n"/>
      <c r="F2039" s="86" t="n"/>
    </row>
    <row r="2040" ht="16" customHeight="1" s="55">
      <c r="A2040" s="86" t="inlineStr">
        <is>
          <t>Divergent Domains, Convergent Grading: Enhancing Generalization in Diabetic Retinopathy Grading</t>
        </is>
      </c>
      <c r="B2040" s="86" t="n"/>
      <c r="C2040" s="86" t="n"/>
      <c r="D2040" s="5" t="inlineStr">
        <is>
          <t>Outcome not related to interest</t>
        </is>
      </c>
      <c r="E2040" s="86" t="n"/>
      <c r="F2040" s="86" t="n"/>
    </row>
    <row r="2041" ht="16" customHeight="1" s="55">
      <c r="A2041" s="86" t="inlineStr">
        <is>
          <t>Enhancing Diabetic Retinopathy Detection with CNN-Based Models: A Comparative Study of UNET and Stacked UNET Architectures</t>
        </is>
      </c>
      <c r="B2041" s="86" t="n"/>
      <c r="C2041" s="86" t="n"/>
      <c r="D2041" s="5" t="inlineStr">
        <is>
          <t>Outcome not related to interest</t>
        </is>
      </c>
      <c r="E2041" s="86" t="n"/>
      <c r="F2041" s="86" t="n"/>
    </row>
    <row r="2042" ht="16" customHeight="1" s="55">
      <c r="A2042" s="86" t="inlineStr">
        <is>
          <t>Federated Learning for Diabetic Retinopathy Diagnosis: Enhancing Accuracy and Generalizability in Under-Resourced Regions</t>
        </is>
      </c>
      <c r="B2042" s="86" t="n"/>
      <c r="C2042" s="86" t="n"/>
      <c r="D2042" s="5" t="inlineStr">
        <is>
          <t>Outcome not related to interest</t>
        </is>
      </c>
      <c r="E2042" s="86" t="n"/>
      <c r="F2042" s="86" t="n"/>
    </row>
    <row r="2043" ht="16" customHeight="1" s="55">
      <c r="A2043" s="86" t="inlineStr">
        <is>
          <t>Cross-Fundus Transformer for Multi-modal Diabetic Retinopathy Grading with Cataract</t>
        </is>
      </c>
      <c r="B2043" s="86" t="n"/>
      <c r="C2043" s="86" t="n"/>
      <c r="D2043" s="5" t="inlineStr">
        <is>
          <t>Outcome not related to interest</t>
        </is>
      </c>
      <c r="E2043" s="86" t="n"/>
      <c r="F2043" s="86" t="n"/>
    </row>
    <row r="2044" ht="16" customHeight="1" s="55">
      <c r="A2044" s="86" t="inlineStr">
        <is>
          <t>Looking into Concept Explanation Methods for Diabetic Retinopathy Classification</t>
        </is>
      </c>
      <c r="B2044" s="86" t="n"/>
      <c r="C2044" s="86" t="n"/>
      <c r="D2044" s="5" t="inlineStr">
        <is>
          <t>Outcome not related to interest</t>
        </is>
      </c>
      <c r="E2044" s="86" t="n"/>
      <c r="F2044" s="86" t="n"/>
    </row>
    <row r="2045" ht="16" customHeight="1" s="55">
      <c r="A2045" s="86" t="inlineStr">
        <is>
          <t>Block Expanded DINORET: Adapting Natural Domain Foundation Models for Retinal Imaging Without Catastrophic Forgetting</t>
        </is>
      </c>
      <c r="B2045" s="86" t="n"/>
      <c r="C2045" s="86" t="n"/>
      <c r="D2045" s="5" t="inlineStr">
        <is>
          <t>Outcome not related to interest</t>
        </is>
      </c>
      <c r="E2045" s="86" t="n"/>
      <c r="F2045" s="86" t="n"/>
    </row>
    <row r="2046" ht="16" customHeight="1" s="55">
      <c r="A2046" s="86" t="inlineStr">
        <is>
          <t>Grading and Anomaly Detection for Automated Retinal Image Analysis using Deep Learning</t>
        </is>
      </c>
      <c r="B2046" s="86" t="n"/>
      <c r="C2046" s="86" t="n"/>
      <c r="D2046" s="5" t="inlineStr">
        <is>
          <t>Outcome not related to interest</t>
        </is>
      </c>
      <c r="E2046" s="86" t="n"/>
      <c r="F2046" s="86" t="n"/>
    </row>
    <row r="2047" ht="16" customHeight="1" s="55">
      <c r="A2047" s="86" t="inlineStr">
        <is>
          <t>Deep Learning-Based Detection of Referable Diabetic Retinopathy and Macular Edema Using Ultra-Widefield Fundus Imaging</t>
        </is>
      </c>
      <c r="B2047" s="86" t="n"/>
      <c r="C2047" s="86" t="n"/>
      <c r="D2047" s="5" t="inlineStr">
        <is>
          <t>Outcome not related to interest</t>
        </is>
      </c>
      <c r="E2047" s="86" t="n"/>
      <c r="F2047" s="86" t="n"/>
    </row>
    <row r="2048" ht="16" customHeight="1" s="55">
      <c r="A2048" s="86" t="inlineStr">
        <is>
          <t>Lesion-aware network for diabetic retinopathy diagnosis</t>
        </is>
      </c>
      <c r="B2048" s="86" t="n"/>
      <c r="C2048" s="86" t="n"/>
      <c r="D2048" s="5" t="inlineStr">
        <is>
          <t>Outcome not related to interest</t>
        </is>
      </c>
      <c r="E2048" s="86" t="n"/>
      <c r="F2048" s="86" t="n"/>
    </row>
    <row r="2049" ht="16" customHeight="1" s="55">
      <c r="A2049" s="86" t="inlineStr">
        <is>
          <t>Enhancing Eye Disease Diagnosis with Deep Learning and Synthetic Data Augmentation</t>
        </is>
      </c>
      <c r="B2049" s="86" t="n"/>
      <c r="C2049" s="86" t="n"/>
      <c r="D2049" s="5" t="inlineStr">
        <is>
          <t>Outcome not related to interest</t>
        </is>
      </c>
      <c r="E2049" s="86" t="n"/>
      <c r="F2049" s="86" t="n"/>
    </row>
    <row r="2050" ht="16" customHeight="1" s="55">
      <c r="A2050" s="86" t="inlineStr">
        <is>
          <t>A better approach to diagnose retinal diseases: Combining our Segmentation-based Vascular Enhancement with deep learning features</t>
        </is>
      </c>
      <c r="B2050" s="86" t="n"/>
      <c r="C2050" s="86" t="n"/>
      <c r="D2050" s="5" t="inlineStr">
        <is>
          <t>Outcome not related to interest</t>
        </is>
      </c>
    </row>
    <row r="2051" ht="16" customHeight="1" s="55">
      <c r="A2051" s="86" t="inlineStr">
        <is>
          <t>Diabetic Retinopathy Detection Using Quantum Transfer Learning</t>
        </is>
      </c>
      <c r="B2051" s="86" t="n"/>
      <c r="C2051" s="86" t="n"/>
      <c r="D2051" s="5" t="inlineStr">
        <is>
          <t>Outcome not related to interest</t>
        </is>
      </c>
    </row>
    <row r="2052" ht="16" customHeight="1" s="55">
      <c r="A2052" s="86" t="inlineStr">
        <is>
          <t>Brain Storm Optimization Based Swarm Learning for Diabetic Retinopathy Image Classification</t>
        </is>
      </c>
      <c r="D2052" s="5" t="inlineStr">
        <is>
          <t>Outcome not related to interest</t>
        </is>
      </c>
    </row>
    <row r="2053" ht="16" customHeight="1" s="55">
      <c r="A2053" s="86" t="inlineStr">
        <is>
          <t>Classification of Diabetic Retinopathy using Pre-Trained Deep Learning Models</t>
        </is>
      </c>
      <c r="D2053" s="5" t="inlineStr">
        <is>
          <t>Outcome not related to interest</t>
        </is>
      </c>
    </row>
    <row r="2054" ht="16" customHeight="1" s="55">
      <c r="A2054" s="86" t="inlineStr">
        <is>
          <t>Enhance Eye Disease Detection using Learnable Probabilistic Discrete Latents in Machine Learning Architectures</t>
        </is>
      </c>
      <c r="D2054" s="5" t="inlineStr">
        <is>
          <t>Outcome not related to interest</t>
        </is>
      </c>
    </row>
    <row r="2055" ht="16" customHeight="1" s="55">
      <c r="A2055" s="86" t="inlineStr">
        <is>
          <t>Deep Learning Innovations in Diagnosing Diabetic Retinopathy: The Potential of Transfer Learning and the DiaCNN Model</t>
        </is>
      </c>
      <c r="D2055" s="5" t="inlineStr">
        <is>
          <t>Outcome not related to interest</t>
        </is>
      </c>
    </row>
    <row r="2056" ht="16" customHeight="1" s="55">
      <c r="A2056" s="86" t="inlineStr">
        <is>
          <t>Detection and Classification of Diabetic Retinopathy using Deep Learning Algorithms for Segmentation to Facilitate Referral Recommendation for Test and Treatment Prediction</t>
        </is>
      </c>
      <c r="D2056" s="5" t="inlineStr">
        <is>
          <t>Outcome not related to interest</t>
        </is>
      </c>
    </row>
    <row r="2057" ht="16" customHeight="1" s="55">
      <c r="A2057" s="86" t="inlineStr">
        <is>
          <t>DRStageNet: Deep Learning for Diabetic Retinopathy Staging from Fundus Images</t>
        </is>
      </c>
      <c r="D2057" s="5" t="inlineStr">
        <is>
          <t>Outcome not related to interest</t>
        </is>
      </c>
    </row>
    <row r="2058" ht="16" customHeight="1" s="55">
      <c r="A2058" s="86" t="inlineStr">
        <is>
          <t>Universal Adversarial Framework to Improve Adversarial Robustness for Diabetic Retinopathy Detection</t>
        </is>
      </c>
      <c r="D2058" s="5" t="inlineStr">
        <is>
          <t>Outcome not related to interest</t>
        </is>
      </c>
    </row>
    <row r="2059" ht="16" customHeight="1" s="55">
      <c r="A2059" s="86" t="inlineStr">
        <is>
          <t>Generalizing to Unseen Domains in Diabetic Retinopathy Classification</t>
        </is>
      </c>
      <c r="D2059" s="5" t="inlineStr">
        <is>
          <t>Outcome not related to interest</t>
        </is>
      </c>
    </row>
    <row r="2060" ht="16" customHeight="1" s="55">
      <c r="A2060" s="86" t="inlineStr">
        <is>
          <t>CauDR: A Causality-inspired Domain Generalization Framework for Fundus-based Diabetic Retinopathy Grading</t>
        </is>
      </c>
      <c r="D2060" s="5" t="inlineStr">
        <is>
          <t>Outcome not related to interest</t>
        </is>
      </c>
    </row>
    <row r="2061" ht="16" customHeight="1" s="55">
      <c r="A2061" s="86" t="inlineStr">
        <is>
          <t>A Comparative Study of Filters and Deep Learning Models to predict Diabetic Retinopathy R</t>
        </is>
      </c>
      <c r="D2061" s="44" t="inlineStr">
        <is>
          <t>Repeated article</t>
        </is>
      </c>
    </row>
    <row r="2062" ht="16" customHeight="1" s="55">
      <c r="A2062" s="86" t="inlineStr">
        <is>
          <t>DGM-DR: Domain Generalization with Mutual Information Regularized Diabetic Retinopathy Classification</t>
        </is>
      </c>
      <c r="D2062" s="5" t="inlineStr">
        <is>
          <t>Outcome not related to interest</t>
        </is>
      </c>
    </row>
    <row r="2063" ht="16" customHeight="1" s="55">
      <c r="A2063" s="86" t="inlineStr">
        <is>
          <t>Dual Branch Deep Learning Network for Detection and Stage Grading of Diabetic Retinopathy R</t>
        </is>
      </c>
      <c r="D2063" s="44" t="inlineStr">
        <is>
          <t>Repeated article</t>
        </is>
      </c>
    </row>
    <row r="2064" ht="16" customHeight="1" s="55">
      <c r="A2064" s="86" t="inlineStr">
        <is>
          <t>Introducing Feature Attention Module on Convolutional Neural Network for Diabetic Retinopathy Detection</t>
        </is>
      </c>
      <c r="D2064" s="5" t="inlineStr">
        <is>
          <t>Outcome not related to interest</t>
        </is>
      </c>
    </row>
    <row r="2065" ht="16" customHeight="1" s="55">
      <c r="A2065" s="86" t="inlineStr">
        <is>
          <t>Transfer-Ensemble Learning based Deep Convolutional Neural Networks for Diabetic Retinopathy Classification R</t>
        </is>
      </c>
      <c r="D2065" s="84" t="inlineStr">
        <is>
          <t>Repeated article</t>
        </is>
      </c>
    </row>
    <row r="2066" ht="16" customHeight="1" s="55">
      <c r="A2066" s="86" t="inlineStr">
        <is>
          <t>Eye Disease Classification Using Deep Learning Techniques</t>
        </is>
      </c>
      <c r="D2066" s="5" t="inlineStr">
        <is>
          <t>Outcome not related to interest</t>
        </is>
      </c>
    </row>
    <row r="2067" ht="16" customHeight="1" s="55">
      <c r="A2067" s="86" t="inlineStr">
        <is>
          <t>Towards Generalizable Diabetic Retinopathy Grading in Unseen Domains</t>
        </is>
      </c>
      <c r="D2067" s="5" t="inlineStr">
        <is>
          <t>Outcome not related to interest</t>
        </is>
      </c>
    </row>
    <row r="2068" ht="16" customHeight="1" s="55">
      <c r="A2068" s="86" t="inlineStr">
        <is>
          <t>LVM-Med: Learning Large-Scale Self-Supervised Vision Models for Medical Imaging via Second-order Graph Matching</t>
        </is>
      </c>
      <c r="D2068" s="5" t="inlineStr">
        <is>
          <t>Outcome not related to interest</t>
        </is>
      </c>
    </row>
    <row r="2069" ht="16" customHeight="1" s="55">
      <c r="A2069" s="86" t="inlineStr">
        <is>
          <t>Strategy for Rapid Diabetic Retinopathy Exposure Based on Enhanced Feature Extraction Processing</t>
        </is>
      </c>
      <c r="D2069" s="5" t="inlineStr">
        <is>
          <t>Outcome not related to interest</t>
        </is>
      </c>
    </row>
    <row r="2070" ht="16" customHeight="1" s="55">
      <c r="A2070" s="86" t="inlineStr">
        <is>
          <t>Improving Classification of Retinal Fundus Image Using Flow Dynamics Optimized Deep Learning Methods</t>
        </is>
      </c>
      <c r="D2070" s="5" t="inlineStr">
        <is>
          <t>Outcome not related to interest</t>
        </is>
      </c>
    </row>
    <row r="2071" ht="16" customHeight="1" s="55">
      <c r="A2071" s="86" t="inlineStr">
        <is>
          <t>Federated Uncertainty-Aware Aggregation for Fundus Diabetic Retinopathy Staging</t>
        </is>
      </c>
      <c r="D2071" s="5" t="inlineStr">
        <is>
          <t>Outcome not related to interest</t>
        </is>
      </c>
    </row>
    <row r="2072" ht="16" customHeight="1" s="55">
      <c r="A2072" s="86" t="inlineStr">
        <is>
          <t>Diagnostic Quality Assessment of Fundus Photographs: Hierarchical Deep Learning with Clinically Significant Explanations</t>
        </is>
      </c>
      <c r="D2072" s="5" t="inlineStr">
        <is>
          <t>Outcome not related to interest</t>
        </is>
      </c>
    </row>
    <row r="2073" ht="16" customHeight="1" s="55">
      <c r="A2073" s="86" t="inlineStr">
        <is>
          <t>DRG-Net: Interactive Joint Learning of Multi-lesion Segmentation and Classification for Diabetic Retinopathy Grading</t>
        </is>
      </c>
      <c r="D2073" s="5" t="inlineStr">
        <is>
          <t>Outcome not related to interest</t>
        </is>
      </c>
    </row>
    <row r="2074" ht="16" customHeight="1" s="55">
      <c r="A2074" s="86" t="inlineStr">
        <is>
          <t>Explainable Artificial Intelligence in Retinal Imaging for the detection of Systemic Diseases</t>
        </is>
      </c>
      <c r="D2074" s="5" t="inlineStr">
        <is>
          <t>Outcome not related to interest</t>
        </is>
      </c>
    </row>
    <row r="2075" ht="16" customHeight="1" s="55">
      <c r="A2075" s="86" t="inlineStr">
        <is>
          <t>Interpretable Diabetic Retinopathy Diagnosis based on Biomarker Activation Map R</t>
        </is>
      </c>
      <c r="D2075" s="44" t="inlineStr">
        <is>
          <t>Repeated article</t>
        </is>
      </c>
    </row>
    <row r="2076" ht="16" customHeight="1" s="55">
      <c r="A2076" s="86" t="inlineStr">
        <is>
          <t>Benchmarking Bayesian Deep Learning on Diabetic Retinopathy Detection Tasks</t>
        </is>
      </c>
      <c r="D2076" s="5" t="inlineStr">
        <is>
          <t>Outcome not related to interest</t>
        </is>
      </c>
    </row>
    <row r="2077" ht="16" customHeight="1" s="55">
      <c r="A2077" s="86" t="inlineStr">
        <is>
          <t>UATTA-ENS: Uncertainty Aware Test Time Augmented Ensemble for PIRC Diabetic Retinopathy Detection</t>
        </is>
      </c>
      <c r="D2077" s="5" t="inlineStr">
        <is>
          <t>Outcome not related to interest</t>
        </is>
      </c>
    </row>
    <row r="2078" ht="16" customHeight="1" s="55">
      <c r="A2078" s="86" t="inlineStr">
        <is>
          <t>Bag of Tricks for Developing Diabetic Retinopathy Analysis Framework to Overcome Data Scarcity</t>
        </is>
      </c>
      <c r="D2078" s="5" t="inlineStr">
        <is>
          <t>Outcome not related to interest</t>
        </is>
      </c>
    </row>
    <row r="2079" ht="16" customHeight="1" s="55">
      <c r="A2079" s="86" t="inlineStr">
        <is>
          <t>A ResNet is All You Need? Modeling A Strong Baseline for Detecting Referable Diabetic Retinopathy in Fundus Images</t>
        </is>
      </c>
    </row>
    <row r="2080" ht="16" customHeight="1" s="55">
      <c r="A2080" s="86" t="inlineStr">
        <is>
          <t>Contrastive learning-based pretraining improves representation and transferability of diabetic retinopathy classification models</t>
        </is>
      </c>
      <c r="D2080" s="5" t="inlineStr">
        <is>
          <t>Outcome not related to interest</t>
        </is>
      </c>
    </row>
    <row r="2081" ht="16" customHeight="1" s="55">
      <c r="A2081" s="86" t="inlineStr">
        <is>
          <t>Evaluating the Quality and Diversity of DCGAN-based Generatively Synthesized Diabetic Retinopathy Imagery</t>
        </is>
      </c>
      <c r="D2081" s="5" t="inlineStr">
        <is>
          <t>Outcome not related to interest</t>
        </is>
      </c>
    </row>
    <row r="2082" ht="16" customHeight="1" s="55">
      <c r="A2082" s="86" t="inlineStr">
        <is>
          <t>Deep Semi-Supervised and Self-Supervised Learning for Diabetic Retinopathy Detection</t>
        </is>
      </c>
      <c r="D2082" s="5" t="inlineStr">
        <is>
          <t>Outcome not related to interest</t>
        </is>
      </c>
    </row>
    <row r="2083" ht="16" customHeight="1" s="55">
      <c r="A2083" s="86" t="inlineStr">
        <is>
          <t>Information Gain Sampling for Active Learning in Medical Image Classification</t>
        </is>
      </c>
      <c r="D2083" s="5" t="inlineStr">
        <is>
          <t>Outcome not related to interest</t>
        </is>
      </c>
    </row>
    <row r="2084" ht="16" customHeight="1" s="55">
      <c r="A2084" s="86" t="inlineStr">
        <is>
          <t>Performance of a deep learning system for detection of referable diabetic retinopathy in real clinical settings</t>
        </is>
      </c>
      <c r="D2084" s="5" t="inlineStr">
        <is>
          <t>Outcome not related to interest</t>
        </is>
      </c>
    </row>
    <row r="2085" ht="16" customHeight="1" s="55">
      <c r="A2085" s="86" t="inlineStr">
        <is>
          <t>FundusQ-Net: a Regression Quality Assessment Deep Learning Algorithm for Fundus Images Quality Grading</t>
        </is>
      </c>
      <c r="D2085" s="5" t="inlineStr">
        <is>
          <t>Outcome not related to interest</t>
        </is>
      </c>
    </row>
    <row r="2086" ht="16" customHeight="1" s="55">
      <c r="A2086" s="86" t="inlineStr">
        <is>
          <t>Uncertainty-aware deep learning methods for robust diabetic retinopathy classification R</t>
        </is>
      </c>
      <c r="D2086" s="44" t="inlineStr">
        <is>
          <t>Repeated article</t>
        </is>
      </c>
    </row>
    <row r="2087" ht="16" customHeight="1" s="55">
      <c r="A2087" s="86" t="inlineStr">
        <is>
          <t>Identifying the key components in ResNet-50 for diabetic retinopathy grading from fundus images: a systematic investigation</t>
        </is>
      </c>
      <c r="D2087" s="5" t="inlineStr">
        <is>
          <t>Outcome not related to interest</t>
        </is>
      </c>
    </row>
    <row r="2088" ht="16" customHeight="1" s="55">
      <c r="A2088" s="86" t="inlineStr">
        <is>
          <t>A deep learning model for classification of diabetic retinopathy in eye fundus images based on retinal lesion detection</t>
        </is>
      </c>
      <c r="D2088" s="5" t="inlineStr">
        <is>
          <t>Outcome not related to interest</t>
        </is>
      </c>
    </row>
    <row r="2089" ht="16" customHeight="1" s="55">
      <c r="A2089" s="86" t="inlineStr">
        <is>
          <t>Designing the Architecture of a Convolutional Neural Network Automatically for Diabetic Retinopathy Diagnosis</t>
        </is>
      </c>
      <c r="D2089" s="5" t="inlineStr">
        <is>
          <t>Outcome not related to interest</t>
        </is>
      </c>
    </row>
    <row r="2090" ht="16" customHeight="1" s="55">
      <c r="A2090" s="86" t="inlineStr">
        <is>
          <t>Blindness (Diabetic Retinopathy) Severity Scale Detection</t>
        </is>
      </c>
      <c r="D2090" s="5" t="inlineStr">
        <is>
          <t>Outcome not related to interest</t>
        </is>
      </c>
    </row>
    <row r="2091" ht="16" customHeight="1" s="55">
      <c r="A2091" s="86" t="inlineStr">
        <is>
          <t>A Multi-stage Transfer Learning Framework for Diabetic Retinopathy Grading on Small DataR</t>
        </is>
      </c>
      <c r="D2091" s="44" t="inlineStr">
        <is>
          <t>Repeated article</t>
        </is>
      </c>
    </row>
    <row r="2092" ht="16" customHeight="1" s="55">
      <c r="A2092" s="86" t="inlineStr">
        <is>
          <t>FEDI: Few-shot learning based on Earth Mover's Distance algorithm combined with deep residual network to identify diabetic retinopathy R</t>
        </is>
      </c>
      <c r="D2092" s="44" t="inlineStr">
        <is>
          <t>Repeated article</t>
        </is>
      </c>
    </row>
    <row r="2093" ht="16" customHeight="1" s="55">
      <c r="A2093" s="86" t="inlineStr">
        <is>
          <t>Classification of Diabetic Retinopathy Severity in Fundus Images with DenseNet121 and ResNet50</t>
        </is>
      </c>
      <c r="D2093" s="5" t="inlineStr">
        <is>
          <t>Outcome not related to interest</t>
        </is>
      </c>
    </row>
    <row r="2094" ht="16" customHeight="1" s="55">
      <c r="A2094" s="86" t="inlineStr">
        <is>
          <t>Two Eyes Are Better Than One: Exploiting Binocular Correlation for Diabetic Retinopathy Severity Grading R</t>
        </is>
      </c>
      <c r="D2094" s="44" t="inlineStr">
        <is>
          <t>Repeated article</t>
        </is>
      </c>
    </row>
    <row r="2095" ht="16" customHeight="1" s="55">
      <c r="A2095" s="86" t="inlineStr">
        <is>
          <t>Convolutional Nets for Diabetic Retinopathy Screening in Bangladeshi Patients</t>
        </is>
      </c>
      <c r="D2095" s="5" t="inlineStr">
        <is>
          <t>Outcome not related to interest</t>
        </is>
      </c>
    </row>
    <row r="2096" ht="16" customHeight="1" s="55">
      <c r="A2096" s="86" t="inlineStr">
        <is>
          <t xml:space="preserve">Distributional Shifts in Automated Diabetic Retinopathy Screening
</t>
        </is>
      </c>
      <c r="D2096" s="5" t="inlineStr">
        <is>
          <t>Outcome not related to interest</t>
        </is>
      </c>
    </row>
    <row r="2097" ht="16" customHeight="1" s="55">
      <c r="A2097" s="86" t="inlineStr">
        <is>
          <t>SplitAVG: A heterogeneity-aware federated deep learning method for medical imaging R</t>
        </is>
      </c>
      <c r="D2097" s="44" t="inlineStr">
        <is>
          <t>Repeated article</t>
        </is>
      </c>
    </row>
    <row r="2098" ht="16" customHeight="1" s="55">
      <c r="A2098" s="86" t="inlineStr">
        <is>
          <t>Explainable Diabetic Retinopathy Detection and Retinal Image Generation R</t>
        </is>
      </c>
      <c r="D2098" s="44" t="inlineStr">
        <is>
          <t>Repeated article</t>
        </is>
      </c>
    </row>
    <row r="2099" ht="16" customHeight="1" s="55">
      <c r="A2099" s="86" t="inlineStr">
        <is>
          <t>On the Robustness of Pretraining and Self-Supervision for a Deep Learning-based Analysis of Diabetic Retinopathy</t>
        </is>
      </c>
      <c r="D2099" s="5" t="inlineStr">
        <is>
          <t>Outcome not related to interest</t>
        </is>
      </c>
    </row>
    <row r="2100" ht="16" customHeight="1" s="55">
      <c r="A2100" s="86" t="inlineStr">
        <is>
          <t>Handling Data Heterogeneity with Generative Replay in Collaborative Learning for Medical Imaging</t>
        </is>
      </c>
      <c r="D2100" s="5" t="inlineStr">
        <is>
          <t>Outcome not related to interest</t>
        </is>
      </c>
    </row>
    <row r="2101" ht="16" customHeight="1" s="55">
      <c r="A2101" s="86" t="inlineStr">
        <is>
          <t>DiaRet: A browser-based application for the grading of Diabetic Retinopathy with Integrated Gradients R</t>
        </is>
      </c>
      <c r="D2101" s="44" t="inlineStr">
        <is>
          <t>Repeated article</t>
        </is>
      </c>
    </row>
    <row r="2102" ht="16" customHeight="1" s="55">
      <c r="A2102" s="86" t="inlineStr">
        <is>
          <t xml:space="preserve">Multitasking Deep Learning Model for Detection of Five Stages of Diabetic Retinopathy
</t>
        </is>
      </c>
      <c r="D2102" s="5" t="inlineStr">
        <is>
          <t>Outcome not related to interest</t>
        </is>
      </c>
    </row>
    <row r="2103" ht="16" customHeight="1" s="55">
      <c r="A2103" s="86" t="inlineStr">
        <is>
          <t xml:space="preserve">Uncertainty aware and explainable diagnosis of retinal disease
</t>
        </is>
      </c>
      <c r="D2103" s="5" t="inlineStr">
        <is>
          <t>Outcome not related to interest</t>
        </is>
      </c>
    </row>
    <row r="2104" ht="16" customHeight="1" s="55">
      <c r="A2104" s="86" t="inlineStr">
        <is>
          <t>Dopamine: Differentially Private Federated Learning on Medical Data</t>
        </is>
      </c>
      <c r="D2104" s="5" t="inlineStr">
        <is>
          <t>Outcome not related to interest</t>
        </is>
      </c>
    </row>
    <row r="2105" ht="16" customHeight="1" s="55">
      <c r="A2105" s="86" t="inlineStr">
        <is>
          <t>An Active Learning Method for Diabetic Retinopathy Classification with Uncertainty Quantification</t>
        </is>
      </c>
      <c r="D2105" s="5" t="inlineStr">
        <is>
          <t>Outcome not related to interest</t>
        </is>
      </c>
    </row>
    <row r="2106" ht="16" customHeight="1" s="55">
      <c r="A2106" s="86" t="inlineStr">
        <is>
          <t>Diabetic Retinopathy Grading System Based on Transfer Learning</t>
        </is>
      </c>
      <c r="D2106" s="5" t="inlineStr">
        <is>
          <t>Outcome not related to interest</t>
        </is>
      </c>
    </row>
    <row r="2107" ht="16" customHeight="1" s="55">
      <c r="A2107" s="86" t="inlineStr">
        <is>
          <t>DRDr II: Detecting the Severity Level of Diabetic Retinopathy Using Mask RCNN and Transfer Learning R</t>
        </is>
      </c>
      <c r="D2107" s="44" t="inlineStr">
        <is>
          <t>Repeated article</t>
        </is>
      </c>
    </row>
    <row r="2108" ht="16" customHeight="1" s="55">
      <c r="A2108" s="86" t="inlineStr">
        <is>
          <t>Learning Discriminative Representations for Fine-Grained Diabetic Retinopathy GradingR</t>
        </is>
      </c>
      <c r="D2108" s="44" t="inlineStr">
        <is>
          <t>Repeated article</t>
        </is>
      </c>
    </row>
    <row r="2109" ht="16" customHeight="1" s="55">
      <c r="A2109" s="86" t="inlineStr">
        <is>
          <t>Sea-Net: Squeeze-And-Excitation Attention Net For Diabetic Retinopathy Grading R</t>
        </is>
      </c>
      <c r="D2109" s="44" t="inlineStr">
        <is>
          <t>Repeated article</t>
        </is>
      </c>
    </row>
    <row r="2110" ht="16" customHeight="1" s="55">
      <c r="A2110" s="86" t="inlineStr">
        <is>
          <t>Conversion and Implementation of State-of-the-Art Deep Learning Algorithms for the Classification of Diabetic Retinopathy</t>
        </is>
      </c>
      <c r="D2110" s="5" t="inlineStr">
        <is>
          <t>Outcome not related to interest</t>
        </is>
      </c>
    </row>
    <row r="2111" ht="16" customHeight="1" s="55">
      <c r="A2111" s="86" t="inlineStr">
        <is>
          <t>A Benchmark for Studying Diabetic Retinopathy: Segmentation, Grading, and Transferability</t>
        </is>
      </c>
      <c r="D2111" s="5" t="inlineStr">
        <is>
          <t>Outcome not related to interest</t>
        </is>
      </c>
    </row>
    <row r="2112" ht="16" customHeight="1" s="55">
      <c r="A2112" s="86" t="inlineStr">
        <is>
          <t>Predicting Risk of Developing Diabetic Retinopathy using Deep Learning</t>
        </is>
      </c>
      <c r="D2112" s="5" t="inlineStr">
        <is>
          <t>Outcome not related to interest</t>
        </is>
      </c>
    </row>
    <row r="2113" ht="16" customHeight="1" s="55">
      <c r="A2113" s="86" t="inlineStr">
        <is>
          <t>Diabetic Retinopathy Diagnosis based on Convolutional Neural Network</t>
        </is>
      </c>
      <c r="D2113" s="5" t="inlineStr">
        <is>
          <t>Outcome not related to interest</t>
        </is>
      </c>
    </row>
    <row r="2114" ht="16" customHeight="1" s="55">
      <c r="A2114" s="86" t="inlineStr">
        <is>
          <t>Hybrid Deep Learning Gaussian Process for Diabetic Retinopathy Diagnosis and Uncertainty Quantification</t>
        </is>
      </c>
      <c r="D2114" s="5" t="inlineStr">
        <is>
          <t>Outcome not related to interest</t>
        </is>
      </c>
    </row>
    <row r="2115" ht="16" customHeight="1" s="55">
      <c r="A2115" s="86" t="inlineStr">
        <is>
          <t>Classification of Diabetic Retinopathy via Fundus Photography: Utilization of Deep Learning Approaches to Speed up Disease Detection</t>
        </is>
      </c>
      <c r="D2115" s="5" t="inlineStr">
        <is>
          <t>Outcome not related to interest</t>
        </is>
      </c>
    </row>
    <row r="2116" ht="16" customHeight="1" s="55">
      <c r="A2116" s="86" t="inlineStr">
        <is>
          <t>Blended Multi-Modal Deep ConvNet Features for Diabetic Retinopathy Severity Prediction</t>
        </is>
      </c>
      <c r="D2116" s="5" t="inlineStr">
        <is>
          <t>Outcome not related to interest</t>
        </is>
      </c>
    </row>
    <row r="2117" ht="16" customHeight="1" s="55">
      <c r="A2117" s="86" t="inlineStr">
        <is>
          <t>Addressing Artificial Intelligence Bias in Retinal Disease Diagnostics</t>
        </is>
      </c>
      <c r="D2117" s="5" t="inlineStr">
        <is>
          <t>Outcome not related to interest</t>
        </is>
      </c>
    </row>
    <row r="2118" ht="16" customHeight="1" s="55">
      <c r="A2118" s="86" t="inlineStr">
        <is>
          <t>Automated Smartphone based System for Diagnosis of Diabetic Retinopathy R</t>
        </is>
      </c>
      <c r="D2118" s="44" t="inlineStr">
        <is>
          <t>Repeated article</t>
        </is>
      </c>
    </row>
    <row r="2119" ht="16" customHeight="1" s="55">
      <c r="A2119" s="86" t="inlineStr">
        <is>
          <t>Deep Learning Approach to Diabetic Retinopathy Detection</t>
        </is>
      </c>
      <c r="D2119" s="5" t="inlineStr">
        <is>
          <t>Outcome not related to interest</t>
        </is>
      </c>
    </row>
    <row r="2120" ht="16" customHeight="1" s="55">
      <c r="A2120" s="86" t="inlineStr">
        <is>
          <t>Optimal Transfer Learning Model for Binary Classification of Funduscopic Images through Simple Heuristics</t>
        </is>
      </c>
      <c r="D2120" s="5" t="inlineStr">
        <is>
          <t>Outcome not related to interest</t>
        </is>
      </c>
    </row>
    <row r="2121" ht="16" customHeight="1" s="55">
      <c r="A2121" s="86" t="inlineStr">
        <is>
          <t>Point-of-Care Diabetic Retinopathy Diagnosis: A Standalone Mobile Application Approach</t>
        </is>
      </c>
      <c r="D2121" s="5" t="inlineStr">
        <is>
          <t>Outcome not related to interest</t>
        </is>
      </c>
    </row>
    <row r="2122" ht="16" customHeight="1" s="55">
      <c r="A2122" s="86" t="inlineStr">
        <is>
          <t>Early Detection of Diabetic Retinopathy and Severity Scale Measurement: A Progressive Review &amp; Scopes</t>
        </is>
      </c>
      <c r="D2122" s="5" t="inlineStr">
        <is>
          <t>Review</t>
        </is>
      </c>
    </row>
    <row r="2123" ht="16" customHeight="1" s="55">
      <c r="A2123" s="86" t="inlineStr">
        <is>
          <t>A Systematic Comparison of Bayesian Deep Learning Robustness in Diabetic Retinopathy Tasks</t>
        </is>
      </c>
      <c r="D2123" s="5" t="inlineStr">
        <is>
          <t>Outcome not related to interest</t>
        </is>
      </c>
    </row>
    <row r="2124" ht="16" customHeight="1" s="55">
      <c r="A2124" s="86" t="inlineStr">
        <is>
          <t>CANet: Cross-disease Attention Network for Joint Diabetic Retinopathy and Diabetic Macular Edema GradingR</t>
        </is>
      </c>
      <c r="D2124" s="44" t="inlineStr">
        <is>
          <t>Repeated article</t>
        </is>
      </c>
    </row>
    <row r="2125" ht="16" customHeight="1" s="55">
      <c r="A2125" s="86" t="inlineStr">
        <is>
          <t>DRGRADUATE: uncertainty-aware deep learning-based diabetic retinopathy grading in eye fundus images</t>
        </is>
      </c>
      <c r="D2125" s="5" t="inlineStr">
        <is>
          <t>Outcome not related to interest</t>
        </is>
      </c>
    </row>
    <row r="2126" ht="16" customHeight="1" s="55">
      <c r="A2126" s="86" t="inlineStr">
        <is>
          <t>Iterative Augmentation of Visual Evidence for Weakly-Supervised Lesion Localization in Deep Interpretability Frameworks: Application to Color Fundus Images R</t>
        </is>
      </c>
      <c r="D2126" s="84" t="inlineStr">
        <is>
          <t>Repeated article</t>
        </is>
      </c>
    </row>
    <row r="2127" ht="16" customHeight="1" s="55">
      <c r="A2127" s="86" t="inlineStr">
        <is>
          <t>Advances in Computer-Aided Diagnosis of Diabetic Retinopathy</t>
        </is>
      </c>
      <c r="D2127" s="5" t="inlineStr">
        <is>
          <t>Outcome not related to interest</t>
        </is>
      </c>
    </row>
    <row r="2128" ht="16" customHeight="1" s="55">
      <c r="A2128" s="86" t="inlineStr">
        <is>
          <t>Automatic detection of rare pathologies in fundus photographs using few-shot learning</t>
        </is>
      </c>
      <c r="D2128" s="5" t="inlineStr">
        <is>
          <t>Outcome not related to interest</t>
        </is>
      </c>
    </row>
    <row r="2129" ht="16" customHeight="1" s="55">
      <c r="A2129" s="19" t="inlineStr">
        <is>
          <t>Transfer Learning based Detection of Diabetic Retinopathy from Small Dataset</t>
        </is>
      </c>
      <c r="D2129" s="5" t="inlineStr">
        <is>
          <t>Outcome not related to interest</t>
        </is>
      </c>
    </row>
    <row r="2130" ht="16" customHeight="1" s="55">
      <c r="A2130" s="86" t="inlineStr">
        <is>
          <t>BiRA-Net: Bilinear Attention Net for Diabetic Retinopathy GradingR</t>
        </is>
      </c>
      <c r="D2130" s="84" t="inlineStr">
        <is>
          <t>Repeated article</t>
        </is>
      </c>
    </row>
    <row r="2131" ht="16" customHeight="1" s="55">
      <c r="A2131" s="86" t="inlineStr">
        <is>
          <t>Deep Learning Fundus Image Analysis for Diabetic Retinopathy and Macular Edema Grading</t>
        </is>
      </c>
      <c r="D2131" s="5" t="inlineStr">
        <is>
          <t>Outcome not related to interest</t>
        </is>
      </c>
    </row>
    <row r="2132" ht="16" customHeight="1" s="55">
      <c r="A2132" s="86" t="inlineStr">
        <is>
          <t>Evaluation of a deep learning system for the joint automated detection of diabetic retinopathy and age-related macular degeneration</t>
        </is>
      </c>
      <c r="D2132" s="84" t="inlineStr">
        <is>
          <t>Repeated article</t>
        </is>
      </c>
    </row>
    <row r="2133" ht="16" customHeight="1" s="55">
      <c r="A2133" s="86" t="inlineStr">
        <is>
          <t>Evaluation of Transfer Learning for Classification of: (1) Diabetic Retinopathy by Digital Fundus Photography and (2) Diabetic Macular Edema, Choroidal Neovascularization and Drusen by Optical Coherence Tomography</t>
        </is>
      </c>
      <c r="D2133" s="5" t="inlineStr">
        <is>
          <t>Outcome not related to interest</t>
        </is>
      </c>
    </row>
    <row r="2134" ht="16" customHeight="1" s="55">
      <c r="A2134" s="86" t="inlineStr">
        <is>
          <t>Deep Learning based Early Detection and Grading of Diabetic Retinopathy Using Retinal Fundus Images</t>
        </is>
      </c>
      <c r="D2134" s="5" t="inlineStr">
        <is>
          <t>Outcome not related to interest</t>
        </is>
      </c>
    </row>
    <row r="2135" ht="16" customHeight="1" s="55">
      <c r="A2135" s="86" t="inlineStr">
        <is>
          <t>Semi-Supervised Deep Learning for Abnormality Classification in Retinal Images</t>
        </is>
      </c>
      <c r="D2135" s="5" t="inlineStr">
        <is>
          <t>Outcome not related to interest</t>
        </is>
      </c>
    </row>
    <row r="2136" ht="16" customHeight="1" s="55">
      <c r="A2136" s="86" t="inlineStr">
        <is>
          <t>Deep Learning vs. Human Graders for Classifying Severity Levels of Diabetic Retinopathy in a Real-World Nationwide Screening Program</t>
        </is>
      </c>
      <c r="D2136" s="44" t="inlineStr">
        <is>
          <t>Repeated article</t>
        </is>
      </c>
    </row>
    <row r="2137" ht="16" customHeight="1" s="55">
      <c r="A2137" s="86" t="inlineStr">
        <is>
          <t>MedAL: Deep Active Learning Sampling Method for Medical Image Analysis</t>
        </is>
      </c>
      <c r="D2137" s="5" t="inlineStr">
        <is>
          <t>Outcome not related to interest</t>
        </is>
      </c>
    </row>
    <row r="2138" ht="16" customHeight="1" s="55">
      <c r="A2138" s="86" t="inlineStr">
        <is>
          <t>Identification and Visualization of the Underlying Independent Causes of the Diagnostic of Diabetic Retinopathy made by a Deep Learning Classifier</t>
        </is>
      </c>
      <c r="D2138" s="5" t="inlineStr">
        <is>
          <t>Outcome not related to interest</t>
        </is>
      </c>
    </row>
    <row r="2139" ht="16" customHeight="1" s="55">
      <c r="A2139" s="86" t="inlineStr">
        <is>
          <t>Multi-Cell Multi-Task Convolutional Neural Networks for Diabetic Retinopathy Grading R</t>
        </is>
      </c>
      <c r="D2139" s="44" t="inlineStr">
        <is>
          <t>Repeated article</t>
        </is>
      </c>
    </row>
    <row r="2140" ht="16" customHeight="1" s="55">
      <c r="A2140" s="86" t="inlineStr">
        <is>
          <t>Deep Learning on Retina Images as Screening Tool for Diagnostic Decision Support</t>
        </is>
      </c>
      <c r="D2140" s="5" t="inlineStr">
        <is>
          <t>Outcome not related to interest</t>
        </is>
      </c>
    </row>
    <row r="2141" ht="16" customHeight="1" s="55">
      <c r="A2141" s="86" t="inlineStr">
        <is>
          <t>Replication study: Development and validation of deep learning algorithm for detection of diabetic retinopathy in retinal fundus photographs</t>
        </is>
      </c>
      <c r="D2141" s="5" t="inlineStr">
        <is>
          <t>Outcome not related to interest</t>
        </is>
      </c>
    </row>
    <row r="2142" ht="16" customHeight="1" s="55">
      <c r="A2142" s="86" t="inlineStr">
        <is>
          <t>A Deep Learning Interpretable Classifier for Diabetic Retinopathy Disease Grading R</t>
        </is>
      </c>
      <c r="D2142" s="44" t="inlineStr">
        <is>
          <t>Repeated article</t>
        </is>
      </c>
    </row>
    <row r="2143" ht="16" customHeight="1" s="55">
      <c r="A2143" s="86" t="inlineStr">
        <is>
          <t>Grader variability and the importance of reference standards for evaluating machine learning models for diabetic retinopathy</t>
        </is>
      </c>
      <c r="D2143" s="44" t="inlineStr">
        <is>
          <t>Repeated article</t>
        </is>
      </c>
    </row>
    <row r="2144" ht="16" customHeight="1" s="55">
      <c r="A2144" s="86" t="inlineStr">
        <is>
          <t>Lesion detection and Grading of Diabetic Retinopathy via Two-stages Deep Convolutional Neural Networks</t>
        </is>
      </c>
      <c r="D2144" s="5" t="inlineStr">
        <is>
          <t>Outcome not related to interest</t>
        </is>
      </c>
    </row>
    <row r="2145" ht="16" customHeight="1" s="55">
      <c r="A2145" s="86" t="inlineStr">
        <is>
          <t>Diabetic Retinopathy Detection via Deep Convolutional Networks for Discriminative Localization and Visual Explanation</t>
        </is>
      </c>
      <c r="D2145" s="5" t="inlineStr">
        <is>
          <t>Outcome not related to interest</t>
        </is>
      </c>
    </row>
    <row r="2146" ht="16" customHeight="1" s="55">
      <c r="A2146" s="86" t="inlineStr">
        <is>
          <t>Deep image mining for diabetic retinopathy screening</t>
        </is>
      </c>
      <c r="D2146" s="5" t="inlineStr">
        <is>
          <t>Outcome not related to interest</t>
        </is>
      </c>
    </row>
    <row r="2147" ht="16" customHeight="1" s="55">
      <c r="A2147" s="86" t="inlineStr">
        <is>
          <t>Diabetic Retinopathy detection through integration of Deep Learning classification framework</t>
        </is>
      </c>
      <c r="D2147" s="5" t="inlineStr">
        <is>
          <t>Outcome not related to interest</t>
        </is>
      </c>
    </row>
    <row r="2148" ht="16" customHeight="1" s="55">
      <c r="A2148" s="86" t="inlineStr">
        <is>
          <t>Self-supervised retinal thickness prediction enables deep learning from unlabeled data to boost classification of diabetic retinopathy</t>
        </is>
      </c>
      <c r="D2148" s="5" t="inlineStr">
        <is>
          <t>Outcome not related to interest</t>
        </is>
      </c>
    </row>
    <row r="2149" ht="16" customHeight="1" s="55">
      <c r="A2149" s="86" t="inlineStr">
        <is>
          <t>Convolutional neural networks for mild diabetic retinopathy detection: an experimental study</t>
        </is>
      </c>
      <c r="D2149" s="5" t="inlineStr">
        <is>
          <t>Outcome not related to interest</t>
        </is>
      </c>
    </row>
    <row r="2150" ht="16" customHeight="1" s="55">
      <c r="A2150" s="86" t="inlineStr">
        <is>
          <t>Artificial Intelligence for Early Detection and Prognosis Prediction of Diabetic Retinopathy</t>
        </is>
      </c>
      <c r="D2150" s="5" t="inlineStr">
        <is>
          <t>Outcome not related to interest</t>
        </is>
      </c>
    </row>
    <row r="2151" ht="16" customHeight="1" s="55">
      <c r="A2151" s="86" t="inlineStr">
        <is>
          <t>In-context learning for data-efficient classification of diabetic retinopathy with multimodal foundation models</t>
        </is>
      </c>
      <c r="D2151" s="5" t="inlineStr">
        <is>
          <t>Outcome not related to interest</t>
        </is>
      </c>
    </row>
    <row r="2152" ht="16" customHeight="1" s="55">
      <c r="A2152" s="86" t="inlineStr">
        <is>
          <t>Equitable deep learning for diabetic retinopathy detection using multi-dimensional retinal imaging with fair adaptive scaling: a retrospective study</t>
        </is>
      </c>
      <c r="D2152" s="5" t="inlineStr">
        <is>
          <t>Outcome not related to interest</t>
        </is>
      </c>
    </row>
    <row r="2153" ht="16" customHeight="1" s="55">
      <c r="A2153" s="86" t="inlineStr">
        <is>
          <t>An Inherently Interpretable AI model improves Screening Speed and Accuracy for Early Diabetic Retinopathy</t>
        </is>
      </c>
      <c r="D2153" s="5" t="inlineStr">
        <is>
          <t>Outcome not related to interest</t>
        </is>
      </c>
    </row>
    <row r="2154" ht="16" customHeight="1" s="55">
      <c r="A2154" s="86" t="inlineStr">
        <is>
          <t>Combining Transfer Learning with Retinal Lesions Features for Accurate Detection of Diabetic Retinopathy R</t>
        </is>
      </c>
      <c r="D2154" s="44" t="inlineStr">
        <is>
          <t>Repeated article</t>
        </is>
      </c>
    </row>
    <row r="2155" ht="16" customHeight="1" s="55">
      <c r="A2155" s="86" t="inlineStr">
        <is>
          <t>Predicting the future development of diabetic retinopathy using a deep learning algorithm for the analysis of non-invasive retinal imaging R</t>
        </is>
      </c>
      <c r="D2155" s="44" t="inlineStr">
        <is>
          <t>Repeated article</t>
        </is>
      </c>
    </row>
    <row r="2156" ht="16" customHeight="1" s="55">
      <c r="A2156" s="86" t="inlineStr">
        <is>
          <t>Identification of Key Biomarkers for Early Warning of Diabetic Retinopathy Using BP Neural Network Algorithm and Hierarchical Clustering Analysis</t>
        </is>
      </c>
      <c r="D2156" s="5" t="inlineStr">
        <is>
          <t>Outcome not related to interest</t>
        </is>
      </c>
    </row>
    <row r="2157" ht="16" customHeight="1" s="55">
      <c r="A2157" s="86" t="inlineStr">
        <is>
          <t>Visual explanations for the detection of diabetic retinopathy from retinal fundus images</t>
        </is>
      </c>
      <c r="D2157" s="5" t="inlineStr">
        <is>
          <t>Outcome not related to interest</t>
        </is>
      </c>
    </row>
    <row r="2158" ht="16" customHeight="1" s="55">
      <c r="A2158" s="86" t="inlineStr">
        <is>
          <t>Screening Diabetic Retinopathy Using an Automated Retinal Image Analysis System in Mexico: Independent and Assistive use Cases</t>
        </is>
      </c>
      <c r="D2158" s="84" t="inlineStr">
        <is>
          <t>Repeated article</t>
        </is>
      </c>
    </row>
    <row r="2159" ht="16" customHeight="1" s="55">
      <c r="A2159" s="86" t="inlineStr">
        <is>
          <t>A Deep Learning Model for Screening Type 2 Diabetes from Retinal Photographs R</t>
        </is>
      </c>
      <c r="D2159" s="84" t="inlineStr">
        <is>
          <t>Repeated article</t>
        </is>
      </c>
    </row>
    <row r="2160" ht="16" customHeight="1" s="55">
      <c r="A2160" s="86" t="inlineStr">
        <is>
          <t>Screening of Diabetes and Hypertension Based on Retinal Fundus Photographs Using Deep Learning</t>
        </is>
      </c>
      <c r="D2160" s="5" t="inlineStr">
        <is>
          <t>Outcome not related to interest</t>
        </is>
      </c>
    </row>
    <row r="2161" ht="16" customHeight="1" s="55">
      <c r="A2161" s="86" t="inlineStr">
        <is>
          <t>An Efficient and Interpretable Foundation Model for Retinal Image Analysis in Disease Diagnosis</t>
        </is>
      </c>
      <c r="D2161" s="5" t="inlineStr">
        <is>
          <t>Outcome not related to interest</t>
        </is>
      </c>
    </row>
  </sheetData>
  <autoFilter ref="D1:D2161"/>
  <conditionalFormatting sqref="A1:A1048576">
    <cfRule type="duplicateValues" priority="2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1" sqref="B21"/>
    </sheetView>
  </sheetViews>
  <sheetFormatPr baseColWidth="10" defaultColWidth="11" defaultRowHeight="15"/>
  <cols>
    <col width="22" customWidth="1" style="55" min="1" max="1"/>
    <col width="40" customWidth="1" style="55" min="2" max="2"/>
    <col width="22" customWidth="1" style="55" min="3" max="3"/>
    <col width="6" customWidth="1" style="55" min="4" max="4"/>
    <col width="18" bestFit="1" customWidth="1" style="55" min="5" max="5"/>
    <col width="30" bestFit="1" customWidth="1" style="55" min="6" max="6"/>
    <col width="20" customWidth="1" style="55" min="7" max="7"/>
    <col width="22" bestFit="1" customWidth="1" style="55" min="8" max="8"/>
    <col width="35" bestFit="1" customWidth="1" style="55" min="9" max="9"/>
    <col width="22" bestFit="1" customWidth="1" style="55" min="10" max="10"/>
    <col width="25" customWidth="1" style="55" min="11" max="11"/>
    <col width="35" customWidth="1" style="55" min="12" max="12"/>
    <col width="25" customWidth="1" style="55" min="13" max="13"/>
    <col width="20" bestFit="1" customWidth="1" style="55" min="14" max="14"/>
    <col width="12" bestFit="1" customWidth="1" style="55" min="15" max="15"/>
    <col width="20" customWidth="1" style="55" min="16" max="16"/>
    <col width="14" customWidth="1" style="55" min="17" max="17"/>
    <col width="30" bestFit="1" customWidth="1" style="55" min="18" max="18"/>
    <col width="15" bestFit="1" customWidth="1" style="55" min="19" max="19"/>
    <col width="35" customWidth="1" style="55" min="20" max="20"/>
    <col width="25" bestFit="1" customWidth="1" style="55" min="21" max="21"/>
    <col width="18" bestFit="1" customWidth="1" style="55" min="22" max="22"/>
    <col width="30" bestFit="1" customWidth="1" style="55" min="23" max="23"/>
    <col width="25" bestFit="1" customWidth="1" style="55" min="24" max="24"/>
    <col width="15" customWidth="1" style="55" min="25" max="25"/>
    <col width="12" bestFit="1" customWidth="1" style="55" min="26" max="26"/>
    <col width="14" bestFit="1" customWidth="1" style="55" min="27" max="27"/>
    <col width="30" customWidth="1" style="55" min="28" max="28"/>
    <col width="14" customWidth="1" style="55" min="29" max="31"/>
    <col width="25" customWidth="1" style="55" min="32" max="32"/>
    <col width="30" bestFit="1" customWidth="1" style="55" min="33" max="33"/>
    <col width="30" customWidth="1" style="55" min="34" max="34"/>
    <col width="25" customWidth="1" style="55" min="35" max="35"/>
    <col width="12" customWidth="1" style="55" min="36" max="36"/>
    <col width="30" bestFit="1" customWidth="1" style="55" min="37" max="37"/>
    <col width="22" bestFit="1" customWidth="1" style="55" min="38" max="38"/>
    <col width="35" customWidth="1" style="55" min="39" max="39"/>
  </cols>
  <sheetData>
    <row r="1" ht="17" customHeight="1" s="55" thickBot="1"/>
    <row r="2" ht="16" customFormat="1" customHeight="1" s="83" thickBot="1">
      <c r="A2" s="40" t="n"/>
      <c r="B2" s="40" t="n"/>
      <c r="C2" s="40" t="n"/>
      <c r="D2" s="40" t="n"/>
      <c r="E2" s="81" t="inlineStr">
        <is>
          <t>Study setting characteristics</t>
        </is>
      </c>
      <c r="F2" s="78" t="n"/>
      <c r="G2" s="78" t="n"/>
      <c r="H2" s="78" t="n"/>
      <c r="I2" s="78" t="n"/>
      <c r="J2" s="78" t="n"/>
      <c r="K2" s="77" t="n"/>
      <c r="L2" s="77" t="n"/>
      <c r="M2" s="78" t="n"/>
      <c r="N2" s="78" t="n"/>
      <c r="O2" s="78" t="n"/>
      <c r="P2" s="78" t="n"/>
      <c r="Q2" s="77" t="n"/>
      <c r="R2" s="77" t="n"/>
      <c r="S2" s="77" t="n"/>
      <c r="T2" s="79" t="n"/>
      <c r="U2" s="80" t="n"/>
      <c r="V2" s="80" t="n"/>
      <c r="W2" s="80" t="n"/>
      <c r="X2" s="79" t="n"/>
      <c r="Y2" s="77" t="n"/>
      <c r="Z2" s="78" t="n"/>
      <c r="AA2" s="78" t="n"/>
      <c r="AB2" s="78" t="n"/>
      <c r="AC2" s="78" t="n"/>
      <c r="AD2" s="78" t="n"/>
      <c r="AE2" s="78" t="n"/>
      <c r="AF2" s="77" t="n"/>
      <c r="AG2" s="77" t="n"/>
      <c r="AH2" s="78" t="n"/>
      <c r="AI2" s="78" t="n"/>
      <c r="AJ2" s="78" t="n"/>
      <c r="AK2" s="78" t="n"/>
      <c r="AL2" s="78" t="n"/>
      <c r="AM2" s="77" t="n"/>
      <c r="AN2" s="78" t="n"/>
    </row>
    <row r="3" ht="18" customFormat="1" customHeight="1" s="83" thickBot="1">
      <c r="A3" s="59" t="inlineStr">
        <is>
          <t>Author</t>
        </is>
      </c>
      <c r="B3" s="59" t="inlineStr">
        <is>
          <t>Title</t>
        </is>
      </c>
      <c r="C3" s="59" t="inlineStr">
        <is>
          <t>Journal</t>
        </is>
      </c>
      <c r="D3" s="59" t="inlineStr">
        <is>
          <t>IF</t>
        </is>
      </c>
      <c r="E3" s="59" t="inlineStr">
        <is>
          <t>Country</t>
        </is>
      </c>
      <c r="F3" s="59" t="inlineStr">
        <is>
          <t>Study design</t>
        </is>
      </c>
      <c r="G3" s="59" t="inlineStr">
        <is>
          <t>Study</t>
        </is>
      </c>
      <c r="H3" s="59" t="inlineStr">
        <is>
          <t>Study period</t>
        </is>
      </c>
      <c r="I3" s="84" t="inlineStr">
        <is>
          <t>Multicenter</t>
        </is>
      </c>
      <c r="J3" s="59" t="inlineStr">
        <is>
          <t>Source of patients</t>
        </is>
      </c>
      <c r="K3" s="84" t="inlineStr">
        <is>
          <t>Source detail</t>
        </is>
      </c>
      <c r="L3" s="59" t="inlineStr">
        <is>
          <t>Healthcare setting</t>
        </is>
      </c>
      <c r="M3" s="59" t="inlineStr">
        <is>
          <t>External validation</t>
        </is>
      </c>
      <c r="N3" s="84" t="inlineStr">
        <is>
          <t>Region</t>
        </is>
      </c>
      <c r="O3" s="59" t="inlineStr">
        <is>
          <t>Population</t>
        </is>
      </c>
      <c r="P3" s="59" t="inlineStr">
        <is>
          <t>Other targets</t>
        </is>
      </c>
      <c r="Q3" s="59" t="inlineStr">
        <is>
          <t>Age (mean ± SD)</t>
        </is>
      </c>
      <c r="R3" s="59" t="inlineStr">
        <is>
          <t>Female %</t>
        </is>
      </c>
      <c r="S3" s="59" t="inlineStr">
        <is>
          <t>Sample size (n)</t>
        </is>
      </c>
      <c r="T3" s="59" t="inlineStr">
        <is>
          <t>Economic status</t>
        </is>
      </c>
      <c r="U3" s="59" t="inlineStr">
        <is>
          <t>DR type</t>
        </is>
      </c>
      <c r="V3" s="59" t="inlineStr">
        <is>
          <t>DM type</t>
        </is>
      </c>
      <c r="W3" s="59" t="inlineStr">
        <is>
          <t>Reference standard</t>
        </is>
      </c>
      <c r="X3" s="59" t="inlineStr">
        <is>
          <t>Image type</t>
        </is>
      </c>
      <c r="Y3" s="59" t="inlineStr">
        <is>
          <t>Dilated pupil</t>
        </is>
      </c>
      <c r="Z3" s="59" t="inlineStr">
        <is>
          <t>Disagreement</t>
        </is>
      </c>
      <c r="AA3" s="59" t="inlineStr">
        <is>
          <t>Criteria</t>
        </is>
      </c>
      <c r="AB3" s="59" t="inlineStr">
        <is>
          <t>Camera Type</t>
        </is>
      </c>
      <c r="AC3" s="59" t="inlineStr">
        <is>
          <t>Number of fields</t>
        </is>
      </c>
      <c r="AD3" s="59" t="inlineStr">
        <is>
          <t>Field of view (degrees)</t>
        </is>
      </c>
      <c r="AE3" s="59" t="inlineStr">
        <is>
          <t>Camera brand</t>
        </is>
      </c>
      <c r="AF3" s="59" t="inlineStr">
        <is>
          <t>Gradable proportion</t>
        </is>
      </c>
      <c r="AG3" s="59" t="inlineStr">
        <is>
          <t>Analysis type</t>
        </is>
      </c>
      <c r="AH3" s="59" t="inlineStr">
        <is>
          <t>Training data (country)</t>
        </is>
      </c>
      <c r="AI3" s="59" t="inlineStr">
        <is>
          <t>Vendor involved</t>
        </is>
      </c>
      <c r="AJ3" s="59" t="inlineStr">
        <is>
          <t>Certification</t>
        </is>
      </c>
      <c r="AK3" s="59" t="inlineStr">
        <is>
          <t>Commercial</t>
        </is>
      </c>
      <c r="AL3" s="59" t="inlineStr">
        <is>
          <t>AI system</t>
        </is>
      </c>
      <c r="AM3" s="59" t="inlineStr">
        <is>
          <t>Quality check</t>
        </is>
      </c>
      <c r="AN3" s="59" t="inlineStr">
        <is>
          <t>Architecture</t>
        </is>
      </c>
    </row>
    <row r="4" ht="16" customHeight="1" s="55">
      <c r="A4" s="60" t="inlineStr">
        <is>
          <t>Similié et al. (2025)</t>
        </is>
      </c>
      <c r="B4" s="60" t="inlineStr">
        <is>
          <t>Grading of diabetic retinopathy using a pre-segmenting deep learning classification model: Validation of an automated algorithm</t>
        </is>
      </c>
      <c r="C4" s="60" t="inlineStr">
        <is>
          <t>Acta Ophthalmologica</t>
        </is>
      </c>
      <c r="D4" s="60" t="n">
        <v>2.8</v>
      </c>
      <c r="E4" s="60" t="inlineStr">
        <is>
          <t>Denmark</t>
        </is>
      </c>
      <c r="F4" s="60" t="inlineStr">
        <is>
          <t>cross-sectional</t>
        </is>
      </c>
      <c r="G4" s="60" t="inlineStr">
        <is>
          <t>retrospective</t>
        </is>
      </c>
      <c r="H4" s="60" t="inlineStr">
        <is>
          <t>NR</t>
        </is>
      </c>
      <c r="I4" s="84" t="inlineStr">
        <is>
          <t>no</t>
        </is>
      </c>
      <c r="J4" s="60" t="inlineStr">
        <is>
          <t>DR screening programme</t>
        </is>
      </c>
      <c r="K4" s="84" t="inlineStr">
        <is>
          <t>Steno Diabetes Center Odense</t>
        </is>
      </c>
      <c r="L4" s="60" t="inlineStr">
        <is>
          <t>tertiary</t>
        </is>
      </c>
      <c r="M4" s="60" t="inlineStr">
        <is>
          <t>no</t>
        </is>
      </c>
      <c r="N4" s="84" t="inlineStr">
        <is>
          <t>europe</t>
        </is>
      </c>
      <c r="O4" s="60" t="inlineStr">
        <is>
          <t>adults with diabetes</t>
        </is>
      </c>
      <c r="P4" s="60" t="inlineStr">
        <is>
          <t>no</t>
        </is>
      </c>
      <c r="Q4" s="60" t="inlineStr">
        <is>
          <t>NR</t>
        </is>
      </c>
      <c r="R4" s="60" t="inlineStr">
        <is>
          <t>NR</t>
        </is>
      </c>
      <c r="S4" s="60" t="n">
        <v>500</v>
      </c>
      <c r="T4" s="60" t="inlineStr">
        <is>
          <t>high</t>
        </is>
      </c>
      <c r="U4" s="60" t="inlineStr">
        <is>
          <t>any dr</t>
        </is>
      </c>
      <c r="V4" s="60" t="inlineStr">
        <is>
          <t>type 1; type 2</t>
        </is>
      </c>
      <c r="W4" s="60" t="inlineStr">
        <is>
          <t>ophthalmologist</t>
        </is>
      </c>
      <c r="X4" s="60" t="inlineStr">
        <is>
          <t>CFP</t>
        </is>
      </c>
      <c r="Y4" s="60" t="inlineStr">
        <is>
          <t>mydriatic</t>
        </is>
      </c>
      <c r="Z4" s="60" t="inlineStr">
        <is>
          <t>consensus</t>
        </is>
      </c>
      <c r="AA4" s="60" t="inlineStr">
        <is>
          <t>icdr</t>
        </is>
      </c>
      <c r="AB4" s="60" t="inlineStr">
        <is>
          <t>desktop</t>
        </is>
      </c>
      <c r="AC4" s="60" t="inlineStr">
        <is>
          <t>6</t>
        </is>
      </c>
      <c r="AD4" s="60" t="inlineStr">
        <is>
          <t>NR</t>
        </is>
      </c>
      <c r="AE4" s="60" t="inlineStr">
        <is>
          <t>Topcon</t>
        </is>
      </c>
      <c r="AF4" s="61" t="inlineStr">
        <is>
          <t>1.00</t>
        </is>
      </c>
      <c r="AG4" s="60" t="inlineStr">
        <is>
          <t>PP</t>
        </is>
      </c>
      <c r="AH4" s="60" t="inlineStr">
        <is>
          <t>Denmark</t>
        </is>
      </c>
      <c r="AI4" s="60" t="inlineStr">
        <is>
          <t>no</t>
        </is>
      </c>
      <c r="AJ4" s="60" t="inlineStr">
        <is>
          <t>no</t>
        </is>
      </c>
      <c r="AK4" s="60" t="inlineStr">
        <is>
          <t>no</t>
        </is>
      </c>
      <c r="AL4" s="60" t="inlineStr">
        <is>
          <t>pre-segmenting DL</t>
        </is>
      </c>
      <c r="AM4" s="60" t="inlineStr">
        <is>
          <t>no</t>
        </is>
      </c>
      <c r="AN4" s="60" t="inlineStr">
        <is>
          <t>U-Net + Inception-v3</t>
        </is>
      </c>
    </row>
    <row r="5" ht="16" customHeight="1" s="55">
      <c r="A5" s="60" t="inlineStr">
        <is>
          <t>Šín et al. (2025)</t>
        </is>
      </c>
      <c r="B5" s="60" t="inlineStr">
        <is>
          <t>Comparison of the Aireen System with Telemedicine Evaluation by an Ophthalmologist – A Real-World Study</t>
        </is>
      </c>
      <c r="C5" s="60" t="inlineStr">
        <is>
          <t>Clinical Ophthalmology</t>
        </is>
      </c>
      <c r="D5" s="60" t="n">
        <v>1.8</v>
      </c>
      <c r="E5" s="60" t="inlineStr">
        <is>
          <t>Czech Republic</t>
        </is>
      </c>
      <c r="F5" s="60" t="inlineStr">
        <is>
          <t>cross-sectional</t>
        </is>
      </c>
      <c r="G5" s="60" t="inlineStr">
        <is>
          <t>prospective</t>
        </is>
      </c>
      <c r="H5" s="60" t="inlineStr">
        <is>
          <t>2022–2022</t>
        </is>
      </c>
      <c r="I5" s="84" t="inlineStr">
        <is>
          <t>yes</t>
        </is>
      </c>
      <c r="J5" s="60" t="inlineStr">
        <is>
          <t>primary diabetes care centers</t>
        </is>
      </c>
      <c r="K5" s="84" t="inlineStr">
        <is>
          <t>4 primary diabetes centers, Czech Republic</t>
        </is>
      </c>
      <c r="L5" s="60" t="inlineStr">
        <is>
          <t>primary</t>
        </is>
      </c>
      <c r="M5" s="60" t="inlineStr">
        <is>
          <t>no</t>
        </is>
      </c>
      <c r="N5" s="84" t="inlineStr">
        <is>
          <t>europe</t>
        </is>
      </c>
      <c r="O5" s="60" t="inlineStr">
        <is>
          <t>adults with diabetes</t>
        </is>
      </c>
      <c r="P5" s="60" t="inlineStr">
        <is>
          <t>no</t>
        </is>
      </c>
      <c r="Q5" s="60" t="inlineStr">
        <is>
          <t>59.7 ± 14.2</t>
        </is>
      </c>
      <c r="R5" s="60" t="inlineStr">
        <is>
          <t>48.5</t>
        </is>
      </c>
      <c r="S5" s="60" t="n">
        <v>1154</v>
      </c>
      <c r="T5" s="60" t="inlineStr">
        <is>
          <t>high</t>
        </is>
      </c>
      <c r="U5" s="60" t="inlineStr">
        <is>
          <t>any dr</t>
        </is>
      </c>
      <c r="V5" s="60" t="inlineStr">
        <is>
          <t>NR</t>
        </is>
      </c>
      <c r="W5" s="60" t="inlineStr">
        <is>
          <t>retina specialist</t>
        </is>
      </c>
      <c r="X5" s="60" t="inlineStr">
        <is>
          <t>CFP</t>
        </is>
      </c>
      <c r="Y5" s="60" t="inlineStr">
        <is>
          <t>non-mydriatic</t>
        </is>
      </c>
      <c r="Z5" s="60" t="inlineStr">
        <is>
          <t>adjudication</t>
        </is>
      </c>
      <c r="AA5" s="60" t="inlineStr">
        <is>
          <t>other</t>
        </is>
      </c>
      <c r="AB5" s="60" t="inlineStr">
        <is>
          <t>desktop</t>
        </is>
      </c>
      <c r="AC5" s="60" t="inlineStr">
        <is>
          <t>1</t>
        </is>
      </c>
      <c r="AD5" s="60" t="inlineStr">
        <is>
          <t>45</t>
        </is>
      </c>
      <c r="AE5" s="60" t="inlineStr">
        <is>
          <t>Canon</t>
        </is>
      </c>
      <c r="AF5" s="61" t="inlineStr">
        <is>
          <t>0.91</t>
        </is>
      </c>
      <c r="AG5" s="60" t="inlineStr">
        <is>
          <t>ITT</t>
        </is>
      </c>
      <c r="AH5" s="60" t="inlineStr">
        <is>
          <t>NR</t>
        </is>
      </c>
      <c r="AI5" s="60" t="inlineStr">
        <is>
          <t>yes</t>
        </is>
      </c>
      <c r="AJ5" s="62" t="inlineStr">
        <is>
          <t>CE</t>
        </is>
      </c>
      <c r="AK5" s="60" t="inlineStr">
        <is>
          <t>yes</t>
        </is>
      </c>
      <c r="AL5" s="60" t="inlineStr">
        <is>
          <t>Aireen</t>
        </is>
      </c>
      <c r="AM5" s="60" t="inlineStr">
        <is>
          <t>yes</t>
        </is>
      </c>
      <c r="AN5" s="60" t="inlineStr">
        <is>
          <t>EfficientNet V2</t>
        </is>
      </c>
    </row>
    <row r="6" ht="16" customHeight="1" s="55">
      <c r="A6" s="60" t="inlineStr">
        <is>
          <t>Zhao et al. (2025)</t>
        </is>
      </c>
      <c r="B6" s="60" t="inlineStr">
        <is>
          <t>Ultra-wide-field fundus photography and AI-based screening and referral for multiple ocular fundus diseases</t>
        </is>
      </c>
      <c r="C6" s="60" t="inlineStr">
        <is>
          <t>Cell Reports Medicine</t>
        </is>
      </c>
      <c r="D6" s="60" t="n">
        <v>10.6</v>
      </c>
      <c r="E6" s="60" t="inlineStr">
        <is>
          <t>China</t>
        </is>
      </c>
      <c r="F6" s="60" t="inlineStr">
        <is>
          <t>cross-sectional</t>
        </is>
      </c>
      <c r="G6" s="60" t="inlineStr">
        <is>
          <t>prospective</t>
        </is>
      </c>
      <c r="H6" s="60" t="inlineStr">
        <is>
          <t>2018–2023</t>
        </is>
      </c>
      <c r="I6" s="84" t="inlineStr">
        <is>
          <t>yes</t>
        </is>
      </c>
      <c r="J6" s="60" t="inlineStr">
        <is>
          <t>tertiary hospitals</t>
        </is>
      </c>
      <c r="K6" s="84" t="inlineStr">
        <is>
          <t>26 medical centers across China</t>
        </is>
      </c>
      <c r="L6" s="60" t="inlineStr">
        <is>
          <t>tertiary</t>
        </is>
      </c>
      <c r="M6" s="60" t="inlineStr">
        <is>
          <t>yes</t>
        </is>
      </c>
      <c r="N6" s="84" t="inlineStr">
        <is>
          <t>asia</t>
        </is>
      </c>
      <c r="O6" s="60" t="inlineStr">
        <is>
          <t>adults with diabetes</t>
        </is>
      </c>
      <c r="P6" s="60" t="inlineStr">
        <is>
          <t>yes</t>
        </is>
      </c>
      <c r="Q6" s="60" t="inlineStr">
        <is>
          <t>46.0 ± 18.3</t>
        </is>
      </c>
      <c r="R6" s="60" t="inlineStr">
        <is>
          <t>55.0</t>
        </is>
      </c>
      <c r="S6" s="60" t="n">
        <v>44039</v>
      </c>
      <c r="T6" s="60" t="inlineStr">
        <is>
          <t>middle</t>
        </is>
      </c>
      <c r="U6" s="60" t="inlineStr">
        <is>
          <t>rdr</t>
        </is>
      </c>
      <c r="V6" s="60" t="inlineStr">
        <is>
          <t>NR</t>
        </is>
      </c>
      <c r="W6" s="60" t="inlineStr">
        <is>
          <t>consensus panel</t>
        </is>
      </c>
      <c r="X6" s="60" t="inlineStr">
        <is>
          <t>UWF</t>
        </is>
      </c>
      <c r="Y6" s="60" t="inlineStr">
        <is>
          <t>non-mydriatic</t>
        </is>
      </c>
      <c r="Z6" s="60" t="inlineStr">
        <is>
          <t>majority vote</t>
        </is>
      </c>
      <c r="AA6" s="60" t="inlineStr">
        <is>
          <t>icdr</t>
        </is>
      </c>
      <c r="AB6" s="60" t="inlineStr">
        <is>
          <t>desktop</t>
        </is>
      </c>
      <c r="AC6" s="60" t="inlineStr">
        <is>
          <t>1</t>
        </is>
      </c>
      <c r="AD6" s="60" t="inlineStr">
        <is>
          <t>200</t>
        </is>
      </c>
      <c r="AE6" s="60" t="inlineStr">
        <is>
          <t>Optos</t>
        </is>
      </c>
      <c r="AF6" s="61" t="inlineStr">
        <is>
          <t>NR</t>
        </is>
      </c>
      <c r="AG6" s="60" t="inlineStr">
        <is>
          <t>PP</t>
        </is>
      </c>
      <c r="AH6" s="60" t="inlineStr">
        <is>
          <t>China</t>
        </is>
      </c>
      <c r="AI6" s="60" t="inlineStr">
        <is>
          <t>no</t>
        </is>
      </c>
      <c r="AJ6" s="62" t="inlineStr">
        <is>
          <t>NMPA</t>
        </is>
      </c>
      <c r="AK6" s="60" t="inlineStr">
        <is>
          <t>yes</t>
        </is>
      </c>
      <c r="AL6" s="60" t="inlineStr">
        <is>
          <t>WARM</t>
        </is>
      </c>
      <c r="AM6" s="60" t="inlineStr">
        <is>
          <t>yes</t>
        </is>
      </c>
      <c r="AN6" s="60" t="inlineStr">
        <is>
          <t>Swin Transformer</t>
        </is>
      </c>
    </row>
    <row r="7" ht="16" customHeight="1" s="55">
      <c r="A7" s="60" t="inlineStr">
        <is>
          <t>Chia et al. (2024)</t>
        </is>
      </c>
      <c r="B7" s="60" t="inlineStr">
        <is>
          <t>Validation of a deep learning system for the detection of diabetic retinopathy in Indigenous Australians</t>
        </is>
      </c>
      <c r="C7" s="60" t="inlineStr">
        <is>
          <t>Br J Ophthalmol</t>
        </is>
      </c>
      <c r="D7" s="60" t="n">
        <v>3.8</v>
      </c>
      <c r="E7" s="60" t="inlineStr">
        <is>
          <t>Australia</t>
        </is>
      </c>
      <c r="F7" s="60" t="inlineStr">
        <is>
          <t>cross-sectional</t>
        </is>
      </c>
      <c r="G7" s="60" t="inlineStr">
        <is>
          <t>retrospective</t>
        </is>
      </c>
      <c r="H7" s="60" t="inlineStr">
        <is>
          <t>2013–2020</t>
        </is>
      </c>
      <c r="I7" s="84" t="inlineStr">
        <is>
          <t>no</t>
        </is>
      </c>
      <c r="J7" s="60" t="inlineStr">
        <is>
          <t>community health service</t>
        </is>
      </c>
      <c r="K7" s="84" t="inlineStr">
        <is>
          <t>Aboriginal Community Controlled Health Service, Perth</t>
        </is>
      </c>
      <c r="L7" s="60" t="inlineStr">
        <is>
          <t>primary</t>
        </is>
      </c>
      <c r="M7" s="60" t="inlineStr">
        <is>
          <t>yes</t>
        </is>
      </c>
      <c r="N7" s="84" t="inlineStr">
        <is>
          <t>asia</t>
        </is>
      </c>
      <c r="O7" s="60" t="inlineStr">
        <is>
          <t>adults with diabetes</t>
        </is>
      </c>
      <c r="P7" s="60" t="inlineStr">
        <is>
          <t>yes</t>
        </is>
      </c>
      <c r="Q7" s="60" t="inlineStr">
        <is>
          <t>54.9 ± 15.0</t>
        </is>
      </c>
      <c r="R7" s="60" t="inlineStr">
        <is>
          <t>52.4</t>
        </is>
      </c>
      <c r="S7" s="60" t="n">
        <v>864</v>
      </c>
      <c r="T7" s="60" t="inlineStr">
        <is>
          <t>high</t>
        </is>
      </c>
      <c r="U7" s="60" t="inlineStr">
        <is>
          <t>rdr</t>
        </is>
      </c>
      <c r="V7" s="60" t="inlineStr">
        <is>
          <t>NR</t>
        </is>
      </c>
      <c r="W7" s="60" t="inlineStr">
        <is>
          <t>consensus panel</t>
        </is>
      </c>
      <c r="X7" s="60" t="inlineStr">
        <is>
          <t>CFP</t>
        </is>
      </c>
      <c r="Y7" s="60" t="inlineStr">
        <is>
          <t>non-mydriatic</t>
        </is>
      </c>
      <c r="Z7" s="60" t="inlineStr">
        <is>
          <t>consensus</t>
        </is>
      </c>
      <c r="AA7" s="60" t="inlineStr">
        <is>
          <t>icdr</t>
        </is>
      </c>
      <c r="AB7" s="60" t="inlineStr">
        <is>
          <t>desktop</t>
        </is>
      </c>
      <c r="AC7" s="60" t="inlineStr">
        <is>
          <t>2</t>
        </is>
      </c>
      <c r="AD7" s="60" t="inlineStr">
        <is>
          <t>45</t>
        </is>
      </c>
      <c r="AE7" s="60" t="inlineStr">
        <is>
          <t>Topcon</t>
        </is>
      </c>
      <c r="AF7" s="61" t="inlineStr">
        <is>
          <t>0.88</t>
        </is>
      </c>
      <c r="AG7" s="60" t="inlineStr">
        <is>
          <t>ITT</t>
        </is>
      </c>
      <c r="AH7" s="60" t="inlineStr">
        <is>
          <t>multi-country</t>
        </is>
      </c>
      <c r="AI7" s="60" t="inlineStr">
        <is>
          <t>no</t>
        </is>
      </c>
      <c r="AJ7" s="60" t="inlineStr">
        <is>
          <t>no</t>
        </is>
      </c>
      <c r="AK7" s="60" t="inlineStr">
        <is>
          <t>yes</t>
        </is>
      </c>
      <c r="AL7" s="60" t="inlineStr">
        <is>
          <t>DLS (ensemble)</t>
        </is>
      </c>
      <c r="AM7" s="60" t="inlineStr">
        <is>
          <t>no</t>
        </is>
      </c>
      <c r="AN7" s="60" t="inlineStr">
        <is>
          <t>Inception-v4 (ensemble)</t>
        </is>
      </c>
    </row>
    <row r="8" ht="16" customHeight="1" s="55">
      <c r="A8" s="60" t="inlineStr">
        <is>
          <t>Hu et al. (2024)</t>
        </is>
      </c>
      <c r="B8" s="60" t="inlineStr">
        <is>
          <t>Evaluation of AI-enhanced non-mydriatic fundus photography for diabetic retinopathy screening</t>
        </is>
      </c>
      <c r="C8" s="60" t="inlineStr">
        <is>
          <t>Photodiagnosis and Photodynamic Therapy</t>
        </is>
      </c>
      <c r="D8" s="60" t="n">
        <v>3.1</v>
      </c>
      <c r="E8" s="60" t="inlineStr">
        <is>
          <t>China</t>
        </is>
      </c>
      <c r="F8" s="60" t="inlineStr">
        <is>
          <t>cross-sectional</t>
        </is>
      </c>
      <c r="G8" s="60" t="inlineStr">
        <is>
          <t>prospective</t>
        </is>
      </c>
      <c r="H8" s="60" t="inlineStr">
        <is>
          <t>2019–2021</t>
        </is>
      </c>
      <c r="I8" s="84" t="inlineStr">
        <is>
          <t>no</t>
        </is>
      </c>
      <c r="J8" s="60" t="inlineStr">
        <is>
          <t>tertiary hospital</t>
        </is>
      </c>
      <c r="K8" s="84" t="inlineStr">
        <is>
          <t>Huangshan City People's Hospital</t>
        </is>
      </c>
      <c r="L8" s="60" t="inlineStr">
        <is>
          <t>tertiary</t>
        </is>
      </c>
      <c r="M8" s="60" t="inlineStr">
        <is>
          <t>no</t>
        </is>
      </c>
      <c r="N8" s="84" t="inlineStr">
        <is>
          <t>asia</t>
        </is>
      </c>
      <c r="O8" s="60" t="inlineStr">
        <is>
          <t>adults with diabetes</t>
        </is>
      </c>
      <c r="P8" s="60" t="inlineStr">
        <is>
          <t>yes</t>
        </is>
      </c>
      <c r="Q8" s="60" t="inlineStr">
        <is>
          <t>NR</t>
        </is>
      </c>
      <c r="R8" s="60" t="inlineStr">
        <is>
          <t>50.8</t>
        </is>
      </c>
      <c r="S8" s="60" t="n">
        <v>120</v>
      </c>
      <c r="T8" s="60" t="inlineStr">
        <is>
          <t>middle</t>
        </is>
      </c>
      <c r="U8" s="60" t="inlineStr">
        <is>
          <t>any dr</t>
        </is>
      </c>
      <c r="V8" s="60" t="inlineStr">
        <is>
          <t>NR</t>
        </is>
      </c>
      <c r="W8" s="60" t="inlineStr">
        <is>
          <t>ophthalmologist</t>
        </is>
      </c>
      <c r="X8" s="60" t="inlineStr">
        <is>
          <t>CFP</t>
        </is>
      </c>
      <c r="Y8" s="60" t="inlineStr">
        <is>
          <t>non-mydriatic</t>
        </is>
      </c>
      <c r="Z8" s="60" t="inlineStr">
        <is>
          <t>adjudication</t>
        </is>
      </c>
      <c r="AA8" s="60" t="inlineStr">
        <is>
          <t>icdr</t>
        </is>
      </c>
      <c r="AB8" s="60" t="inlineStr">
        <is>
          <t>desktop</t>
        </is>
      </c>
      <c r="AC8" s="60" t="inlineStr">
        <is>
          <t>1</t>
        </is>
      </c>
      <c r="AD8" s="60" t="inlineStr">
        <is>
          <t>45</t>
        </is>
      </c>
      <c r="AE8" s="60" t="inlineStr">
        <is>
          <t>Topcon</t>
        </is>
      </c>
      <c r="AF8" s="61" t="inlineStr">
        <is>
          <t>0.98</t>
        </is>
      </c>
      <c r="AG8" s="60" t="inlineStr">
        <is>
          <t>PP</t>
        </is>
      </c>
      <c r="AH8" s="60" t="inlineStr">
        <is>
          <t>China</t>
        </is>
      </c>
      <c r="AI8" s="60" t="inlineStr">
        <is>
          <t>yes</t>
        </is>
      </c>
      <c r="AJ8" s="62" t="inlineStr">
        <is>
          <t>no</t>
        </is>
      </c>
      <c r="AK8" s="60" t="inlineStr">
        <is>
          <t>yes</t>
        </is>
      </c>
      <c r="AL8" s="60" t="inlineStr">
        <is>
          <t>AutoEye</t>
        </is>
      </c>
      <c r="AM8" s="60" t="inlineStr">
        <is>
          <t>yes</t>
        </is>
      </c>
      <c r="AN8" s="60" t="inlineStr">
        <is>
          <t>CNN (proprietary)</t>
        </is>
      </c>
    </row>
    <row r="9" ht="16" customHeight="1" s="55">
      <c r="A9" s="60" t="inlineStr">
        <is>
          <t>Li et al. (2024)</t>
        </is>
      </c>
      <c r="B9" s="60" t="inlineStr">
        <is>
          <t>The performance of a deep learning system in assisting junior ophthalmologists in diagnosing 13 major fundus diseases: a prospective multi-center clinical trial</t>
        </is>
      </c>
      <c r="C9" s="60" t="inlineStr">
        <is>
          <t>npj Digital Medicine</t>
        </is>
      </c>
      <c r="D9" s="60" t="n">
        <v>12.4</v>
      </c>
      <c r="E9" s="60" t="inlineStr">
        <is>
          <t>China</t>
        </is>
      </c>
      <c r="F9" s="60" t="inlineStr">
        <is>
          <t>cross-sectional</t>
        </is>
      </c>
      <c r="G9" s="60" t="inlineStr">
        <is>
          <t>prospective</t>
        </is>
      </c>
      <c r="H9" s="60" t="inlineStr">
        <is>
          <t>2020–2021</t>
        </is>
      </c>
      <c r="I9" s="84" t="inlineStr">
        <is>
          <t>yes</t>
        </is>
      </c>
      <c r="J9" s="60" t="inlineStr">
        <is>
          <t>tertiary hospitals</t>
        </is>
      </c>
      <c r="K9" s="84" t="inlineStr">
        <is>
          <t>5 tertiary hospitals, China</t>
        </is>
      </c>
      <c r="L9" s="60" t="inlineStr">
        <is>
          <t>tertiary</t>
        </is>
      </c>
      <c r="M9" s="60" t="inlineStr">
        <is>
          <t>no</t>
        </is>
      </c>
      <c r="N9" s="84" t="inlineStr">
        <is>
          <t>asia</t>
        </is>
      </c>
      <c r="O9" s="60" t="inlineStr">
        <is>
          <t>adults with diabetes</t>
        </is>
      </c>
      <c r="P9" s="60" t="inlineStr">
        <is>
          <t>yes</t>
        </is>
      </c>
      <c r="Q9" s="60" t="inlineStr">
        <is>
          <t>51.7 ± 14.7</t>
        </is>
      </c>
      <c r="R9" s="60" t="inlineStr">
        <is>
          <t>56.7</t>
        </is>
      </c>
      <c r="S9" s="60" t="n">
        <v>748</v>
      </c>
      <c r="T9" s="60" t="inlineStr">
        <is>
          <t>middle</t>
        </is>
      </c>
      <c r="U9" s="60" t="inlineStr">
        <is>
          <t>rdr</t>
        </is>
      </c>
      <c r="V9" s="60" t="inlineStr">
        <is>
          <t>NR</t>
        </is>
      </c>
      <c r="W9" s="60" t="inlineStr">
        <is>
          <t>consensus panel</t>
        </is>
      </c>
      <c r="X9" s="60" t="inlineStr">
        <is>
          <t>CFP</t>
        </is>
      </c>
      <c r="Y9" s="60" t="inlineStr">
        <is>
          <t>non-mydriatic</t>
        </is>
      </c>
      <c r="Z9" s="60" t="inlineStr">
        <is>
          <t>majority vote</t>
        </is>
      </c>
      <c r="AA9" s="60" t="inlineStr">
        <is>
          <t>other</t>
        </is>
      </c>
      <c r="AB9" s="60" t="inlineStr">
        <is>
          <t>desktop</t>
        </is>
      </c>
      <c r="AC9" s="60" t="inlineStr">
        <is>
          <t>1</t>
        </is>
      </c>
      <c r="AD9" s="60" t="inlineStr">
        <is>
          <t>45</t>
        </is>
      </c>
      <c r="AE9" s="60" t="inlineStr">
        <is>
          <t>Kowa; Zeiss; Canon</t>
        </is>
      </c>
      <c r="AF9" s="61" t="inlineStr">
        <is>
          <t>1.00</t>
        </is>
      </c>
      <c r="AG9" s="60" t="inlineStr">
        <is>
          <t>PP</t>
        </is>
      </c>
      <c r="AH9" s="60" t="inlineStr">
        <is>
          <t>China</t>
        </is>
      </c>
      <c r="AI9" s="60" t="inlineStr">
        <is>
          <t>yes</t>
        </is>
      </c>
      <c r="AJ9" s="62" t="inlineStr">
        <is>
          <t>NMPA</t>
        </is>
      </c>
      <c r="AK9" s="62" t="inlineStr">
        <is>
          <t>no</t>
        </is>
      </c>
      <c r="AL9" s="60" t="inlineStr">
        <is>
          <t>DLS</t>
        </is>
      </c>
      <c r="AM9" s="60" t="inlineStr">
        <is>
          <t>no</t>
        </is>
      </c>
      <c r="AN9" s="60" t="inlineStr">
        <is>
          <t>seResNeXt-50 (ensemble)</t>
        </is>
      </c>
    </row>
    <row r="10" ht="16" customHeight="1" s="55">
      <c r="A10" s="60" t="inlineStr">
        <is>
          <t>Pandey et al. (2024)</t>
        </is>
      </c>
      <c r="B10" s="60" t="inlineStr">
        <is>
          <t>Ensemble of deep convolutional neural networks is more accurate and reliable than board-certified ophthalmologists at detecting multiple diseases in retinal fundus photographs</t>
        </is>
      </c>
      <c r="C10" s="60" t="inlineStr">
        <is>
          <t>Br J Ophthalmol</t>
        </is>
      </c>
      <c r="D10" s="60" t="n">
        <v>3.8</v>
      </c>
      <c r="E10" s="60" t="inlineStr">
        <is>
          <t>Canada</t>
        </is>
      </c>
      <c r="F10" s="60" t="inlineStr">
        <is>
          <t>cross-sectional</t>
        </is>
      </c>
      <c r="G10" s="60" t="inlineStr">
        <is>
          <t>retrospective</t>
        </is>
      </c>
      <c r="H10" s="60" t="inlineStr">
        <is>
          <t>NR</t>
        </is>
      </c>
      <c r="I10" s="84" t="inlineStr">
        <is>
          <t>yes</t>
        </is>
      </c>
      <c r="J10" s="60" t="inlineStr">
        <is>
          <t>public datasets</t>
        </is>
      </c>
      <c r="K10" s="84" t="inlineStr">
        <is>
          <t>EyePACS; APTOS; Messidor-2; IDRiD; others</t>
        </is>
      </c>
      <c r="L10" s="60" t="inlineStr">
        <is>
          <t>public dataset</t>
        </is>
      </c>
      <c r="M10" s="60" t="inlineStr">
        <is>
          <t>no</t>
        </is>
      </c>
      <c r="N10" s="84" t="inlineStr">
        <is>
          <t>america</t>
        </is>
      </c>
      <c r="O10" s="60" t="inlineStr">
        <is>
          <t>dataset-based</t>
        </is>
      </c>
      <c r="P10" s="60" t="inlineStr">
        <is>
          <t>no</t>
        </is>
      </c>
      <c r="Q10" s="60" t="inlineStr">
        <is>
          <t>NR</t>
        </is>
      </c>
      <c r="R10" s="60" t="inlineStr">
        <is>
          <t>NR</t>
        </is>
      </c>
      <c r="S10" s="60" t="n">
        <v>100</v>
      </c>
      <c r="T10" s="60" t="inlineStr">
        <is>
          <t>mixed</t>
        </is>
      </c>
      <c r="U10" s="60" t="inlineStr">
        <is>
          <t>any dr</t>
        </is>
      </c>
      <c r="V10" s="60" t="inlineStr">
        <is>
          <t>NR</t>
        </is>
      </c>
      <c r="W10" s="60" t="inlineStr">
        <is>
          <t>consensus panel</t>
        </is>
      </c>
      <c r="X10" s="60" t="inlineStr">
        <is>
          <t>CFP</t>
        </is>
      </c>
      <c r="Y10" s="60" t="inlineStr">
        <is>
          <t>mixed</t>
        </is>
      </c>
      <c r="Z10" s="63" t="inlineStr">
        <is>
          <t>NR</t>
        </is>
      </c>
      <c r="AA10" s="60" t="inlineStr">
        <is>
          <t>other</t>
        </is>
      </c>
      <c r="AB10" s="60" t="inlineStr">
        <is>
          <t>mixed</t>
        </is>
      </c>
      <c r="AC10" s="60" t="inlineStr">
        <is>
          <t>NR</t>
        </is>
      </c>
      <c r="AD10" s="60" t="inlineStr">
        <is>
          <t>NR</t>
        </is>
      </c>
      <c r="AE10" s="60" t="inlineStr">
        <is>
          <t>multiple</t>
        </is>
      </c>
      <c r="AF10" s="64" t="inlineStr">
        <is>
          <t>1.00</t>
        </is>
      </c>
      <c r="AG10" s="63" t="inlineStr">
        <is>
          <t>PP</t>
        </is>
      </c>
      <c r="AH10" s="60" t="inlineStr">
        <is>
          <t>multi-country</t>
        </is>
      </c>
      <c r="AI10" s="60" t="inlineStr">
        <is>
          <t>no</t>
        </is>
      </c>
      <c r="AJ10" s="60" t="inlineStr">
        <is>
          <t>no</t>
        </is>
      </c>
      <c r="AK10" s="60" t="inlineStr">
        <is>
          <t>no</t>
        </is>
      </c>
      <c r="AL10" s="60" t="inlineStr">
        <is>
          <t>DCE</t>
        </is>
      </c>
      <c r="AM10" s="60" t="inlineStr">
        <is>
          <t>no</t>
        </is>
      </c>
      <c r="AN10" s="60" t="inlineStr">
        <is>
          <t>Inception-v3 (ensemble)</t>
        </is>
      </c>
    </row>
    <row r="11" ht="16" customHeight="1" s="55">
      <c r="A11" s="60" t="inlineStr">
        <is>
          <t>Dow et al. (2023)</t>
        </is>
      </c>
      <c r="B11" s="60" t="inlineStr">
        <is>
          <t>Artificial Intelligence-Human Hybrid Workflow Enhances Teleophthalmology for the Detection of Diabetic Retinopathy</t>
        </is>
      </c>
      <c r="C11" s="60" t="inlineStr">
        <is>
          <t>Ophthalmology Science</t>
        </is>
      </c>
      <c r="D11" s="60" t="n">
        <v>3.2</v>
      </c>
      <c r="E11" s="60" t="inlineStr">
        <is>
          <t>USA</t>
        </is>
      </c>
      <c r="F11" s="60" t="inlineStr">
        <is>
          <t>cohort</t>
        </is>
      </c>
      <c r="G11" s="60" t="inlineStr">
        <is>
          <t>prospective</t>
        </is>
      </c>
      <c r="H11" s="60" t="inlineStr">
        <is>
          <t>2020–2022</t>
        </is>
      </c>
      <c r="I11" s="84" t="inlineStr">
        <is>
          <t>yes</t>
        </is>
      </c>
      <c r="J11" s="60" t="inlineStr">
        <is>
          <t>primary care clinics</t>
        </is>
      </c>
      <c r="K11" s="84" t="inlineStr">
        <is>
          <t>STATUS program, 7 Stanford-affiliated clinics</t>
        </is>
      </c>
      <c r="L11" s="60" t="inlineStr">
        <is>
          <t>primary</t>
        </is>
      </c>
      <c r="M11" s="60" t="inlineStr">
        <is>
          <t>no</t>
        </is>
      </c>
      <c r="N11" s="84" t="inlineStr">
        <is>
          <t>america</t>
        </is>
      </c>
      <c r="O11" s="60" t="inlineStr">
        <is>
          <t>adults with diabetes</t>
        </is>
      </c>
      <c r="P11" s="60" t="inlineStr">
        <is>
          <t>yes</t>
        </is>
      </c>
      <c r="Q11" s="60" t="inlineStr">
        <is>
          <t>NR</t>
        </is>
      </c>
      <c r="R11" s="60" t="inlineStr">
        <is>
          <t>NR</t>
        </is>
      </c>
      <c r="S11" s="60" t="n">
        <v>1222</v>
      </c>
      <c r="T11" s="60" t="inlineStr">
        <is>
          <t>high</t>
        </is>
      </c>
      <c r="U11" s="60" t="inlineStr">
        <is>
          <t>rdr</t>
        </is>
      </c>
      <c r="V11" s="60" t="inlineStr">
        <is>
          <t>type 1; type 2</t>
        </is>
      </c>
      <c r="W11" s="60" t="inlineStr">
        <is>
          <t>retina specialist</t>
        </is>
      </c>
      <c r="X11" s="60" t="inlineStr">
        <is>
          <t>CFP</t>
        </is>
      </c>
      <c r="Y11" s="60" t="inlineStr">
        <is>
          <t>non-mydriatic</t>
        </is>
      </c>
      <c r="Z11" s="60" t="inlineStr">
        <is>
          <t>adjudication</t>
        </is>
      </c>
      <c r="AA11" s="60" t="inlineStr">
        <is>
          <t>multiple</t>
        </is>
      </c>
      <c r="AB11" s="60" t="inlineStr">
        <is>
          <t>desktop</t>
        </is>
      </c>
      <c r="AC11" s="60" t="inlineStr">
        <is>
          <t>2</t>
        </is>
      </c>
      <c r="AD11" s="60" t="inlineStr">
        <is>
          <t>45</t>
        </is>
      </c>
      <c r="AE11" s="60" t="inlineStr">
        <is>
          <t>Topcon</t>
        </is>
      </c>
      <c r="AF11" s="61" t="inlineStr">
        <is>
          <t>0.93</t>
        </is>
      </c>
      <c r="AG11" s="60" t="inlineStr">
        <is>
          <t>ITT</t>
        </is>
      </c>
      <c r="AH11" s="60" t="inlineStr">
        <is>
          <t>USA; India</t>
        </is>
      </c>
      <c r="AI11" s="60" t="inlineStr">
        <is>
          <t>yes</t>
        </is>
      </c>
      <c r="AJ11" s="60" t="inlineStr">
        <is>
          <t>FDA</t>
        </is>
      </c>
      <c r="AK11" s="60" t="inlineStr">
        <is>
          <t>yes</t>
        </is>
      </c>
      <c r="AL11" s="60" t="inlineStr">
        <is>
          <t>IDx-DR</t>
        </is>
      </c>
      <c r="AM11" s="60" t="inlineStr">
        <is>
          <t>yes</t>
        </is>
      </c>
      <c r="AN11" s="60" t="inlineStr">
        <is>
          <t>Inception-v3</t>
        </is>
      </c>
    </row>
    <row r="12" ht="16" customHeight="1" s="55">
      <c r="A12" s="60" t="inlineStr">
        <is>
          <t>Lim et al. (2023)</t>
        </is>
      </c>
      <c r="B12" s="60" t="inlineStr">
        <is>
          <t>Artificial Intelligence Detection of Diabetic Retinopathy: Subgroup Comparison of the EyeArt System with Ophthalmologists’ Dilated Examinations</t>
        </is>
      </c>
      <c r="C12" s="60" t="inlineStr">
        <is>
          <t>Ophthalmology Science</t>
        </is>
      </c>
      <c r="D12" s="60" t="n">
        <v>3.2</v>
      </c>
      <c r="E12" s="60" t="inlineStr">
        <is>
          <t>USA</t>
        </is>
      </c>
      <c r="F12" s="60" t="inlineStr">
        <is>
          <t>cross-sectional</t>
        </is>
      </c>
      <c r="G12" s="60" t="inlineStr">
        <is>
          <t>prospective</t>
        </is>
      </c>
      <c r="H12" s="60" t="inlineStr">
        <is>
          <t>2017–2018</t>
        </is>
      </c>
      <c r="I12" s="84" t="inlineStr">
        <is>
          <t>yes</t>
        </is>
      </c>
      <c r="J12" s="60" t="inlineStr">
        <is>
          <t>ophthalmology practices</t>
        </is>
      </c>
      <c r="K12" s="84" t="inlineStr">
        <is>
          <t>10 centers (pivotal trial subset)</t>
        </is>
      </c>
      <c r="L12" s="60" t="inlineStr">
        <is>
          <t>tertiary</t>
        </is>
      </c>
      <c r="M12" s="60" t="inlineStr">
        <is>
          <t>no</t>
        </is>
      </c>
      <c r="N12" s="84" t="inlineStr">
        <is>
          <t>america</t>
        </is>
      </c>
      <c r="O12" s="60" t="inlineStr">
        <is>
          <t>adults with diabetes</t>
        </is>
      </c>
      <c r="P12" s="60" t="inlineStr">
        <is>
          <t>yes</t>
        </is>
      </c>
      <c r="Q12" s="60" t="inlineStr">
        <is>
          <t>NR</t>
        </is>
      </c>
      <c r="R12" s="60" t="inlineStr">
        <is>
          <t>53.2</t>
        </is>
      </c>
      <c r="S12" s="60" t="n">
        <v>521</v>
      </c>
      <c r="T12" s="60" t="inlineStr">
        <is>
          <t>high</t>
        </is>
      </c>
      <c r="U12" s="60" t="inlineStr">
        <is>
          <t>rdr</t>
        </is>
      </c>
      <c r="V12" s="60" t="inlineStr">
        <is>
          <t>type 1; type 2</t>
        </is>
      </c>
      <c r="W12" s="60" t="inlineStr">
        <is>
          <t>retina specialist</t>
        </is>
      </c>
      <c r="X12" s="60" t="inlineStr">
        <is>
          <t>CFP</t>
        </is>
      </c>
      <c r="Y12" s="60" t="inlineStr">
        <is>
          <t>mixed</t>
        </is>
      </c>
      <c r="Z12" s="60" t="inlineStr">
        <is>
          <t>adjudication</t>
        </is>
      </c>
      <c r="AA12" s="60" t="inlineStr">
        <is>
          <t>other</t>
        </is>
      </c>
      <c r="AB12" s="60" t="inlineStr">
        <is>
          <t>desktop</t>
        </is>
      </c>
      <c r="AC12" s="60" t="inlineStr">
        <is>
          <t>2</t>
        </is>
      </c>
      <c r="AD12" s="60" t="inlineStr">
        <is>
          <t>45</t>
        </is>
      </c>
      <c r="AE12" s="60" t="inlineStr">
        <is>
          <t>Canon</t>
        </is>
      </c>
      <c r="AF12" s="61" t="inlineStr">
        <is>
          <t>1.00</t>
        </is>
      </c>
      <c r="AG12" s="60" t="inlineStr">
        <is>
          <t>ITT</t>
        </is>
      </c>
      <c r="AH12" s="60" t="inlineStr">
        <is>
          <t>NR</t>
        </is>
      </c>
      <c r="AI12" s="60" t="inlineStr">
        <is>
          <t>yes</t>
        </is>
      </c>
      <c r="AJ12" s="60" t="inlineStr">
        <is>
          <t>FDA</t>
        </is>
      </c>
      <c r="AK12" s="60" t="inlineStr">
        <is>
          <t>yes</t>
        </is>
      </c>
      <c r="AL12" s="60" t="inlineStr">
        <is>
          <t>EyeArt</t>
        </is>
      </c>
      <c r="AM12" s="60" t="inlineStr">
        <is>
          <t>yes</t>
        </is>
      </c>
      <c r="AN12" s="60" t="inlineStr">
        <is>
          <t>CNN (proprietary)</t>
        </is>
      </c>
    </row>
    <row r="13" ht="16" customHeight="1" s="55">
      <c r="A13" s="76" t="inlineStr">
        <is>
          <t>Núñez do Rio et al. (2023)</t>
        </is>
      </c>
      <c r="B13" s="60" t="inlineStr">
        <is>
          <t>Using deep learning to detect diabetic retinopathy on handheld non-mydriatic retinal images acquired by field workers in community settings</t>
        </is>
      </c>
      <c r="C13" s="60" t="inlineStr">
        <is>
          <t>Scientific Reports</t>
        </is>
      </c>
      <c r="D13" s="60" t="n">
        <v>3.8</v>
      </c>
      <c r="E13" s="60" t="inlineStr">
        <is>
          <t>India</t>
        </is>
      </c>
      <c r="F13" s="60" t="inlineStr">
        <is>
          <t>cross-sectional</t>
        </is>
      </c>
      <c r="G13" s="60" t="inlineStr">
        <is>
          <t>prospective</t>
        </is>
      </c>
      <c r="H13" s="60" t="inlineStr">
        <is>
          <t>2018–2021</t>
        </is>
      </c>
      <c r="I13" s="84" t="inlineStr">
        <is>
          <t>yes</t>
        </is>
      </c>
      <c r="J13" s="60" t="inlineStr">
        <is>
          <t>community screening</t>
        </is>
      </c>
      <c r="K13" s="84" t="inlineStr">
        <is>
          <t>SMART India, 20 community sites</t>
        </is>
      </c>
      <c r="L13" s="60" t="inlineStr">
        <is>
          <t>primary</t>
        </is>
      </c>
      <c r="M13" s="60" t="inlineStr">
        <is>
          <t>no</t>
        </is>
      </c>
      <c r="N13" s="84" t="inlineStr">
        <is>
          <t>asia</t>
        </is>
      </c>
      <c r="O13" s="60" t="inlineStr">
        <is>
          <t>adults with diabetes</t>
        </is>
      </c>
      <c r="P13" s="60" t="inlineStr">
        <is>
          <t>yes</t>
        </is>
      </c>
      <c r="Q13" s="60" t="inlineStr">
        <is>
          <t>54.4 ± 10.7</t>
        </is>
      </c>
      <c r="R13" s="60" t="inlineStr">
        <is>
          <t>51.0</t>
        </is>
      </c>
      <c r="S13" s="60" t="n">
        <v>9778</v>
      </c>
      <c r="T13" s="60" t="inlineStr">
        <is>
          <t>middle</t>
        </is>
      </c>
      <c r="U13" s="60" t="inlineStr">
        <is>
          <t>rdr</t>
        </is>
      </c>
      <c r="V13" s="60" t="inlineStr">
        <is>
          <t>mixed</t>
        </is>
      </c>
      <c r="W13" s="60" t="inlineStr">
        <is>
          <t>consensus panel</t>
        </is>
      </c>
      <c r="X13" s="60" t="inlineStr">
        <is>
          <t>CFP</t>
        </is>
      </c>
      <c r="Y13" s="60" t="inlineStr">
        <is>
          <t>non-mydriatic</t>
        </is>
      </c>
      <c r="Z13" s="60" t="inlineStr">
        <is>
          <t>adjudication</t>
        </is>
      </c>
      <c r="AA13" s="60" t="inlineStr">
        <is>
          <t>icdr</t>
        </is>
      </c>
      <c r="AB13" s="60" t="inlineStr">
        <is>
          <t>portable</t>
        </is>
      </c>
      <c r="AC13" s="60" t="inlineStr">
        <is>
          <t>2</t>
        </is>
      </c>
      <c r="AD13" s="60" t="inlineStr">
        <is>
          <t>40</t>
        </is>
      </c>
      <c r="AE13" s="60" t="inlineStr">
        <is>
          <t>Zeiss</t>
        </is>
      </c>
      <c r="AF13" s="64" t="inlineStr">
        <is>
          <t>1.00</t>
        </is>
      </c>
      <c r="AG13" s="60" t="inlineStr">
        <is>
          <t>PP</t>
        </is>
      </c>
      <c r="AH13" s="60" t="inlineStr">
        <is>
          <t>NR</t>
        </is>
      </c>
      <c r="AI13" s="60" t="inlineStr">
        <is>
          <t>no</t>
        </is>
      </c>
      <c r="AJ13" s="60" t="inlineStr">
        <is>
          <t>CE</t>
        </is>
      </c>
      <c r="AK13" s="60" t="inlineStr">
        <is>
          <t>no</t>
        </is>
      </c>
      <c r="AL13" s="60" t="inlineStr">
        <is>
          <t>DLS</t>
        </is>
      </c>
      <c r="AM13" s="60" t="inlineStr">
        <is>
          <t>no</t>
        </is>
      </c>
      <c r="AN13" s="60" t="inlineStr">
        <is>
          <t>ResNet-34 (dual-branch)</t>
        </is>
      </c>
    </row>
    <row r="14" ht="16" customHeight="1" s="55">
      <c r="A14" s="60" t="inlineStr">
        <is>
          <t>Li et al. (2022)</t>
        </is>
      </c>
      <c r="B14" s="60" t="inlineStr">
        <is>
          <t>A Multicenter Clinical Study of the Automated Fundus Screening Algorithm</t>
        </is>
      </c>
      <c r="C14" s="60" t="inlineStr">
        <is>
          <t>Translational Vision Science &amp; Technology (TVST)</t>
        </is>
      </c>
      <c r="D14" s="60" t="n">
        <v>2.6</v>
      </c>
      <c r="E14" s="60" t="inlineStr">
        <is>
          <t>China</t>
        </is>
      </c>
      <c r="F14" s="60" t="inlineStr">
        <is>
          <t>cross-sectional</t>
        </is>
      </c>
      <c r="G14" s="60" t="inlineStr">
        <is>
          <t>prospective</t>
        </is>
      </c>
      <c r="H14" s="60" t="inlineStr">
        <is>
          <t>2020–2020</t>
        </is>
      </c>
      <c r="I14" s="84" t="inlineStr">
        <is>
          <t>yes</t>
        </is>
      </c>
      <c r="J14" s="60" t="inlineStr">
        <is>
          <t>tertiary hospitals</t>
        </is>
      </c>
      <c r="K14" s="84" t="inlineStr">
        <is>
          <t>7 hospitals across China</t>
        </is>
      </c>
      <c r="L14" s="60" t="inlineStr">
        <is>
          <t>tertiary</t>
        </is>
      </c>
      <c r="M14" s="60" t="inlineStr">
        <is>
          <t>no</t>
        </is>
      </c>
      <c r="N14" s="84" t="inlineStr">
        <is>
          <t>asia</t>
        </is>
      </c>
      <c r="O14" s="60" t="inlineStr">
        <is>
          <t>adults with diabetes</t>
        </is>
      </c>
      <c r="P14" s="60" t="inlineStr">
        <is>
          <t>yes</t>
        </is>
      </c>
      <c r="Q14" s="60" t="inlineStr">
        <is>
          <t>53.2 ± 15.6</t>
        </is>
      </c>
      <c r="R14" s="60" t="inlineStr">
        <is>
          <t>43.2</t>
        </is>
      </c>
      <c r="S14" s="60" t="n">
        <v>1585</v>
      </c>
      <c r="T14" s="60" t="inlineStr">
        <is>
          <t>middle</t>
        </is>
      </c>
      <c r="U14" s="60" t="inlineStr">
        <is>
          <t>rdr</t>
        </is>
      </c>
      <c r="V14" s="60" t="inlineStr">
        <is>
          <t>NR</t>
        </is>
      </c>
      <c r="W14" s="60" t="inlineStr">
        <is>
          <t>consensus panel</t>
        </is>
      </c>
      <c r="X14" s="60" t="inlineStr">
        <is>
          <t>CFP</t>
        </is>
      </c>
      <c r="Y14" s="60" t="inlineStr">
        <is>
          <t>non-mydriatic</t>
        </is>
      </c>
      <c r="Z14" s="60" t="inlineStr">
        <is>
          <t>adjudication</t>
        </is>
      </c>
      <c r="AA14" s="60" t="inlineStr">
        <is>
          <t>icdr</t>
        </is>
      </c>
      <c r="AB14" s="60" t="inlineStr">
        <is>
          <t>desktop</t>
        </is>
      </c>
      <c r="AC14" s="60" t="inlineStr">
        <is>
          <t>1</t>
        </is>
      </c>
      <c r="AD14" s="60" t="inlineStr">
        <is>
          <t>45</t>
        </is>
      </c>
      <c r="AE14" s="60" t="inlineStr">
        <is>
          <t>Topcon; Zeiss</t>
        </is>
      </c>
      <c r="AF14" s="63" t="inlineStr">
        <is>
          <t>1.00</t>
        </is>
      </c>
      <c r="AG14" s="60" t="inlineStr">
        <is>
          <t>PP</t>
        </is>
      </c>
      <c r="AH14" s="60" t="inlineStr">
        <is>
          <t>China</t>
        </is>
      </c>
      <c r="AI14" s="60" t="inlineStr">
        <is>
          <t>yes</t>
        </is>
      </c>
      <c r="AJ14" s="60" t="inlineStr">
        <is>
          <t>no</t>
        </is>
      </c>
      <c r="AK14" s="60" t="inlineStr">
        <is>
          <t>yes</t>
        </is>
      </c>
      <c r="AL14" s="60" t="inlineStr">
        <is>
          <t>AI-100</t>
        </is>
      </c>
      <c r="AM14" s="60" t="inlineStr">
        <is>
          <t>yes</t>
        </is>
      </c>
      <c r="AN14" s="60" t="inlineStr">
        <is>
          <t>DenseNet-121</t>
        </is>
      </c>
    </row>
    <row r="15" ht="16" customHeight="1" s="55">
      <c r="A15" s="60" t="inlineStr">
        <is>
          <t>Ruamviboonsuk et al. (2022)</t>
        </is>
      </c>
      <c r="B15" s="60" t="inlineStr">
        <is>
          <t>Real-time diabetic retinopathy screening by deep learning in a multisite national screening programme: a prospective interventional cohort study</t>
        </is>
      </c>
      <c r="C15" s="60" t="inlineStr">
        <is>
          <t>The Lancet Digital Health</t>
        </is>
      </c>
      <c r="D15" s="60" t="n">
        <v>23.8</v>
      </c>
      <c r="E15" s="60" t="inlineStr">
        <is>
          <t>Thailand</t>
        </is>
      </c>
      <c r="F15" s="60" t="inlineStr">
        <is>
          <t>cohort</t>
        </is>
      </c>
      <c r="G15" s="60" t="inlineStr">
        <is>
          <t>prospective</t>
        </is>
      </c>
      <c r="H15" s="60" t="inlineStr">
        <is>
          <t>2018–2020</t>
        </is>
      </c>
      <c r="I15" s="84" t="inlineStr">
        <is>
          <t>yes</t>
        </is>
      </c>
      <c r="J15" s="60" t="inlineStr">
        <is>
          <t>national screening programme</t>
        </is>
      </c>
      <c r="K15" s="84" t="inlineStr">
        <is>
          <t>Thailand national DR registry, 13 health regions</t>
        </is>
      </c>
      <c r="L15" s="60" t="inlineStr">
        <is>
          <t>primary</t>
        </is>
      </c>
      <c r="M15" s="60" t="inlineStr">
        <is>
          <t>no</t>
        </is>
      </c>
      <c r="N15" s="84" t="inlineStr">
        <is>
          <t>asia</t>
        </is>
      </c>
      <c r="O15" s="60" t="inlineStr">
        <is>
          <t>adults with diabetes</t>
        </is>
      </c>
      <c r="P15" s="60" t="inlineStr">
        <is>
          <t>yes</t>
        </is>
      </c>
      <c r="Q15" s="60" t="inlineStr">
        <is>
          <t>59.9 ± 10.3</t>
        </is>
      </c>
      <c r="R15" s="60" t="inlineStr">
        <is>
          <t>63.1</t>
        </is>
      </c>
      <c r="S15" s="60" t="n">
        <v>7651</v>
      </c>
      <c r="T15" s="60" t="inlineStr">
        <is>
          <t>middle</t>
        </is>
      </c>
      <c r="U15" s="60" t="inlineStr">
        <is>
          <t>vtdr</t>
        </is>
      </c>
      <c r="V15" s="60" t="inlineStr">
        <is>
          <t>type 2</t>
        </is>
      </c>
      <c r="W15" s="60" t="inlineStr">
        <is>
          <t>consensus panel</t>
        </is>
      </c>
      <c r="X15" s="60" t="inlineStr">
        <is>
          <t>CFP</t>
        </is>
      </c>
      <c r="Y15" s="60" t="inlineStr">
        <is>
          <t>mixed</t>
        </is>
      </c>
      <c r="Z15" s="60" t="inlineStr">
        <is>
          <t>consensus</t>
        </is>
      </c>
      <c r="AA15" s="60" t="inlineStr">
        <is>
          <t>icdr</t>
        </is>
      </c>
      <c r="AB15" s="60" t="inlineStr">
        <is>
          <t>desktop</t>
        </is>
      </c>
      <c r="AC15" s="60" t="inlineStr">
        <is>
          <t>1</t>
        </is>
      </c>
      <c r="AD15" s="60" t="inlineStr">
        <is>
          <t>45</t>
        </is>
      </c>
      <c r="AE15" s="60" t="inlineStr">
        <is>
          <t>Topcon; Nidek</t>
        </is>
      </c>
      <c r="AF15" s="60" t="inlineStr">
        <is>
          <t>NR</t>
        </is>
      </c>
      <c r="AG15" s="60" t="inlineStr">
        <is>
          <t>ITT</t>
        </is>
      </c>
      <c r="AH15" s="60" t="inlineStr">
        <is>
          <t>USA; India</t>
        </is>
      </c>
      <c r="AI15" s="60" t="inlineStr">
        <is>
          <t>yes</t>
        </is>
      </c>
      <c r="AJ15" s="60" t="inlineStr">
        <is>
          <t>no</t>
        </is>
      </c>
      <c r="AK15" s="60" t="inlineStr">
        <is>
          <t>yes</t>
        </is>
      </c>
      <c r="AL15" s="60" t="inlineStr">
        <is>
          <t>Google DLS</t>
        </is>
      </c>
      <c r="AM15" s="60" t="inlineStr">
        <is>
          <t>yes</t>
        </is>
      </c>
      <c r="AN15" s="60" t="inlineStr">
        <is>
          <t>NR</t>
        </is>
      </c>
    </row>
    <row r="16" ht="16" customHeight="1" s="55">
      <c r="A16" s="60" t="inlineStr">
        <is>
          <t>Zhang et al. (2022)</t>
        </is>
      </c>
      <c r="B16" s="60" t="inlineStr">
        <is>
          <t>Diabetic Retinopathy Grading by Deep Graph Correlation Network on Retinal Images Without Manual Annotations</t>
        </is>
      </c>
      <c r="C16" s="60" t="inlineStr">
        <is>
          <t>Frontiers in Medicine</t>
        </is>
      </c>
      <c r="D16" s="60" t="n">
        <v>3.1</v>
      </c>
      <c r="E16" s="60" t="inlineStr">
        <is>
          <t>USA; India; France</t>
        </is>
      </c>
      <c r="F16" s="60" t="inlineStr">
        <is>
          <t>cross-sectional</t>
        </is>
      </c>
      <c r="G16" s="60" t="inlineStr">
        <is>
          <t>retrospective</t>
        </is>
      </c>
      <c r="H16" s="60" t="inlineStr">
        <is>
          <t>NR</t>
        </is>
      </c>
      <c r="I16" s="84" t="inlineStr">
        <is>
          <t>yes</t>
        </is>
      </c>
      <c r="J16" s="60" t="inlineStr">
        <is>
          <t>public datasets</t>
        </is>
      </c>
      <c r="K16" s="84" t="inlineStr">
        <is>
          <t>EyePACS-1; Messidor-2</t>
        </is>
      </c>
      <c r="L16" s="60" t="inlineStr">
        <is>
          <t>public dataset</t>
        </is>
      </c>
      <c r="M16" s="60" t="inlineStr">
        <is>
          <t>yes</t>
        </is>
      </c>
      <c r="N16" s="84" t="inlineStr">
        <is>
          <t>mixed</t>
        </is>
      </c>
      <c r="O16" s="60" t="inlineStr">
        <is>
          <t>dataset-based</t>
        </is>
      </c>
      <c r="P16" s="60" t="inlineStr">
        <is>
          <t>no</t>
        </is>
      </c>
      <c r="Q16" s="60" t="inlineStr">
        <is>
          <t>NR</t>
        </is>
      </c>
      <c r="R16" s="60" t="inlineStr">
        <is>
          <t>NR</t>
        </is>
      </c>
      <c r="S16" s="60" t="n">
        <v>6032</v>
      </c>
      <c r="T16" s="60" t="inlineStr">
        <is>
          <t>mixed</t>
        </is>
      </c>
      <c r="U16" s="60" t="inlineStr">
        <is>
          <t>rdr</t>
        </is>
      </c>
      <c r="V16" s="60" t="inlineStr">
        <is>
          <t>NR</t>
        </is>
      </c>
      <c r="W16" s="60" t="inlineStr">
        <is>
          <t>consensus panel</t>
        </is>
      </c>
      <c r="X16" s="60" t="inlineStr">
        <is>
          <t>CFP</t>
        </is>
      </c>
      <c r="Y16" s="60" t="inlineStr">
        <is>
          <t>NR</t>
        </is>
      </c>
      <c r="Z16" s="60" t="inlineStr">
        <is>
          <t>consensus</t>
        </is>
      </c>
      <c r="AA16" s="60" t="inlineStr">
        <is>
          <t>icdr</t>
        </is>
      </c>
      <c r="AB16" s="60" t="inlineStr">
        <is>
          <t>mixed</t>
        </is>
      </c>
      <c r="AC16" s="60" t="inlineStr">
        <is>
          <t>NR</t>
        </is>
      </c>
      <c r="AD16" s="60" t="inlineStr">
        <is>
          <t>45</t>
        </is>
      </c>
      <c r="AE16" s="60" t="inlineStr">
        <is>
          <t>Topcon; multiple</t>
        </is>
      </c>
      <c r="AF16" s="63" t="inlineStr">
        <is>
          <t>1.00</t>
        </is>
      </c>
      <c r="AG16" s="63" t="inlineStr">
        <is>
          <t>PP</t>
        </is>
      </c>
      <c r="AH16" s="60" t="inlineStr">
        <is>
          <t>China</t>
        </is>
      </c>
      <c r="AI16" s="60" t="inlineStr">
        <is>
          <t>yes</t>
        </is>
      </c>
      <c r="AJ16" s="60" t="inlineStr">
        <is>
          <t>no</t>
        </is>
      </c>
      <c r="AK16" s="60" t="inlineStr">
        <is>
          <t>no</t>
        </is>
      </c>
      <c r="AL16" s="60" t="inlineStr">
        <is>
          <t>DGCN</t>
        </is>
      </c>
      <c r="AM16" s="60" t="inlineStr">
        <is>
          <t>no</t>
        </is>
      </c>
      <c r="AN16" s="60" t="inlineStr">
        <is>
          <t>ResNet-50 + GCN</t>
        </is>
      </c>
    </row>
    <row r="17" ht="16" customHeight="1" s="55">
      <c r="A17" s="60" t="inlineStr">
        <is>
          <t>Hsieh et al. (2021)</t>
        </is>
      </c>
      <c r="B17" s="60" t="inlineStr">
        <is>
          <t>Application of deep learning image assessment software VeriSee™ for diabetic retinopathy screening</t>
        </is>
      </c>
      <c r="C17" s="60" t="inlineStr">
        <is>
          <t>Journal of the Formosan Medical Association</t>
        </is>
      </c>
      <c r="D17" s="60" t="n">
        <v>2.6</v>
      </c>
      <c r="E17" s="60" t="inlineStr">
        <is>
          <t>Taiwan</t>
        </is>
      </c>
      <c r="F17" s="60" t="inlineStr">
        <is>
          <t>cross-sectional</t>
        </is>
      </c>
      <c r="G17" s="60" t="inlineStr">
        <is>
          <t>retrospective</t>
        </is>
      </c>
      <c r="H17" s="60" t="inlineStr">
        <is>
          <t>2007–2017</t>
        </is>
      </c>
      <c r="I17" s="84" t="inlineStr">
        <is>
          <t>no</t>
        </is>
      </c>
      <c r="J17" s="60" t="inlineStr">
        <is>
          <t>university hospital</t>
        </is>
      </c>
      <c r="K17" s="84" t="inlineStr">
        <is>
          <t>National Taiwan University Hospital</t>
        </is>
      </c>
      <c r="L17" s="60" t="inlineStr">
        <is>
          <t>tertiary</t>
        </is>
      </c>
      <c r="M17" s="60" t="inlineStr">
        <is>
          <t>no</t>
        </is>
      </c>
      <c r="N17" s="84" t="inlineStr">
        <is>
          <t>asia</t>
        </is>
      </c>
      <c r="O17" s="60" t="inlineStr">
        <is>
          <t>adults with diabetes</t>
        </is>
      </c>
      <c r="P17" s="60" t="inlineStr">
        <is>
          <t>no</t>
        </is>
      </c>
      <c r="Q17" s="60" t="inlineStr">
        <is>
          <t>NR</t>
        </is>
      </c>
      <c r="R17" s="60" t="inlineStr">
        <is>
          <t>NR</t>
        </is>
      </c>
      <c r="S17" s="60" t="n">
        <v>1875</v>
      </c>
      <c r="T17" s="60" t="inlineStr">
        <is>
          <t>high</t>
        </is>
      </c>
      <c r="U17" s="60" t="inlineStr">
        <is>
          <t>rdr</t>
        </is>
      </c>
      <c r="V17" s="60" t="inlineStr">
        <is>
          <t>type 2</t>
        </is>
      </c>
      <c r="W17" s="60" t="inlineStr">
        <is>
          <t>ophthalmologist</t>
        </is>
      </c>
      <c r="X17" s="60" t="inlineStr">
        <is>
          <t>CFP</t>
        </is>
      </c>
      <c r="Y17" s="60" t="inlineStr">
        <is>
          <t>non-mydriatic</t>
        </is>
      </c>
      <c r="Z17" s="60" t="inlineStr">
        <is>
          <t>adjudication</t>
        </is>
      </c>
      <c r="AA17" s="60" t="inlineStr">
        <is>
          <t>icdr</t>
        </is>
      </c>
      <c r="AB17" s="60" t="inlineStr">
        <is>
          <t>desktop</t>
        </is>
      </c>
      <c r="AC17" s="60" t="inlineStr">
        <is>
          <t>1</t>
        </is>
      </c>
      <c r="AD17" s="60" t="inlineStr">
        <is>
          <t>45</t>
        </is>
      </c>
      <c r="AE17" s="60" t="inlineStr">
        <is>
          <t>Canon</t>
        </is>
      </c>
      <c r="AF17" s="63" t="inlineStr">
        <is>
          <t>1.00</t>
        </is>
      </c>
      <c r="AG17" s="60" t="inlineStr">
        <is>
          <t>PP</t>
        </is>
      </c>
      <c r="AH17" s="60" t="inlineStr">
        <is>
          <t>Taiwan</t>
        </is>
      </c>
      <c r="AI17" s="60" t="inlineStr">
        <is>
          <t>yes</t>
        </is>
      </c>
      <c r="AJ17" s="60" t="inlineStr">
        <is>
          <t>TFDA</t>
        </is>
      </c>
      <c r="AK17" s="60" t="inlineStr">
        <is>
          <t>yes</t>
        </is>
      </c>
      <c r="AL17" s="60" t="inlineStr">
        <is>
          <t>VeriSee</t>
        </is>
      </c>
      <c r="AM17" s="60" t="inlineStr">
        <is>
          <t>yes</t>
        </is>
      </c>
      <c r="AN17" s="60" t="inlineStr">
        <is>
          <t>Inception-v4 (ensemble)</t>
        </is>
      </c>
    </row>
    <row r="18" ht="16" customHeight="1" s="55">
      <c r="A18" s="60" t="inlineStr">
        <is>
          <t>Kim et al. (2021)</t>
        </is>
      </c>
      <c r="B18" s="60" t="inlineStr">
        <is>
          <t>Comparison of automated and expert human grading of diabetic retinopathy using smartphone-based retinal photography</t>
        </is>
      </c>
      <c r="C18" s="60" t="inlineStr">
        <is>
          <t>Eye</t>
        </is>
      </c>
      <c r="D18" s="60" t="n">
        <v>2.8</v>
      </c>
      <c r="E18" s="60" t="inlineStr">
        <is>
          <t>USA</t>
        </is>
      </c>
      <c r="F18" s="60" t="inlineStr">
        <is>
          <t>cross-sectional</t>
        </is>
      </c>
      <c r="G18" s="60" t="inlineStr">
        <is>
          <t>prospective</t>
        </is>
      </c>
      <c r="H18" s="60" t="inlineStr">
        <is>
          <t>NR</t>
        </is>
      </c>
      <c r="I18" s="84" t="inlineStr">
        <is>
          <t>no</t>
        </is>
      </c>
      <c r="J18" s="60" t="inlineStr">
        <is>
          <t>university hospital</t>
        </is>
      </c>
      <c r="K18" s="84" t="inlineStr">
        <is>
          <t>University of Michigan Kellogg Eye Center</t>
        </is>
      </c>
      <c r="L18" s="60" t="inlineStr">
        <is>
          <t>tertiary</t>
        </is>
      </c>
      <c r="M18" s="60" t="inlineStr">
        <is>
          <t>no</t>
        </is>
      </c>
      <c r="N18" s="84" t="inlineStr">
        <is>
          <t>america</t>
        </is>
      </c>
      <c r="O18" s="60" t="inlineStr">
        <is>
          <t>adults with diabetes</t>
        </is>
      </c>
      <c r="P18" s="60" t="inlineStr">
        <is>
          <t>no</t>
        </is>
      </c>
      <c r="Q18" s="60" t="inlineStr">
        <is>
          <t>57.0 ± 15.7</t>
        </is>
      </c>
      <c r="R18" s="60" t="inlineStr">
        <is>
          <t>37.7</t>
        </is>
      </c>
      <c r="S18" s="60" t="n">
        <v>69</v>
      </c>
      <c r="T18" s="60" t="inlineStr">
        <is>
          <t>high</t>
        </is>
      </c>
      <c r="U18" s="60" t="inlineStr">
        <is>
          <t>rdr</t>
        </is>
      </c>
      <c r="V18" s="60" t="inlineStr">
        <is>
          <t>type 1; type 2</t>
        </is>
      </c>
      <c r="W18" s="60" t="inlineStr">
        <is>
          <t>retina specialist</t>
        </is>
      </c>
      <c r="X18" s="60" t="inlineStr">
        <is>
          <t>CFP</t>
        </is>
      </c>
      <c r="Y18" s="60" t="inlineStr">
        <is>
          <t>non-mydriatic</t>
        </is>
      </c>
      <c r="Z18" s="60" t="inlineStr">
        <is>
          <t>NR</t>
        </is>
      </c>
      <c r="AA18" s="60" t="inlineStr">
        <is>
          <t>etdrs</t>
        </is>
      </c>
      <c r="AB18" s="60" t="inlineStr">
        <is>
          <t>smartphone</t>
        </is>
      </c>
      <c r="AC18" s="60" t="inlineStr">
        <is>
          <t>5</t>
        </is>
      </c>
      <c r="AD18" s="60" t="inlineStr">
        <is>
          <t>50</t>
        </is>
      </c>
      <c r="AE18" s="60" t="inlineStr">
        <is>
          <t>RetinaScope</t>
        </is>
      </c>
      <c r="AF18" s="63" t="inlineStr">
        <is>
          <t>1.00</t>
        </is>
      </c>
      <c r="AG18" s="60" t="inlineStr">
        <is>
          <t>PP</t>
        </is>
      </c>
      <c r="AH18" s="60" t="inlineStr">
        <is>
          <t>NR</t>
        </is>
      </c>
      <c r="AI18" s="60" t="inlineStr">
        <is>
          <t>yes</t>
        </is>
      </c>
      <c r="AJ18" s="60" t="inlineStr">
        <is>
          <t>CE</t>
        </is>
      </c>
      <c r="AK18" s="60" t="inlineStr">
        <is>
          <t>yes</t>
        </is>
      </c>
      <c r="AL18" s="60" t="inlineStr">
        <is>
          <t>EyeArt v2.0</t>
        </is>
      </c>
      <c r="AM18" s="60" t="inlineStr">
        <is>
          <t>yes</t>
        </is>
      </c>
      <c r="AN18" s="60" t="inlineStr">
        <is>
          <t>NR</t>
        </is>
      </c>
    </row>
    <row r="19" ht="16" customHeight="1" s="55">
      <c r="A19" s="60" t="inlineStr">
        <is>
          <t>Li et al. (2021)</t>
        </is>
      </c>
      <c r="B19" s="60" t="inlineStr">
        <is>
          <t>The Clinical Influence after Implementation of Convolutional Neural Network-Based Software for Diabetic Retinopathy Detection in the Primary Care Setting</t>
        </is>
      </c>
      <c r="C19" s="60" t="inlineStr">
        <is>
          <t>Life</t>
        </is>
      </c>
      <c r="D19" s="60" t="n">
        <v>3.2</v>
      </c>
      <c r="E19" s="60" t="inlineStr">
        <is>
          <t>Taiwan</t>
        </is>
      </c>
      <c r="F19" s="60" t="inlineStr">
        <is>
          <t>cross-sectional</t>
        </is>
      </c>
      <c r="G19" s="60" t="inlineStr">
        <is>
          <t>prospective</t>
        </is>
      </c>
      <c r="H19" s="60" t="inlineStr">
        <is>
          <t>2019–2019</t>
        </is>
      </c>
      <c r="I19" s="84" t="inlineStr">
        <is>
          <t>no</t>
        </is>
      </c>
      <c r="J19" s="60" t="inlineStr">
        <is>
          <t>university hospital</t>
        </is>
      </c>
      <c r="K19" s="84" t="inlineStr">
        <is>
          <t>Taichung Veterans General Hospital</t>
        </is>
      </c>
      <c r="L19" s="60" t="inlineStr">
        <is>
          <t>tertiary</t>
        </is>
      </c>
      <c r="M19" s="60" t="inlineStr">
        <is>
          <t>no</t>
        </is>
      </c>
      <c r="N19" s="84" t="inlineStr">
        <is>
          <t>asia</t>
        </is>
      </c>
      <c r="O19" s="60" t="inlineStr">
        <is>
          <t>adults with diabetes</t>
        </is>
      </c>
      <c r="P19" s="60" t="inlineStr">
        <is>
          <t>no</t>
        </is>
      </c>
      <c r="Q19" s="60" t="inlineStr">
        <is>
          <t>NR</t>
        </is>
      </c>
      <c r="R19" s="60" t="inlineStr">
        <is>
          <t>NR</t>
        </is>
      </c>
      <c r="S19" s="60" t="n">
        <v>468</v>
      </c>
      <c r="T19" s="60" t="inlineStr">
        <is>
          <t>high</t>
        </is>
      </c>
      <c r="U19" s="60" t="inlineStr">
        <is>
          <t>rdr</t>
        </is>
      </c>
      <c r="V19" s="60" t="inlineStr">
        <is>
          <t>type 2</t>
        </is>
      </c>
      <c r="W19" s="60" t="inlineStr">
        <is>
          <t>ophthalmologist</t>
        </is>
      </c>
      <c r="X19" s="60" t="inlineStr">
        <is>
          <t>CFP</t>
        </is>
      </c>
      <c r="Y19" s="60" t="inlineStr">
        <is>
          <t>non-mydriatic</t>
        </is>
      </c>
      <c r="Z19" s="60" t="inlineStr">
        <is>
          <t>majority vote</t>
        </is>
      </c>
      <c r="AA19" s="60" t="inlineStr">
        <is>
          <t>icdr</t>
        </is>
      </c>
      <c r="AB19" s="60" t="inlineStr">
        <is>
          <t>desktop</t>
        </is>
      </c>
      <c r="AC19" s="60" t="inlineStr">
        <is>
          <t>1</t>
        </is>
      </c>
      <c r="AD19" s="60" t="inlineStr">
        <is>
          <t>45</t>
        </is>
      </c>
      <c r="AE19" s="60" t="inlineStr">
        <is>
          <t>Canon</t>
        </is>
      </c>
      <c r="AF19" s="63" t="inlineStr">
        <is>
          <t>1.00</t>
        </is>
      </c>
      <c r="AG19" s="60" t="inlineStr">
        <is>
          <t>PP</t>
        </is>
      </c>
      <c r="AH19" s="60" t="inlineStr">
        <is>
          <t>Taiwan</t>
        </is>
      </c>
      <c r="AI19" s="60" t="inlineStr">
        <is>
          <t>yes</t>
        </is>
      </c>
      <c r="AJ19" s="60" t="inlineStr">
        <is>
          <t>TFDA</t>
        </is>
      </c>
      <c r="AK19" s="60" t="inlineStr">
        <is>
          <t>yes</t>
        </is>
      </c>
      <c r="AL19" s="60" t="inlineStr">
        <is>
          <t>VeriSee</t>
        </is>
      </c>
      <c r="AM19" s="60" t="inlineStr">
        <is>
          <t>yes</t>
        </is>
      </c>
      <c r="AN19" s="60" t="inlineStr">
        <is>
          <t>Inception-v4</t>
        </is>
      </c>
    </row>
    <row r="20" ht="16" customHeight="1" s="55">
      <c r="A20" s="60" t="inlineStr">
        <is>
          <t>Noriega et al. (2021)</t>
        </is>
      </c>
      <c r="B20" s="60" t="inlineStr">
        <is>
          <t>Screening Diabetic Retinopathy Using an Automated Retinal Image Analysis System in Independent and Assistive Use Cases in Mexico: Randomized Controlled Trial</t>
        </is>
      </c>
      <c r="C20" s="60" t="inlineStr">
        <is>
          <t>JMIR Formative Research</t>
        </is>
      </c>
      <c r="D20" s="60" t="n">
        <v>2</v>
      </c>
      <c r="E20" s="60" t="inlineStr">
        <is>
          <t>Mexico</t>
        </is>
      </c>
      <c r="F20" s="60" t="inlineStr">
        <is>
          <t>RCT</t>
        </is>
      </c>
      <c r="G20" s="60" t="inlineStr">
        <is>
          <t>retrospective</t>
        </is>
      </c>
      <c r="H20" s="60" t="inlineStr">
        <is>
          <t>NR</t>
        </is>
      </c>
      <c r="I20" s="84" t="inlineStr">
        <is>
          <t>no</t>
        </is>
      </c>
      <c r="J20" s="60" t="inlineStr">
        <is>
          <t>tertiary hospital</t>
        </is>
      </c>
      <c r="K20" s="84" t="inlineStr">
        <is>
          <t>Hospital de la Ceguera (APEC), Mexico City</t>
        </is>
      </c>
      <c r="L20" s="60" t="inlineStr">
        <is>
          <t>tertiary</t>
        </is>
      </c>
      <c r="M20" s="60" t="inlineStr">
        <is>
          <t>no</t>
        </is>
      </c>
      <c r="N20" s="84" t="inlineStr">
        <is>
          <t>america</t>
        </is>
      </c>
      <c r="O20" s="60" t="inlineStr">
        <is>
          <t>adults with diabetes</t>
        </is>
      </c>
      <c r="P20" s="60" t="inlineStr">
        <is>
          <t>no</t>
        </is>
      </c>
      <c r="Q20" s="60" t="inlineStr">
        <is>
          <t>NR</t>
        </is>
      </c>
      <c r="R20" s="60" t="inlineStr">
        <is>
          <t>NR</t>
        </is>
      </c>
      <c r="S20" s="60" t="n">
        <v>100</v>
      </c>
      <c r="T20" s="60" t="inlineStr">
        <is>
          <t>middle</t>
        </is>
      </c>
      <c r="U20" s="60" t="inlineStr">
        <is>
          <t>rdr</t>
        </is>
      </c>
      <c r="V20" s="60" t="inlineStr">
        <is>
          <t>NR</t>
        </is>
      </c>
      <c r="W20" s="60" t="inlineStr">
        <is>
          <t>consensus panel</t>
        </is>
      </c>
      <c r="X20" s="60" t="inlineStr">
        <is>
          <t>CFP</t>
        </is>
      </c>
      <c r="Y20" s="60" t="inlineStr">
        <is>
          <t>NR</t>
        </is>
      </c>
      <c r="Z20" s="60" t="inlineStr">
        <is>
          <t>majority vote</t>
        </is>
      </c>
      <c r="AA20" s="60" t="inlineStr">
        <is>
          <t>icdr</t>
        </is>
      </c>
      <c r="AB20" s="60" t="inlineStr">
        <is>
          <t>NR</t>
        </is>
      </c>
      <c r="AC20" s="60" t="inlineStr">
        <is>
          <t>1</t>
        </is>
      </c>
      <c r="AD20" s="60" t="inlineStr">
        <is>
          <t>NR</t>
        </is>
      </c>
      <c r="AE20" s="60" t="inlineStr">
        <is>
          <t>NR</t>
        </is>
      </c>
      <c r="AF20" s="63" t="inlineStr">
        <is>
          <t>1.00</t>
        </is>
      </c>
      <c r="AG20" s="60" t="inlineStr">
        <is>
          <t>PP</t>
        </is>
      </c>
      <c r="AH20" s="60" t="inlineStr">
        <is>
          <t>Mexico</t>
        </is>
      </c>
      <c r="AI20" s="60" t="inlineStr">
        <is>
          <t>no</t>
        </is>
      </c>
      <c r="AJ20" s="60" t="inlineStr">
        <is>
          <t>no</t>
        </is>
      </c>
      <c r="AK20" s="60" t="inlineStr">
        <is>
          <t>no</t>
        </is>
      </c>
      <c r="AL20" s="60" t="inlineStr">
        <is>
          <t>ARIA</t>
        </is>
      </c>
      <c r="AM20" s="60" t="inlineStr">
        <is>
          <t>no</t>
        </is>
      </c>
      <c r="AN20" s="60" t="inlineStr">
        <is>
          <t>VGG-like CNN</t>
        </is>
      </c>
    </row>
    <row r="21" ht="16" customHeight="1" s="55">
      <c r="A21" s="60" t="inlineStr">
        <is>
          <t>González-Gonzalo et al. (2020)</t>
        </is>
      </c>
      <c r="B21" s="60" t="inlineStr">
        <is>
          <t>Evaluation of a deep learning system for the joint automated detection of diabetic retinopathy and age-related macular degeneration</t>
        </is>
      </c>
      <c r="C21" s="60" t="inlineStr">
        <is>
          <t>Acta Ophthalmologica</t>
        </is>
      </c>
      <c r="D21" s="60" t="n">
        <v>2.8</v>
      </c>
      <c r="E21" s="60" t="inlineStr">
        <is>
          <t>Sweden; Denmark; Spain</t>
        </is>
      </c>
      <c r="F21" s="60" t="inlineStr">
        <is>
          <t>cross-sectional</t>
        </is>
      </c>
      <c r="G21" s="60" t="inlineStr">
        <is>
          <t>retrospective</t>
        </is>
      </c>
      <c r="H21" s="60" t="inlineStr">
        <is>
          <t>2011–2016</t>
        </is>
      </c>
      <c r="I21" s="84" t="inlineStr">
        <is>
          <t>yes</t>
        </is>
      </c>
      <c r="J21" s="60" t="inlineStr">
        <is>
          <t>tertiary hospitals</t>
        </is>
      </c>
      <c r="K21" s="84" t="inlineStr">
        <is>
          <t>3 European centres (Sweden; Denmark; Spain)</t>
        </is>
      </c>
      <c r="L21" s="60" t="inlineStr">
        <is>
          <t>tertiary</t>
        </is>
      </c>
      <c r="M21" s="60" t="inlineStr">
        <is>
          <t>yes</t>
        </is>
      </c>
      <c r="N21" s="84" t="inlineStr">
        <is>
          <t>europe</t>
        </is>
      </c>
      <c r="O21" s="60" t="inlineStr">
        <is>
          <t>mixed</t>
        </is>
      </c>
      <c r="P21" s="60" t="inlineStr">
        <is>
          <t>yes</t>
        </is>
      </c>
      <c r="Q21" s="60" t="inlineStr">
        <is>
          <t>NR</t>
        </is>
      </c>
      <c r="R21" s="60" t="inlineStr">
        <is>
          <t>NR</t>
        </is>
      </c>
      <c r="S21" s="60" t="n">
        <v>600</v>
      </c>
      <c r="T21" s="60" t="inlineStr">
        <is>
          <t>high</t>
        </is>
      </c>
      <c r="U21" s="60" t="inlineStr">
        <is>
          <t>rdr</t>
        </is>
      </c>
      <c r="V21" s="60" t="inlineStr">
        <is>
          <t>NR</t>
        </is>
      </c>
      <c r="W21" s="60" t="inlineStr">
        <is>
          <t>retina specialist</t>
        </is>
      </c>
      <c r="X21" s="60" t="inlineStr">
        <is>
          <t>CFP</t>
        </is>
      </c>
      <c r="Y21" s="60" t="inlineStr">
        <is>
          <t>non-mydriatic</t>
        </is>
      </c>
      <c r="Z21" s="60" t="inlineStr">
        <is>
          <t>adjudication</t>
        </is>
      </c>
      <c r="AA21" s="60" t="inlineStr">
        <is>
          <t>icdr</t>
        </is>
      </c>
      <c r="AB21" s="60" t="inlineStr">
        <is>
          <t>desktop</t>
        </is>
      </c>
      <c r="AC21" s="60" t="inlineStr">
        <is>
          <t>2</t>
        </is>
      </c>
      <c r="AD21" s="60" t="inlineStr">
        <is>
          <t>45</t>
        </is>
      </c>
      <c r="AE21" s="60" t="inlineStr">
        <is>
          <t>Canon; Topcon</t>
        </is>
      </c>
      <c r="AF21" s="60" t="inlineStr">
        <is>
          <t>NR</t>
        </is>
      </c>
      <c r="AG21" s="60" t="inlineStr">
        <is>
          <t>PP</t>
        </is>
      </c>
      <c r="AH21" s="60" t="inlineStr">
        <is>
          <t>NR</t>
        </is>
      </c>
      <c r="AI21" s="60" t="inlineStr">
        <is>
          <t>no</t>
        </is>
      </c>
      <c r="AJ21" s="60" t="inlineStr">
        <is>
          <t>CE</t>
        </is>
      </c>
      <c r="AK21" s="60" t="inlineStr">
        <is>
          <t>yes</t>
        </is>
      </c>
      <c r="AL21" s="60" t="inlineStr">
        <is>
          <t>RetCAD v1.3.0</t>
        </is>
      </c>
      <c r="AM21" s="60" t="inlineStr">
        <is>
          <t>yes</t>
        </is>
      </c>
      <c r="AN21" s="60" t="inlineStr">
        <is>
          <t>CNN (ensemble)</t>
        </is>
      </c>
    </row>
    <row r="22" ht="16" customHeight="1" s="55">
      <c r="A22" s="60" t="inlineStr">
        <is>
          <t>Limwattanayingyong et al. (2020)</t>
        </is>
      </c>
      <c r="B22" s="60" t="inlineStr">
        <is>
          <t>Longitudinal Screening for Diabetic Retinopathy in a Nationwide Screening Program: Comparing Deep Learning and Human Graders</t>
        </is>
      </c>
      <c r="C22" s="60" t="inlineStr">
        <is>
          <t>Journal of Diabetes Research</t>
        </is>
      </c>
      <c r="D22" s="60" t="n">
        <v>3.6</v>
      </c>
      <c r="E22" s="60" t="inlineStr">
        <is>
          <t>Thailand</t>
        </is>
      </c>
      <c r="F22" s="60" t="inlineStr">
        <is>
          <t>cohort</t>
        </is>
      </c>
      <c r="G22" s="60" t="inlineStr">
        <is>
          <t>retrospective</t>
        </is>
      </c>
      <c r="H22" s="60" t="inlineStr">
        <is>
          <t>2014–2017</t>
        </is>
      </c>
      <c r="I22" s="84" t="inlineStr">
        <is>
          <t>yes</t>
        </is>
      </c>
      <c r="J22" s="60" t="inlineStr">
        <is>
          <t>national screening programme</t>
        </is>
      </c>
      <c r="K22" s="84" t="inlineStr">
        <is>
          <t>Thailand national DR screening, 13 regions</t>
        </is>
      </c>
      <c r="L22" s="60" t="inlineStr">
        <is>
          <t>primary</t>
        </is>
      </c>
      <c r="M22" s="60" t="inlineStr">
        <is>
          <t>no</t>
        </is>
      </c>
      <c r="N22" s="84" t="inlineStr">
        <is>
          <t>asia</t>
        </is>
      </c>
      <c r="O22" s="60" t="inlineStr">
        <is>
          <t>adults with diabetes</t>
        </is>
      </c>
      <c r="P22" s="60" t="inlineStr">
        <is>
          <t>yes</t>
        </is>
      </c>
      <c r="Q22" s="60" t="inlineStr">
        <is>
          <t>57.3 ± 10.4</t>
        </is>
      </c>
      <c r="R22" s="60" t="inlineStr">
        <is>
          <t>68.8</t>
        </is>
      </c>
      <c r="S22" s="60" t="n">
        <v>5738</v>
      </c>
      <c r="T22" s="60" t="inlineStr">
        <is>
          <t>middle</t>
        </is>
      </c>
      <c r="U22" s="60" t="inlineStr">
        <is>
          <t>vtdr</t>
        </is>
      </c>
      <c r="V22" s="60" t="inlineStr">
        <is>
          <t>type 2</t>
        </is>
      </c>
      <c r="W22" s="60" t="inlineStr">
        <is>
          <t>trained grader</t>
        </is>
      </c>
      <c r="X22" s="60" t="inlineStr">
        <is>
          <t>CFP</t>
        </is>
      </c>
      <c r="Y22" s="60" t="inlineStr">
        <is>
          <t>mixed</t>
        </is>
      </c>
      <c r="Z22" s="60" t="inlineStr">
        <is>
          <t>NR</t>
        </is>
      </c>
      <c r="AA22" s="60" t="inlineStr">
        <is>
          <t>icdr</t>
        </is>
      </c>
      <c r="AB22" s="60" t="inlineStr">
        <is>
          <t>mixed</t>
        </is>
      </c>
      <c r="AC22" s="60" t="inlineStr">
        <is>
          <t>1</t>
        </is>
      </c>
      <c r="AD22" s="60" t="inlineStr">
        <is>
          <t>45</t>
        </is>
      </c>
      <c r="AE22" s="60" t="inlineStr">
        <is>
          <t>Topcon; Nidek; Kowa</t>
        </is>
      </c>
      <c r="AF22" s="60" t="inlineStr">
        <is>
          <t>NR</t>
        </is>
      </c>
      <c r="AG22" s="60" t="inlineStr">
        <is>
          <t>PP</t>
        </is>
      </c>
      <c r="AH22" s="60" t="inlineStr">
        <is>
          <t>multi-country</t>
        </is>
      </c>
      <c r="AI22" s="60" t="inlineStr">
        <is>
          <t>yes</t>
        </is>
      </c>
      <c r="AJ22" s="62" t="inlineStr">
        <is>
          <t>no</t>
        </is>
      </c>
      <c r="AK22" s="62" t="inlineStr">
        <is>
          <t>no</t>
        </is>
      </c>
      <c r="AL22" s="60" t="inlineStr">
        <is>
          <t>Google DLS</t>
        </is>
      </c>
      <c r="AM22" s="60" t="inlineStr">
        <is>
          <t>NR</t>
        </is>
      </c>
      <c r="AN22" s="62" t="inlineStr">
        <is>
          <t>Inception-v4 (ensemble)</t>
        </is>
      </c>
    </row>
    <row r="23" ht="16" customHeight="1" s="55">
      <c r="A23" s="60" t="inlineStr">
        <is>
          <t>Ruamviboonsuk et al. (2019)</t>
        </is>
      </c>
      <c r="B23" s="60" t="inlineStr">
        <is>
          <t>Deep learning versus human graders for classifying diabetic retinopathy severity in a nationwide screening program</t>
        </is>
      </c>
      <c r="C23" s="60" t="inlineStr">
        <is>
          <t>npj Digital Medicine</t>
        </is>
      </c>
      <c r="D23" s="60" t="n">
        <v>12.4</v>
      </c>
      <c r="E23" s="60" t="inlineStr">
        <is>
          <t>Thailand</t>
        </is>
      </c>
      <c r="F23" s="60" t="inlineStr">
        <is>
          <t>cross-sectional</t>
        </is>
      </c>
      <c r="G23" s="60" t="inlineStr">
        <is>
          <t>retrospective</t>
        </is>
      </c>
      <c r="H23" s="60" t="inlineStr">
        <is>
          <t>2015–2017</t>
        </is>
      </c>
      <c r="I23" s="84" t="inlineStr">
        <is>
          <t>yes</t>
        </is>
      </c>
      <c r="J23" s="60" t="inlineStr">
        <is>
          <t>national screening programme</t>
        </is>
      </c>
      <c r="K23" s="84" t="inlineStr">
        <is>
          <t>Thailand national DR screening, 13 regions</t>
        </is>
      </c>
      <c r="L23" s="60" t="inlineStr">
        <is>
          <t>primary</t>
        </is>
      </c>
      <c r="M23" s="60" t="inlineStr">
        <is>
          <t>no</t>
        </is>
      </c>
      <c r="N23" s="84" t="inlineStr">
        <is>
          <t>asia</t>
        </is>
      </c>
      <c r="O23" s="60" t="inlineStr">
        <is>
          <t>adults with diabetes</t>
        </is>
      </c>
      <c r="P23" s="60" t="inlineStr">
        <is>
          <t>yes</t>
        </is>
      </c>
      <c r="Q23" s="60" t="inlineStr">
        <is>
          <t>61.1 ± 11.0</t>
        </is>
      </c>
      <c r="R23" s="60" t="inlineStr">
        <is>
          <t>67.5</t>
        </is>
      </c>
      <c r="S23" s="60" t="n">
        <v>7517</v>
      </c>
      <c r="T23" s="60" t="inlineStr">
        <is>
          <t>middle</t>
        </is>
      </c>
      <c r="U23" s="60" t="inlineStr">
        <is>
          <t>rdr</t>
        </is>
      </c>
      <c r="V23" s="60" t="inlineStr">
        <is>
          <t>NR</t>
        </is>
      </c>
      <c r="W23" s="60" t="inlineStr">
        <is>
          <t>consensus panel</t>
        </is>
      </c>
      <c r="X23" s="60" t="inlineStr">
        <is>
          <t>CFP</t>
        </is>
      </c>
      <c r="Y23" s="60" t="inlineStr">
        <is>
          <t>mixed</t>
        </is>
      </c>
      <c r="Z23" s="60" t="inlineStr">
        <is>
          <t>consensus</t>
        </is>
      </c>
      <c r="AA23" s="60" t="inlineStr">
        <is>
          <t>icdr</t>
        </is>
      </c>
      <c r="AB23" s="60" t="inlineStr">
        <is>
          <t>mixed</t>
        </is>
      </c>
      <c r="AC23" s="60" t="inlineStr">
        <is>
          <t>1</t>
        </is>
      </c>
      <c r="AD23" s="60" t="inlineStr">
        <is>
          <t>45</t>
        </is>
      </c>
      <c r="AE23" s="60" t="inlineStr">
        <is>
          <t>multiple</t>
        </is>
      </c>
      <c r="AF23" s="63" t="inlineStr">
        <is>
          <t>1.00</t>
        </is>
      </c>
      <c r="AG23" s="60" t="inlineStr">
        <is>
          <t>PP</t>
        </is>
      </c>
      <c r="AH23" s="60" t="inlineStr">
        <is>
          <t>multi-country</t>
        </is>
      </c>
      <c r="AI23" s="60" t="inlineStr">
        <is>
          <t>yes</t>
        </is>
      </c>
      <c r="AJ23" s="62" t="inlineStr">
        <is>
          <t>no</t>
        </is>
      </c>
      <c r="AK23" s="62" t="inlineStr">
        <is>
          <t>no</t>
        </is>
      </c>
      <c r="AL23" s="60" t="inlineStr">
        <is>
          <t>Google DLS</t>
        </is>
      </c>
      <c r="AM23" s="60" t="inlineStr">
        <is>
          <t>yes</t>
        </is>
      </c>
      <c r="AN23" s="60" t="inlineStr">
        <is>
          <t>Inception-v4 (ensemble)</t>
        </is>
      </c>
    </row>
    <row r="24" ht="16" customHeight="1" s="55">
      <c r="A24" s="60" t="inlineStr">
        <is>
          <t>Krause et al. (2018)</t>
        </is>
      </c>
      <c r="B24" s="60" t="inlineStr">
        <is>
          <t>Grader Variability and the Importance of Reference Standards for Evaluating Machine Learning Models for Diabetic Retinopathy</t>
        </is>
      </c>
      <c r="C24" s="60" t="inlineStr">
        <is>
          <t>Ophthalmology</t>
        </is>
      </c>
      <c r="D24" s="60" t="n">
        <v>9.5</v>
      </c>
      <c r="E24" s="60" t="inlineStr">
        <is>
          <t>USA; India</t>
        </is>
      </c>
      <c r="F24" s="60" t="inlineStr">
        <is>
          <t>cross-sectional</t>
        </is>
      </c>
      <c r="G24" s="60" t="inlineStr">
        <is>
          <t>retrospective</t>
        </is>
      </c>
      <c r="H24" s="60" t="inlineStr">
        <is>
          <t>2015–2015</t>
        </is>
      </c>
      <c r="I24" s="84" t="inlineStr">
        <is>
          <t>yes</t>
        </is>
      </c>
      <c r="J24" s="60" t="inlineStr">
        <is>
          <t>screening clinics; tertiary hospitals</t>
        </is>
      </c>
      <c r="K24" s="84" t="inlineStr">
        <is>
          <t>EyePACS clinics (USA); Aravind; Sankara Nethralaya; Messidor-2</t>
        </is>
      </c>
      <c r="L24" s="60" t="inlineStr">
        <is>
          <t>public dataset</t>
        </is>
      </c>
      <c r="M24" s="60" t="inlineStr">
        <is>
          <t>yes</t>
        </is>
      </c>
      <c r="N24" s="84" t="inlineStr">
        <is>
          <t>mixed</t>
        </is>
      </c>
      <c r="O24" s="60" t="inlineStr">
        <is>
          <t>adults with diabetes</t>
        </is>
      </c>
      <c r="P24" s="60" t="inlineStr">
        <is>
          <t>yes</t>
        </is>
      </c>
      <c r="Q24" s="60" t="inlineStr">
        <is>
          <t>54.9 ± 10.9</t>
        </is>
      </c>
      <c r="R24" s="60" t="inlineStr">
        <is>
          <t>61.0</t>
        </is>
      </c>
      <c r="S24" s="60" t="n">
        <v>1958</v>
      </c>
      <c r="T24" s="60" t="inlineStr">
        <is>
          <t>mixed</t>
        </is>
      </c>
      <c r="U24" s="60" t="inlineStr">
        <is>
          <t>rdr</t>
        </is>
      </c>
      <c r="V24" s="60" t="inlineStr">
        <is>
          <t>NR</t>
        </is>
      </c>
      <c r="W24" s="60" t="inlineStr">
        <is>
          <t>consensus panel</t>
        </is>
      </c>
      <c r="X24" s="60" t="inlineStr">
        <is>
          <t>CFP</t>
        </is>
      </c>
      <c r="Y24" s="60" t="inlineStr">
        <is>
          <t>mixed</t>
        </is>
      </c>
      <c r="Z24" s="60" t="inlineStr">
        <is>
          <t>consensus</t>
        </is>
      </c>
      <c r="AA24" s="60" t="inlineStr">
        <is>
          <t>icdr</t>
        </is>
      </c>
      <c r="AB24" s="60" t="inlineStr">
        <is>
          <t>mixed</t>
        </is>
      </c>
      <c r="AC24" s="60" t="inlineStr">
        <is>
          <t>1</t>
        </is>
      </c>
      <c r="AD24" s="60" t="inlineStr">
        <is>
          <t>45</t>
        </is>
      </c>
      <c r="AE24" s="60" t="inlineStr">
        <is>
          <t>multiple</t>
        </is>
      </c>
      <c r="AF24" s="60" t="inlineStr">
        <is>
          <t>0.93</t>
        </is>
      </c>
      <c r="AG24" s="60" t="inlineStr">
        <is>
          <t>PP</t>
        </is>
      </c>
      <c r="AH24" s="60" t="inlineStr">
        <is>
          <t>USA; India</t>
        </is>
      </c>
      <c r="AI24" s="60" t="inlineStr">
        <is>
          <t>yes</t>
        </is>
      </c>
      <c r="AJ24" s="60" t="inlineStr">
        <is>
          <t>no</t>
        </is>
      </c>
      <c r="AK24" s="60" t="inlineStr">
        <is>
          <t>no</t>
        </is>
      </c>
      <c r="AL24" s="60" t="inlineStr">
        <is>
          <t>Google DLS</t>
        </is>
      </c>
      <c r="AM24" s="60" t="inlineStr">
        <is>
          <t>yes</t>
        </is>
      </c>
      <c r="AN24" s="60" t="inlineStr">
        <is>
          <t>Inception-v4 (ensemble)</t>
        </is>
      </c>
    </row>
    <row r="25" ht="16" customHeight="1" s="55">
      <c r="A25" s="60" t="inlineStr">
        <is>
          <t>Ting et al. (2017)</t>
        </is>
      </c>
      <c r="B25" s="60" t="inlineStr">
        <is>
          <t>Development and Validation of a Deep Learning System for Diabetic Retinopathy and Related Eye Diseases Using Retinal Images From Multiethnic Populations With Diabetes</t>
        </is>
      </c>
      <c r="C25" s="60" t="inlineStr">
        <is>
          <t>JAMA</t>
        </is>
      </c>
      <c r="D25" s="60" t="n">
        <v>63.5</v>
      </c>
      <c r="E25" s="60" t="inlineStr">
        <is>
          <t>Singapore</t>
        </is>
      </c>
      <c r="F25" s="60" t="inlineStr">
        <is>
          <t>cross-sectional</t>
        </is>
      </c>
      <c r="G25" s="60" t="inlineStr">
        <is>
          <t>retrospective</t>
        </is>
      </c>
      <c r="H25" s="60" t="inlineStr">
        <is>
          <t>2010–2017</t>
        </is>
      </c>
      <c r="I25" s="84" t="inlineStr">
        <is>
          <t>yes</t>
        </is>
      </c>
      <c r="J25" s="60" t="inlineStr">
        <is>
          <t>national screening programme</t>
        </is>
      </c>
      <c r="K25" s="84" t="inlineStr">
        <is>
          <t>SiDRP (Singapore) + 10 external cohorts</t>
        </is>
      </c>
      <c r="L25" s="60" t="inlineStr">
        <is>
          <t>primary</t>
        </is>
      </c>
      <c r="M25" s="60" t="inlineStr">
        <is>
          <t>yes</t>
        </is>
      </c>
      <c r="N25" s="84" t="inlineStr">
        <is>
          <t>asia</t>
        </is>
      </c>
      <c r="O25" s="60" t="inlineStr">
        <is>
          <t>adults with diabetes</t>
        </is>
      </c>
      <c r="P25" s="60" t="inlineStr">
        <is>
          <t>yes</t>
        </is>
      </c>
      <c r="Q25" s="60" t="inlineStr">
        <is>
          <t>60.2 ± 12.2</t>
        </is>
      </c>
      <c r="R25" s="60" t="inlineStr">
        <is>
          <t>49.0</t>
        </is>
      </c>
      <c r="S25" s="60" t="n">
        <v>14880</v>
      </c>
      <c r="T25" s="60" t="inlineStr">
        <is>
          <t>high</t>
        </is>
      </c>
      <c r="U25" s="60" t="inlineStr">
        <is>
          <t>rdr</t>
        </is>
      </c>
      <c r="V25" s="60" t="inlineStr">
        <is>
          <t>type 1; type 2</t>
        </is>
      </c>
      <c r="W25" s="60" t="inlineStr">
        <is>
          <t>consensus panel</t>
        </is>
      </c>
      <c r="X25" s="60" t="inlineStr">
        <is>
          <t>CFP</t>
        </is>
      </c>
      <c r="Y25" s="60" t="inlineStr">
        <is>
          <t>mixed</t>
        </is>
      </c>
      <c r="Z25" s="60" t="inlineStr">
        <is>
          <t>adjudication</t>
        </is>
      </c>
      <c r="AA25" s="60" t="inlineStr">
        <is>
          <t>icdr</t>
        </is>
      </c>
      <c r="AB25" s="60" t="inlineStr">
        <is>
          <t>mixed</t>
        </is>
      </c>
      <c r="AC25" s="60" t="inlineStr">
        <is>
          <t>2</t>
        </is>
      </c>
      <c r="AD25" s="60" t="inlineStr">
        <is>
          <t>45</t>
        </is>
      </c>
      <c r="AE25" s="60" t="inlineStr">
        <is>
          <t>Topcon; multiple</t>
        </is>
      </c>
      <c r="AF25" s="60" t="inlineStr">
        <is>
          <t>NR</t>
        </is>
      </c>
      <c r="AG25" s="60" t="inlineStr">
        <is>
          <t>ITT</t>
        </is>
      </c>
      <c r="AH25" s="60" t="inlineStr">
        <is>
          <t>Singapore</t>
        </is>
      </c>
      <c r="AI25" s="60" t="inlineStr">
        <is>
          <t>yes</t>
        </is>
      </c>
      <c r="AJ25" s="60" t="inlineStr">
        <is>
          <t>HSA</t>
        </is>
      </c>
      <c r="AK25" s="60" t="inlineStr">
        <is>
          <t>no</t>
        </is>
      </c>
      <c r="AL25" s="60" t="inlineStr">
        <is>
          <t>SELENA+</t>
        </is>
      </c>
      <c r="AM25" s="60" t="inlineStr">
        <is>
          <t>NR</t>
        </is>
      </c>
      <c r="AN25" s="60" t="inlineStr">
        <is>
          <t>CNN (NR)</t>
        </is>
      </c>
    </row>
    <row r="26" ht="16" customHeight="1" s="55">
      <c r="A26" s="60" t="inlineStr">
        <is>
          <t>Li et al. (2024)</t>
        </is>
      </c>
      <c r="B26" s="60" t="inlineStr">
        <is>
          <t>Integrated image-based deep learning and language models for primary diabetes care</t>
        </is>
      </c>
      <c r="C26" s="60" t="inlineStr">
        <is>
          <t>Nature Medicine</t>
        </is>
      </c>
      <c r="D26" s="60" t="n">
        <v>58.7</v>
      </c>
      <c r="E26" s="60" t="inlineStr">
        <is>
          <t>China; Singapore; India; Thailand; UK</t>
        </is>
      </c>
      <c r="F26" s="60" t="inlineStr">
        <is>
          <t>cross-sectional</t>
        </is>
      </c>
      <c r="G26" s="60" t="inlineStr">
        <is>
          <t>prospective</t>
        </is>
      </c>
      <c r="H26" s="60" t="inlineStr">
        <is>
          <t>2023–2023</t>
        </is>
      </c>
      <c r="I26" s="84" t="inlineStr">
        <is>
          <t>yes</t>
        </is>
      </c>
      <c r="J26" s="60" t="inlineStr">
        <is>
          <t>health examination centers</t>
        </is>
      </c>
      <c r="K26" s="84" t="inlineStr">
        <is>
          <t>Huadong Sanatorium; iKang centers</t>
        </is>
      </c>
      <c r="L26" s="60" t="inlineStr">
        <is>
          <t>primary</t>
        </is>
      </c>
      <c r="M26" s="60" t="inlineStr">
        <is>
          <t>yes</t>
        </is>
      </c>
      <c r="N26" s="84" t="inlineStr">
        <is>
          <t>mixed</t>
        </is>
      </c>
      <c r="O26" s="60" t="inlineStr">
        <is>
          <t>adults with diabetes</t>
        </is>
      </c>
      <c r="P26" s="60" t="inlineStr">
        <is>
          <t>yes</t>
        </is>
      </c>
      <c r="Q26" s="60" t="inlineStr">
        <is>
          <t>52.4 ± 10.3</t>
        </is>
      </c>
      <c r="R26" s="60" t="inlineStr">
        <is>
          <t>NR</t>
        </is>
      </c>
      <c r="S26" s="60" t="n">
        <v>1994</v>
      </c>
      <c r="T26" s="60" t="inlineStr">
        <is>
          <t>mixed</t>
        </is>
      </c>
      <c r="U26" s="60" t="inlineStr">
        <is>
          <t>rdr</t>
        </is>
      </c>
      <c r="V26" s="60" t="inlineStr">
        <is>
          <t>NR</t>
        </is>
      </c>
      <c r="W26" s="60" t="inlineStr">
        <is>
          <t>consensus panel</t>
        </is>
      </c>
      <c r="X26" s="60" t="inlineStr">
        <is>
          <t>CFP</t>
        </is>
      </c>
      <c r="Y26" s="60" t="inlineStr">
        <is>
          <t>mixed</t>
        </is>
      </c>
      <c r="Z26" s="60" t="inlineStr">
        <is>
          <t>adjudication</t>
        </is>
      </c>
      <c r="AA26" s="60" t="inlineStr">
        <is>
          <t>icdr</t>
        </is>
      </c>
      <c r="AB26" s="60" t="inlineStr">
        <is>
          <t>desktop; portable</t>
        </is>
      </c>
      <c r="AC26" s="60" t="inlineStr">
        <is>
          <t>2</t>
        </is>
      </c>
      <c r="AD26" s="60" t="inlineStr">
        <is>
          <t>45; 40</t>
        </is>
      </c>
      <c r="AE26" s="60" t="inlineStr">
        <is>
          <t>Canon; Topcon; Zeiss; Optomed</t>
        </is>
      </c>
      <c r="AF26" s="60" t="inlineStr">
        <is>
          <t>NR</t>
        </is>
      </c>
      <c r="AG26" s="60" t="inlineStr">
        <is>
          <t>PP</t>
        </is>
      </c>
      <c r="AH26" s="60" t="inlineStr">
        <is>
          <t>multi-country</t>
        </is>
      </c>
      <c r="AI26" s="60" t="inlineStr">
        <is>
          <t>yes</t>
        </is>
      </c>
      <c r="AJ26" s="62" t="inlineStr">
        <is>
          <t>no</t>
        </is>
      </c>
      <c r="AK26" s="62" t="inlineStr">
        <is>
          <t>no</t>
        </is>
      </c>
      <c r="AL26" s="60" t="inlineStr">
        <is>
          <t>DeepDR-LLM</t>
        </is>
      </c>
      <c r="AM26" s="60" t="inlineStr">
        <is>
          <t>yes</t>
        </is>
      </c>
      <c r="AN26" s="60" t="inlineStr">
        <is>
          <t>ViT + LLaMA-7B</t>
        </is>
      </c>
    </row>
    <row r="27" ht="16" customHeight="1" s="55">
      <c r="A27" s="60" t="inlineStr">
        <is>
          <t>Xie et al. (2020)</t>
        </is>
      </c>
      <c r="B27" s="60" t="inlineStr">
        <is>
          <t>Artificial intelligence for teleophthalmology-based diabetic retinopathy screening in a national programme: an economic analysis modelling study</t>
        </is>
      </c>
      <c r="C27" s="60" t="inlineStr">
        <is>
          <t>The Lancet Digital Health</t>
        </is>
      </c>
      <c r="D27" s="60" t="n">
        <v>23.8</v>
      </c>
      <c r="E27" s="60" t="inlineStr">
        <is>
          <t>Singapore</t>
        </is>
      </c>
      <c r="F27" s="60" t="inlineStr">
        <is>
          <t>cross-sectional</t>
        </is>
      </c>
      <c r="G27" s="60" t="inlineStr">
        <is>
          <t>retrospective</t>
        </is>
      </c>
      <c r="H27" s="60" t="inlineStr">
        <is>
          <t>2014–2015</t>
        </is>
      </c>
      <c r="I27" s="84" t="inlineStr">
        <is>
          <t>no</t>
        </is>
      </c>
      <c r="J27" s="60" t="inlineStr">
        <is>
          <t>national screening programme</t>
        </is>
      </c>
      <c r="K27" s="84" t="inlineStr">
        <is>
          <t>SiDRP (Singapore)</t>
        </is>
      </c>
      <c r="L27" s="60" t="inlineStr">
        <is>
          <t>primary</t>
        </is>
      </c>
      <c r="M27" s="60" t="inlineStr">
        <is>
          <t>no</t>
        </is>
      </c>
      <c r="N27" s="84" t="inlineStr">
        <is>
          <t>asia</t>
        </is>
      </c>
      <c r="O27" s="60" t="inlineStr">
        <is>
          <t>adults with diabetes</t>
        </is>
      </c>
      <c r="P27" s="60" t="inlineStr">
        <is>
          <t>no</t>
        </is>
      </c>
      <c r="Q27" s="60" t="inlineStr">
        <is>
          <t>NR</t>
        </is>
      </c>
      <c r="R27" s="60" t="inlineStr">
        <is>
          <t>NR</t>
        </is>
      </c>
      <c r="S27" s="65" t="n">
        <v>39006</v>
      </c>
      <c r="T27" s="60" t="inlineStr">
        <is>
          <t>high</t>
        </is>
      </c>
      <c r="U27" s="60" t="inlineStr">
        <is>
          <t>rdr</t>
        </is>
      </c>
      <c r="V27" s="60" t="inlineStr">
        <is>
          <t>type 2</t>
        </is>
      </c>
      <c r="W27" s="60" t="inlineStr">
        <is>
          <t>trained grader</t>
        </is>
      </c>
      <c r="X27" s="60" t="inlineStr">
        <is>
          <t>NR</t>
        </is>
      </c>
      <c r="Y27" s="60" t="inlineStr">
        <is>
          <t>NR</t>
        </is>
      </c>
      <c r="Z27" s="63" t="inlineStr">
        <is>
          <t>NR</t>
        </is>
      </c>
      <c r="AA27" s="60" t="inlineStr">
        <is>
          <t>icdr</t>
        </is>
      </c>
      <c r="AB27" s="60" t="inlineStr">
        <is>
          <t>NR</t>
        </is>
      </c>
      <c r="AC27" s="60" t="inlineStr">
        <is>
          <t>NR</t>
        </is>
      </c>
      <c r="AD27" s="60" t="inlineStr">
        <is>
          <t>NR</t>
        </is>
      </c>
      <c r="AE27" s="60" t="inlineStr">
        <is>
          <t>NR</t>
        </is>
      </c>
      <c r="AF27" s="60" t="inlineStr">
        <is>
          <t>NR</t>
        </is>
      </c>
      <c r="AG27" s="60" t="inlineStr">
        <is>
          <t>NR</t>
        </is>
      </c>
      <c r="AH27" s="60" t="inlineStr">
        <is>
          <t>Singapore</t>
        </is>
      </c>
      <c r="AI27" s="60" t="inlineStr">
        <is>
          <t>yes</t>
        </is>
      </c>
      <c r="AJ27" s="60" t="inlineStr">
        <is>
          <t>HSA</t>
        </is>
      </c>
      <c r="AK27" s="60" t="inlineStr">
        <is>
          <t>no</t>
        </is>
      </c>
      <c r="AL27" s="60" t="inlineStr">
        <is>
          <t>DLS (semi-automated)</t>
        </is>
      </c>
      <c r="AM27" s="60" t="inlineStr">
        <is>
          <t>NR</t>
        </is>
      </c>
      <c r="AN27" s="60" t="inlineStr">
        <is>
          <t>VGGNet + ResNet + DenseNet</t>
        </is>
      </c>
    </row>
    <row r="28" ht="16" customHeight="1" s="55">
      <c r="A28" s="60" t="inlineStr">
        <is>
          <t>Pinto et al. (2025)</t>
        </is>
      </c>
      <c r="B28" s="60" t="inlineStr">
        <is>
          <t>Improving diabetic retinopathy screening using artificial intelligence: design, evaluation and before-and-after study of a custom development</t>
        </is>
      </c>
      <c r="C28" s="60" t="inlineStr">
        <is>
          <t>Frontiers in Digital Health</t>
        </is>
      </c>
      <c r="D28" s="60" t="n">
        <v>3.2</v>
      </c>
      <c r="E28" s="60" t="inlineStr">
        <is>
          <t>Spain</t>
        </is>
      </c>
      <c r="F28" s="60" t="inlineStr">
        <is>
          <t>cohort</t>
        </is>
      </c>
      <c r="G28" s="60" t="inlineStr">
        <is>
          <t>prospective</t>
        </is>
      </c>
      <c r="H28" s="60" t="inlineStr">
        <is>
          <t>2015–2023</t>
        </is>
      </c>
      <c r="I28" s="84" t="inlineStr">
        <is>
          <t>no</t>
        </is>
      </c>
      <c r="J28" s="60" t="inlineStr">
        <is>
          <t>tele-screening programme</t>
        </is>
      </c>
      <c r="K28" s="84" t="inlineStr">
        <is>
          <t>Hospital de Navarra tele-screening</t>
        </is>
      </c>
      <c r="L28" s="60" t="inlineStr">
        <is>
          <t>primary</t>
        </is>
      </c>
      <c r="M28" s="60" t="inlineStr">
        <is>
          <t>yes</t>
        </is>
      </c>
      <c r="N28" s="84" t="inlineStr">
        <is>
          <t>europe</t>
        </is>
      </c>
      <c r="O28" s="60" t="inlineStr">
        <is>
          <t>adults with diabetes</t>
        </is>
      </c>
      <c r="P28" s="60" t="inlineStr">
        <is>
          <t>no</t>
        </is>
      </c>
      <c r="Q28" s="60" t="inlineStr">
        <is>
          <t>66.8 ± 13.0</t>
        </is>
      </c>
      <c r="R28" s="60" t="inlineStr">
        <is>
          <t>39.4</t>
        </is>
      </c>
      <c r="S28" s="65" t="n">
        <v>22962</v>
      </c>
      <c r="T28" s="60" t="inlineStr">
        <is>
          <t>high</t>
        </is>
      </c>
      <c r="U28" s="60" t="inlineStr">
        <is>
          <t>rdr</t>
        </is>
      </c>
      <c r="V28" s="60" t="inlineStr">
        <is>
          <t>type 2</t>
        </is>
      </c>
      <c r="W28" s="60" t="inlineStr">
        <is>
          <t>consensus panel</t>
        </is>
      </c>
      <c r="X28" s="60" t="inlineStr">
        <is>
          <t>NR</t>
        </is>
      </c>
      <c r="Y28" s="60" t="inlineStr">
        <is>
          <t>NR</t>
        </is>
      </c>
      <c r="Z28" s="60" t="inlineStr">
        <is>
          <t>NR</t>
        </is>
      </c>
      <c r="AA28" s="60" t="inlineStr">
        <is>
          <t>icdr</t>
        </is>
      </c>
      <c r="AB28" s="60" t="inlineStr">
        <is>
          <t>NR</t>
        </is>
      </c>
      <c r="AC28" s="60" t="inlineStr">
        <is>
          <t>NR</t>
        </is>
      </c>
      <c r="AD28" s="60" t="inlineStr">
        <is>
          <t>NR</t>
        </is>
      </c>
      <c r="AE28" s="60" t="inlineStr">
        <is>
          <t>NR</t>
        </is>
      </c>
      <c r="AF28" s="60" t="inlineStr">
        <is>
          <t>NR</t>
        </is>
      </c>
      <c r="AG28" s="60" t="inlineStr">
        <is>
          <t>ITT</t>
        </is>
      </c>
      <c r="AH28" s="60" t="inlineStr">
        <is>
          <t>Spain</t>
        </is>
      </c>
      <c r="AI28" s="60" t="inlineStr">
        <is>
          <t>no</t>
        </is>
      </c>
      <c r="AJ28" s="60" t="inlineStr">
        <is>
          <t>no</t>
        </is>
      </c>
      <c r="AK28" s="60" t="inlineStr">
        <is>
          <t>no</t>
        </is>
      </c>
      <c r="AL28" s="60" t="inlineStr">
        <is>
          <t>NaIA-RD</t>
        </is>
      </c>
      <c r="AM28" s="60" t="inlineStr">
        <is>
          <t>no</t>
        </is>
      </c>
      <c r="AN28" s="60" t="inlineStr">
        <is>
          <t>ResNet-34 (ensemble)</t>
        </is>
      </c>
    </row>
    <row r="29" ht="16" customHeight="1" s="55">
      <c r="A29" s="60" t="inlineStr">
        <is>
          <t>Wu et al. (2025)</t>
        </is>
      </c>
      <c r="B29" s="60" t="inlineStr">
        <is>
          <t>An eyecare foundation model for clinical assistance: a randomized controlled trial</t>
        </is>
      </c>
      <c r="C29" s="60" t="inlineStr">
        <is>
          <t>Nature Medicine</t>
        </is>
      </c>
      <c r="D29" s="60" t="n">
        <v>58.7</v>
      </c>
      <c r="E29" s="60" t="inlineStr">
        <is>
          <t>China</t>
        </is>
      </c>
      <c r="F29" s="60" t="inlineStr">
        <is>
          <t>RCT</t>
        </is>
      </c>
      <c r="G29" s="60" t="inlineStr">
        <is>
          <t>prospective</t>
        </is>
      </c>
      <c r="H29" s="60" t="inlineStr">
        <is>
          <t>2025–2025</t>
        </is>
      </c>
      <c r="I29" s="84" t="inlineStr">
        <is>
          <t>yes</t>
        </is>
      </c>
      <c r="J29" s="60" t="inlineStr">
        <is>
          <t>health screening center</t>
        </is>
      </c>
      <c r="K29" s="84" t="inlineStr">
        <is>
          <t>Shanghai Health and Medical Centre</t>
        </is>
      </c>
      <c r="L29" s="60" t="inlineStr">
        <is>
          <t>mixed</t>
        </is>
      </c>
      <c r="M29" s="60" t="inlineStr">
        <is>
          <t>yes</t>
        </is>
      </c>
      <c r="N29" s="84" t="inlineStr">
        <is>
          <t>asia</t>
        </is>
      </c>
      <c r="O29" s="60" t="inlineStr">
        <is>
          <t>mixed</t>
        </is>
      </c>
      <c r="P29" s="60" t="inlineStr">
        <is>
          <t>yes</t>
        </is>
      </c>
      <c r="Q29" s="60" t="inlineStr">
        <is>
          <t>57.5 ± NR</t>
        </is>
      </c>
      <c r="R29" s="60" t="inlineStr">
        <is>
          <t>20.5</t>
        </is>
      </c>
      <c r="S29" s="65" t="n">
        <v>668</v>
      </c>
      <c r="T29" s="60" t="inlineStr">
        <is>
          <t>middle</t>
        </is>
      </c>
      <c r="U29" s="60" t="inlineStr">
        <is>
          <t>rdr</t>
        </is>
      </c>
      <c r="V29" s="60" t="inlineStr">
        <is>
          <t>mixed</t>
        </is>
      </c>
      <c r="W29" s="60" t="inlineStr">
        <is>
          <t>consensus panel</t>
        </is>
      </c>
      <c r="X29" s="60" t="inlineStr">
        <is>
          <t>CFP</t>
        </is>
      </c>
      <c r="Y29" s="60" t="inlineStr">
        <is>
          <t>NR</t>
        </is>
      </c>
      <c r="Z29" s="60" t="inlineStr">
        <is>
          <t>consensus</t>
        </is>
      </c>
      <c r="AA29" s="60" t="inlineStr">
        <is>
          <t>other</t>
        </is>
      </c>
      <c r="AB29" s="60" t="inlineStr">
        <is>
          <t>NR</t>
        </is>
      </c>
      <c r="AC29" s="60" t="inlineStr">
        <is>
          <t>1</t>
        </is>
      </c>
      <c r="AD29" s="60" t="inlineStr">
        <is>
          <t>NR</t>
        </is>
      </c>
      <c r="AE29" s="60" t="inlineStr">
        <is>
          <t>NR</t>
        </is>
      </c>
      <c r="AF29" s="60" t="inlineStr">
        <is>
          <t>NR</t>
        </is>
      </c>
      <c r="AG29" s="60" t="inlineStr">
        <is>
          <t>PP</t>
        </is>
      </c>
      <c r="AH29" s="60" t="inlineStr">
        <is>
          <t>China</t>
        </is>
      </c>
      <c r="AI29" s="62" t="inlineStr">
        <is>
          <t>yes</t>
        </is>
      </c>
      <c r="AJ29" s="62" t="inlineStr">
        <is>
          <t>no</t>
        </is>
      </c>
      <c r="AK29" s="62" t="inlineStr">
        <is>
          <t>no</t>
        </is>
      </c>
      <c r="AL29" s="60" t="inlineStr">
        <is>
          <t>EyeFM</t>
        </is>
      </c>
      <c r="AM29" s="60" t="inlineStr">
        <is>
          <t>yes</t>
        </is>
      </c>
      <c r="AN29" s="60" t="inlineStr">
        <is>
          <t>ViT + LLaMA2-7B</t>
        </is>
      </c>
    </row>
    <row r="30" ht="16" customHeight="1" s="55">
      <c r="A30" s="60" t="inlineStr">
        <is>
          <t>Xu et al. (2025)</t>
        </is>
      </c>
      <c r="B30" s="60" t="inlineStr">
        <is>
          <t>Enhancing diabetic retinopathy diagnosis and grading: a retrospective study on AI-assisted decision making and cost analysis</t>
        </is>
      </c>
      <c r="C30" s="60" t="inlineStr">
        <is>
          <t>Br J Ophthalmol</t>
        </is>
      </c>
      <c r="D30" s="60" t="n">
        <v>3.8</v>
      </c>
      <c r="E30" s="60" t="inlineStr">
        <is>
          <t>China</t>
        </is>
      </c>
      <c r="F30" s="60" t="inlineStr">
        <is>
          <t>cohort</t>
        </is>
      </c>
      <c r="G30" s="60" t="inlineStr">
        <is>
          <t>retrospective</t>
        </is>
      </c>
      <c r="H30" s="60" t="inlineStr">
        <is>
          <t>2024–2024</t>
        </is>
      </c>
      <c r="I30" s="84" t="inlineStr">
        <is>
          <t>no</t>
        </is>
      </c>
      <c r="J30" s="60" t="inlineStr">
        <is>
          <t>tertiary hospital</t>
        </is>
      </c>
      <c r="K30" s="84" t="inlineStr">
        <is>
          <t>Shanghai Ninth People's Hospital</t>
        </is>
      </c>
      <c r="L30" s="60" t="inlineStr">
        <is>
          <t>tertiary</t>
        </is>
      </c>
      <c r="M30" s="60" t="inlineStr">
        <is>
          <t>no</t>
        </is>
      </c>
      <c r="N30" s="84" t="inlineStr">
        <is>
          <t>asia</t>
        </is>
      </c>
      <c r="O30" s="60" t="inlineStr">
        <is>
          <t>adults with diabetes</t>
        </is>
      </c>
      <c r="P30" s="60" t="inlineStr">
        <is>
          <t>no</t>
        </is>
      </c>
      <c r="Q30" s="60" t="inlineStr">
        <is>
          <t>60.7 ± 10.3</t>
        </is>
      </c>
      <c r="R30" s="60" t="inlineStr">
        <is>
          <t>50.0</t>
        </is>
      </c>
      <c r="S30" s="65" t="n">
        <v>56</v>
      </c>
      <c r="T30" s="60" t="inlineStr">
        <is>
          <t>middle</t>
        </is>
      </c>
      <c r="U30" s="60" t="inlineStr">
        <is>
          <t>any dr</t>
        </is>
      </c>
      <c r="V30" s="60" t="inlineStr">
        <is>
          <t>NR</t>
        </is>
      </c>
      <c r="W30" s="60" t="inlineStr">
        <is>
          <t>retina specialist</t>
        </is>
      </c>
      <c r="X30" s="60" t="inlineStr">
        <is>
          <t>CFP; UWF</t>
        </is>
      </c>
      <c r="Y30" s="60" t="inlineStr">
        <is>
          <t>non-mydriatic</t>
        </is>
      </c>
      <c r="Z30" s="60" t="inlineStr">
        <is>
          <t>adjudication</t>
        </is>
      </c>
      <c r="AA30" s="60" t="inlineStr">
        <is>
          <t>icdr</t>
        </is>
      </c>
      <c r="AB30" s="60" t="inlineStr">
        <is>
          <t>desktop</t>
        </is>
      </c>
      <c r="AC30" s="60" t="inlineStr">
        <is>
          <t>2</t>
        </is>
      </c>
      <c r="AD30" s="60" t="inlineStr">
        <is>
          <t>45; 200</t>
        </is>
      </c>
      <c r="AE30" s="60" t="inlineStr">
        <is>
          <t>Topcon; Optos</t>
        </is>
      </c>
      <c r="AF30" s="63" t="inlineStr">
        <is>
          <t>1.00</t>
        </is>
      </c>
      <c r="AG30" s="60" t="inlineStr">
        <is>
          <t>PP</t>
        </is>
      </c>
      <c r="AH30" s="60" t="inlineStr">
        <is>
          <t>NR</t>
        </is>
      </c>
      <c r="AI30" s="60" t="inlineStr">
        <is>
          <t>no</t>
        </is>
      </c>
      <c r="AJ30" s="62" t="inlineStr">
        <is>
          <t>no</t>
        </is>
      </c>
      <c r="AK30" s="60" t="inlineStr">
        <is>
          <t>yes</t>
        </is>
      </c>
      <c r="AL30" s="60" t="inlineStr">
        <is>
          <t>EvisionAI</t>
        </is>
      </c>
      <c r="AM30" s="60" t="inlineStr">
        <is>
          <t>yes</t>
        </is>
      </c>
      <c r="AN30" s="62" t="inlineStr">
        <is>
          <t>CNN (proprietary)</t>
        </is>
      </c>
    </row>
    <row r="31" ht="16" customHeight="1" s="55">
      <c r="A31" s="60" t="inlineStr">
        <is>
          <t>Dong et al. (2022)</t>
        </is>
      </c>
      <c r="B31" s="60" t="inlineStr">
        <is>
          <t>Artificial Intelligence for Screening of Multiple Retinal and Optic Nerve Diseases</t>
        </is>
      </c>
      <c r="C31" s="60" t="inlineStr">
        <is>
          <t>JAMA Network Open</t>
        </is>
      </c>
      <c r="D31" s="60" t="n">
        <v>10.5</v>
      </c>
      <c r="E31" s="60" t="inlineStr">
        <is>
          <t>China</t>
        </is>
      </c>
      <c r="F31" s="60" t="inlineStr">
        <is>
          <t>cross-sectional</t>
        </is>
      </c>
      <c r="G31" s="60" t="inlineStr">
        <is>
          <t>prospective</t>
        </is>
      </c>
      <c r="H31" s="60" t="inlineStr">
        <is>
          <t>2018–2021</t>
        </is>
      </c>
      <c r="I31" s="84" t="inlineStr">
        <is>
          <t>yes</t>
        </is>
      </c>
      <c r="J31" s="60" t="inlineStr">
        <is>
          <t>health examination centers; hospitals</t>
        </is>
      </c>
      <c r="K31" s="84" t="inlineStr">
        <is>
          <t>iKang centers (65 sites); Beijing Tongren Hospital</t>
        </is>
      </c>
      <c r="L31" s="60" t="inlineStr">
        <is>
          <t>mixed</t>
        </is>
      </c>
      <c r="M31" s="60" t="inlineStr">
        <is>
          <t>yes</t>
        </is>
      </c>
      <c r="N31" s="84" t="inlineStr">
        <is>
          <t>asia</t>
        </is>
      </c>
      <c r="O31" s="60" t="inlineStr">
        <is>
          <t>mixed</t>
        </is>
      </c>
      <c r="P31" s="60" t="inlineStr">
        <is>
          <t>yes</t>
        </is>
      </c>
      <c r="Q31" s="60" t="inlineStr">
        <is>
          <t>42 (8–87)</t>
        </is>
      </c>
      <c r="R31" s="60" t="inlineStr">
        <is>
          <t>55.4</t>
        </is>
      </c>
      <c r="S31" s="65" t="n">
        <v>110784</v>
      </c>
      <c r="T31" s="60" t="inlineStr">
        <is>
          <t>middle</t>
        </is>
      </c>
      <c r="U31" s="60" t="inlineStr">
        <is>
          <t>rdr</t>
        </is>
      </c>
      <c r="V31" s="60" t="inlineStr">
        <is>
          <t>NR</t>
        </is>
      </c>
      <c r="W31" s="60" t="inlineStr">
        <is>
          <t>consensus panel</t>
        </is>
      </c>
      <c r="X31" s="60" t="inlineStr">
        <is>
          <t>CFP</t>
        </is>
      </c>
      <c r="Y31" s="60" t="inlineStr">
        <is>
          <t>non-mydriatic</t>
        </is>
      </c>
      <c r="Z31" s="60" t="inlineStr">
        <is>
          <t>adjudication</t>
        </is>
      </c>
      <c r="AA31" s="60" t="inlineStr">
        <is>
          <t>other</t>
        </is>
      </c>
      <c r="AB31" s="60" t="inlineStr">
        <is>
          <t>desktop</t>
        </is>
      </c>
      <c r="AC31" s="60" t="inlineStr">
        <is>
          <t>1</t>
        </is>
      </c>
      <c r="AD31" s="60" t="inlineStr">
        <is>
          <t>45</t>
        </is>
      </c>
      <c r="AE31" s="60" t="inlineStr">
        <is>
          <t>Canon</t>
        </is>
      </c>
      <c r="AF31" s="60" t="inlineStr">
        <is>
          <t>NR</t>
        </is>
      </c>
      <c r="AG31" s="60" t="inlineStr">
        <is>
          <t>PP</t>
        </is>
      </c>
      <c r="AH31" s="60" t="inlineStr">
        <is>
          <t>China</t>
        </is>
      </c>
      <c r="AI31" s="60" t="inlineStr">
        <is>
          <t>yes</t>
        </is>
      </c>
      <c r="AJ31" s="62" t="inlineStr">
        <is>
          <t>no</t>
        </is>
      </c>
      <c r="AK31" s="60" t="inlineStr">
        <is>
          <t>yes</t>
        </is>
      </c>
      <c r="AL31" s="60" t="inlineStr">
        <is>
          <t>RAIDS</t>
        </is>
      </c>
      <c r="AM31" s="60" t="inlineStr">
        <is>
          <t>yes</t>
        </is>
      </c>
      <c r="AN31" s="60" t="inlineStr">
        <is>
          <t>CNN + YOLOv3</t>
        </is>
      </c>
    </row>
    <row r="32" ht="16" customHeight="1" s="55">
      <c r="A32" s="60" t="inlineStr">
        <is>
          <t>Zhang et al. (2022)</t>
        </is>
      </c>
      <c r="B32" s="60" t="inlineStr">
        <is>
          <t>Automated multidimensional deep learning platform for referable diabetic retinopathy detection: a multicentre, retrospective study</t>
        </is>
      </c>
      <c r="C32" s="60" t="inlineStr">
        <is>
          <t>BMJ Open</t>
        </is>
      </c>
      <c r="D32" s="60" t="n">
        <v>2.8</v>
      </c>
      <c r="E32" s="60" t="inlineStr">
        <is>
          <t>China</t>
        </is>
      </c>
      <c r="F32" s="60" t="inlineStr">
        <is>
          <t>cross-sectional</t>
        </is>
      </c>
      <c r="G32" s="60" t="inlineStr">
        <is>
          <t>retrospective</t>
        </is>
      </c>
      <c r="H32" s="60" t="inlineStr">
        <is>
          <t>2014–2018</t>
        </is>
      </c>
      <c r="I32" s="84" t="inlineStr">
        <is>
          <t>yes</t>
        </is>
      </c>
      <c r="J32" s="60" t="inlineStr">
        <is>
          <t>screening programmes; hospitals</t>
        </is>
      </c>
      <c r="K32" s="84" t="inlineStr">
        <is>
          <t>JSIEC; Liuzhou Red Cross Hospital; Lifeline Express</t>
        </is>
      </c>
      <c r="L32" s="60" t="inlineStr">
        <is>
          <t>primary</t>
        </is>
      </c>
      <c r="M32" s="60" t="inlineStr">
        <is>
          <t>yes</t>
        </is>
      </c>
      <c r="N32" s="84" t="inlineStr">
        <is>
          <t>asia</t>
        </is>
      </c>
      <c r="O32" s="60" t="inlineStr">
        <is>
          <t>adults with diabetes</t>
        </is>
      </c>
      <c r="P32" s="60" t="inlineStr">
        <is>
          <t>no</t>
        </is>
      </c>
      <c r="Q32" s="60" t="inlineStr">
        <is>
          <t>60.0 ± 12.9</t>
        </is>
      </c>
      <c r="R32" s="60" t="inlineStr">
        <is>
          <t>56.0</t>
        </is>
      </c>
      <c r="S32" s="65" t="n">
        <v>21716</v>
      </c>
      <c r="T32" s="60" t="inlineStr">
        <is>
          <t>middle</t>
        </is>
      </c>
      <c r="U32" s="60" t="inlineStr">
        <is>
          <t>rdr</t>
        </is>
      </c>
      <c r="V32" s="60" t="inlineStr">
        <is>
          <t>NR</t>
        </is>
      </c>
      <c r="W32" s="60" t="inlineStr">
        <is>
          <t>consensus panel</t>
        </is>
      </c>
      <c r="X32" s="60" t="inlineStr">
        <is>
          <t>CFP</t>
        </is>
      </c>
      <c r="Y32" s="60" t="inlineStr">
        <is>
          <t>NR</t>
        </is>
      </c>
      <c r="Z32" s="60" t="inlineStr">
        <is>
          <t>adjudication</t>
        </is>
      </c>
      <c r="AA32" s="60" t="inlineStr">
        <is>
          <t>other</t>
        </is>
      </c>
      <c r="AB32" s="60" t="inlineStr">
        <is>
          <t>desktop</t>
        </is>
      </c>
      <c r="AC32" s="60" t="inlineStr">
        <is>
          <t>1</t>
        </is>
      </c>
      <c r="AD32" s="60" t="inlineStr">
        <is>
          <t>45</t>
        </is>
      </c>
      <c r="AE32" s="60" t="inlineStr">
        <is>
          <t>Topcon; Nidek; Canon</t>
        </is>
      </c>
      <c r="AF32" s="63" t="inlineStr">
        <is>
          <t>1.00</t>
        </is>
      </c>
      <c r="AG32" s="60" t="inlineStr">
        <is>
          <t>hybrid</t>
        </is>
      </c>
      <c r="AH32" s="60" t="inlineStr">
        <is>
          <t>China</t>
        </is>
      </c>
      <c r="AI32" s="60" t="inlineStr">
        <is>
          <t>no</t>
        </is>
      </c>
      <c r="AJ32" s="60" t="inlineStr">
        <is>
          <t>no</t>
        </is>
      </c>
      <c r="AK32" s="60" t="inlineStr">
        <is>
          <t>no</t>
        </is>
      </c>
      <c r="AL32" s="60" t="inlineStr">
        <is>
          <t>DL platform</t>
        </is>
      </c>
      <c r="AM32" s="60" t="inlineStr">
        <is>
          <t>yes</t>
        </is>
      </c>
      <c r="AN32" s="60" t="inlineStr">
        <is>
          <t>Inception-v3 + Xception + InceptionResNet-v2</t>
        </is>
      </c>
    </row>
    <row r="33" ht="16" customHeight="1" s="55">
      <c r="A33" s="60" t="inlineStr">
        <is>
          <t>van der Heijden et al. (2018)</t>
        </is>
      </c>
      <c r="B33" s="60" t="inlineStr">
        <is>
          <t>Validation of automated screening for referable diabetic retinopathy with the IDx-DR device in the Hoorn Diabetes Care System</t>
        </is>
      </c>
      <c r="C33" s="60" t="inlineStr">
        <is>
          <t>Acta Ophthalmologica</t>
        </is>
      </c>
      <c r="D33" s="60" t="n">
        <v>2.8</v>
      </c>
      <c r="E33" s="60" t="inlineStr">
        <is>
          <t>Netherlands</t>
        </is>
      </c>
      <c r="F33" s="60" t="inlineStr">
        <is>
          <t>cross-sectional</t>
        </is>
      </c>
      <c r="G33" s="60" t="inlineStr">
        <is>
          <t>prospective</t>
        </is>
      </c>
      <c r="H33" s="60" t="inlineStr">
        <is>
          <t>NR</t>
        </is>
      </c>
      <c r="I33" s="84" t="inlineStr">
        <is>
          <t>no</t>
        </is>
      </c>
      <c r="J33" s="60" t="inlineStr">
        <is>
          <t>primary care</t>
        </is>
      </c>
      <c r="K33" s="84" t="inlineStr">
        <is>
          <t>Hoorn Diabetes Care System</t>
        </is>
      </c>
      <c r="L33" s="60" t="inlineStr">
        <is>
          <t>primary</t>
        </is>
      </c>
      <c r="M33" s="60" t="inlineStr">
        <is>
          <t>no</t>
        </is>
      </c>
      <c r="N33" s="84" t="inlineStr">
        <is>
          <t>europe</t>
        </is>
      </c>
      <c r="O33" s="60" t="inlineStr">
        <is>
          <t>adults with diabetes</t>
        </is>
      </c>
      <c r="P33" s="60" t="inlineStr">
        <is>
          <t>no</t>
        </is>
      </c>
      <c r="Q33" s="60" t="inlineStr">
        <is>
          <t>65.0 ± 11.9</t>
        </is>
      </c>
      <c r="R33" s="60" t="inlineStr">
        <is>
          <t>43.9</t>
        </is>
      </c>
      <c r="S33" s="65" t="n">
        <v>898</v>
      </c>
      <c r="T33" s="60" t="inlineStr">
        <is>
          <t>high</t>
        </is>
      </c>
      <c r="U33" s="60" t="inlineStr">
        <is>
          <t>rdr</t>
        </is>
      </c>
      <c r="V33" s="60" t="inlineStr">
        <is>
          <t>type 2</t>
        </is>
      </c>
      <c r="W33" s="60" t="inlineStr">
        <is>
          <t>retina specialist</t>
        </is>
      </c>
      <c r="X33" s="60" t="inlineStr">
        <is>
          <t>CFP</t>
        </is>
      </c>
      <c r="Y33" s="60" t="inlineStr">
        <is>
          <t>non-mydriatic</t>
        </is>
      </c>
      <c r="Z33" s="60" t="inlineStr">
        <is>
          <t>consensus</t>
        </is>
      </c>
      <c r="AA33" s="60" t="inlineStr">
        <is>
          <t>multiple</t>
        </is>
      </c>
      <c r="AB33" s="60" t="inlineStr">
        <is>
          <t>desktop</t>
        </is>
      </c>
      <c r="AC33" s="60" t="inlineStr">
        <is>
          <t>2</t>
        </is>
      </c>
      <c r="AD33" s="60" t="inlineStr">
        <is>
          <t>45</t>
        </is>
      </c>
      <c r="AE33" s="60" t="inlineStr">
        <is>
          <t>Topcon</t>
        </is>
      </c>
      <c r="AF33" s="60" t="inlineStr">
        <is>
          <t>1.00</t>
        </is>
      </c>
      <c r="AG33" s="60" t="inlineStr">
        <is>
          <t>hybrid</t>
        </is>
      </c>
      <c r="AH33" s="60" t="inlineStr">
        <is>
          <t>NR</t>
        </is>
      </c>
      <c r="AI33" s="62" t="inlineStr">
        <is>
          <t>yes</t>
        </is>
      </c>
      <c r="AJ33" s="60" t="inlineStr">
        <is>
          <t>CE</t>
        </is>
      </c>
      <c r="AK33" s="62" t="inlineStr">
        <is>
          <t>yes</t>
        </is>
      </c>
      <c r="AL33" s="60" t="inlineStr">
        <is>
          <t>IDx-DR 2.0</t>
        </is>
      </c>
      <c r="AM33" s="60" t="inlineStr">
        <is>
          <t>yes</t>
        </is>
      </c>
      <c r="AN33" s="60" t="inlineStr">
        <is>
          <t>NR</t>
        </is>
      </c>
    </row>
    <row r="34" ht="16" customHeight="1" s="55">
      <c r="A34" s="60" t="inlineStr">
        <is>
          <t>Pawar et al. (2021)</t>
        </is>
      </c>
      <c r="B34" s="60" t="inlineStr">
        <is>
          <t>Validation of Artificial Intelligence Algorithm in the Detection and Staging of Diabetic Retinopathy through Fundus Photography: An Automated Tool for Detection and Grading of Diabetic Retinopathy</t>
        </is>
      </c>
      <c r="C34" s="60" t="inlineStr">
        <is>
          <t>Middle East African Journal of Ophthalmology</t>
        </is>
      </c>
      <c r="D34" s="60" t="n">
        <v>0.4</v>
      </c>
      <c r="E34" s="60" t="inlineStr">
        <is>
          <t>India</t>
        </is>
      </c>
      <c r="F34" s="60" t="inlineStr">
        <is>
          <t>cross-sectional</t>
        </is>
      </c>
      <c r="G34" s="60" t="inlineStr">
        <is>
          <t>prospective</t>
        </is>
      </c>
      <c r="H34" s="60" t="inlineStr">
        <is>
          <t>2017–2018</t>
        </is>
      </c>
      <c r="I34" s="84" t="inlineStr">
        <is>
          <t>no</t>
        </is>
      </c>
      <c r="J34" s="60" t="inlineStr">
        <is>
          <t>community eye clinic</t>
        </is>
      </c>
      <c r="K34" s="84" t="inlineStr">
        <is>
          <t>Rural eye clinic, Bengaluru</t>
        </is>
      </c>
      <c r="L34" s="60" t="inlineStr">
        <is>
          <t>primary</t>
        </is>
      </c>
      <c r="M34" s="60" t="inlineStr">
        <is>
          <t>no</t>
        </is>
      </c>
      <c r="N34" s="84" t="inlineStr">
        <is>
          <t>asia</t>
        </is>
      </c>
      <c r="O34" s="60" t="inlineStr">
        <is>
          <t>mixed</t>
        </is>
      </c>
      <c r="P34" s="60" t="inlineStr">
        <is>
          <t>no</t>
        </is>
      </c>
      <c r="Q34" s="60" t="inlineStr">
        <is>
          <t>NR</t>
        </is>
      </c>
      <c r="R34" s="60" t="inlineStr">
        <is>
          <t>48.6</t>
        </is>
      </c>
      <c r="S34" s="65" t="n">
        <v>138</v>
      </c>
      <c r="T34" s="60" t="inlineStr">
        <is>
          <t>low</t>
        </is>
      </c>
      <c r="U34" s="60" t="inlineStr">
        <is>
          <t>rdr</t>
        </is>
      </c>
      <c r="V34" s="60" t="inlineStr">
        <is>
          <t>NR</t>
        </is>
      </c>
      <c r="W34" s="60" t="inlineStr">
        <is>
          <t>retina specialist</t>
        </is>
      </c>
      <c r="X34" s="60" t="inlineStr">
        <is>
          <t>CFP</t>
        </is>
      </c>
      <c r="Y34" s="60" t="inlineStr">
        <is>
          <t>mixed</t>
        </is>
      </c>
      <c r="Z34" s="60" t="inlineStr">
        <is>
          <t>NR</t>
        </is>
      </c>
      <c r="AA34" s="60" t="inlineStr">
        <is>
          <t>icdr</t>
        </is>
      </c>
      <c r="AB34" s="60" t="inlineStr">
        <is>
          <t>portable</t>
        </is>
      </c>
      <c r="AC34" s="60" t="inlineStr">
        <is>
          <t>1</t>
        </is>
      </c>
      <c r="AD34" s="60" t="inlineStr">
        <is>
          <t>40</t>
        </is>
      </c>
      <c r="AE34" s="60" t="inlineStr">
        <is>
          <t>Intucam</t>
        </is>
      </c>
      <c r="AF34" s="63" t="inlineStr">
        <is>
          <t>1.00</t>
        </is>
      </c>
      <c r="AG34" s="60" t="inlineStr">
        <is>
          <t>hybrid</t>
        </is>
      </c>
      <c r="AH34" s="60" t="inlineStr">
        <is>
          <t>NR</t>
        </is>
      </c>
      <c r="AI34" s="60" t="inlineStr">
        <is>
          <t>yes</t>
        </is>
      </c>
      <c r="AJ34" s="62" t="inlineStr">
        <is>
          <t>no</t>
        </is>
      </c>
      <c r="AK34" s="62" t="inlineStr">
        <is>
          <t>yes</t>
        </is>
      </c>
      <c r="AL34" s="60" t="inlineStr">
        <is>
          <t>LEBEN CARE DL</t>
        </is>
      </c>
      <c r="AM34" s="60" t="inlineStr">
        <is>
          <t>no</t>
        </is>
      </c>
      <c r="AN34" s="62" t="inlineStr">
        <is>
          <t>CNN (proprietary)</t>
        </is>
      </c>
    </row>
    <row r="35" ht="16" customHeight="1" s="55">
      <c r="A35" s="60" t="inlineStr">
        <is>
          <t>Li et al. (2023)</t>
        </is>
      </c>
      <c r="B35" s="60" t="inlineStr">
        <is>
          <t>Using deep leaning models to detect ophthalmic diseases: A comparative study</t>
        </is>
      </c>
      <c r="C35" s="60" t="inlineStr">
        <is>
          <t>Frontiers in Medicine</t>
        </is>
      </c>
      <c r="D35" s="60" t="n">
        <v>3.1</v>
      </c>
      <c r="E35" s="60" t="inlineStr">
        <is>
          <t>China</t>
        </is>
      </c>
      <c r="F35" s="60" t="inlineStr">
        <is>
          <t>cross-sectional</t>
        </is>
      </c>
      <c r="G35" s="60" t="inlineStr">
        <is>
          <t>retrospective</t>
        </is>
      </c>
      <c r="H35" s="60" t="inlineStr">
        <is>
          <t>NR</t>
        </is>
      </c>
      <c r="I35" s="84" t="inlineStr">
        <is>
          <t>yes</t>
        </is>
      </c>
      <c r="J35" s="60" t="inlineStr">
        <is>
          <t>hospitals; clinics; screening</t>
        </is>
      </c>
      <c r="K35" s="84" t="inlineStr">
        <is>
          <t>LabelMe dataset (36 hospitals/clinics, China)</t>
        </is>
      </c>
      <c r="L35" s="60" t="inlineStr">
        <is>
          <t>mixed</t>
        </is>
      </c>
      <c r="M35" s="60" t="inlineStr">
        <is>
          <t>no</t>
        </is>
      </c>
      <c r="N35" s="84" t="inlineStr">
        <is>
          <t>asia</t>
        </is>
      </c>
      <c r="O35" s="60" t="inlineStr">
        <is>
          <t>dataset-based</t>
        </is>
      </c>
      <c r="P35" s="60" t="inlineStr">
        <is>
          <t>yes</t>
        </is>
      </c>
      <c r="Q35" s="60" t="inlineStr">
        <is>
          <t>NR</t>
        </is>
      </c>
      <c r="R35" s="60" t="inlineStr">
        <is>
          <t>NR</t>
        </is>
      </c>
      <c r="S35" s="65" t="n">
        <v>300</v>
      </c>
      <c r="T35" s="60" t="inlineStr">
        <is>
          <t>middle</t>
        </is>
      </c>
      <c r="U35" s="60" t="inlineStr">
        <is>
          <t>rdr</t>
        </is>
      </c>
      <c r="V35" s="60" t="inlineStr">
        <is>
          <t>NR</t>
        </is>
      </c>
      <c r="W35" s="60" t="inlineStr">
        <is>
          <t>consensus panel</t>
        </is>
      </c>
      <c r="X35" s="60" t="inlineStr">
        <is>
          <t>CFP</t>
        </is>
      </c>
      <c r="Y35" s="60" t="inlineStr">
        <is>
          <t>NR</t>
        </is>
      </c>
      <c r="Z35" s="60" t="inlineStr">
        <is>
          <t>adjudication</t>
        </is>
      </c>
      <c r="AA35" s="60" t="inlineStr">
        <is>
          <t>icdr</t>
        </is>
      </c>
      <c r="AB35" s="60" t="inlineStr">
        <is>
          <t>mixed</t>
        </is>
      </c>
      <c r="AC35" s="60" t="inlineStr">
        <is>
          <t>NR</t>
        </is>
      </c>
      <c r="AD35" s="60" t="inlineStr">
        <is>
          <t>NR</t>
        </is>
      </c>
      <c r="AE35" s="60" t="inlineStr">
        <is>
          <t>multiple</t>
        </is>
      </c>
      <c r="AF35" s="63" t="inlineStr">
        <is>
          <t>1.00</t>
        </is>
      </c>
      <c r="AG35" s="60" t="inlineStr">
        <is>
          <t>PP</t>
        </is>
      </c>
      <c r="AH35" s="60" t="inlineStr">
        <is>
          <t>Singapore</t>
        </is>
      </c>
      <c r="AI35" s="60" t="inlineStr">
        <is>
          <t>no</t>
        </is>
      </c>
      <c r="AJ35" s="60" t="inlineStr">
        <is>
          <t>no</t>
        </is>
      </c>
      <c r="AK35" s="60" t="inlineStr">
        <is>
          <t>no</t>
        </is>
      </c>
      <c r="AL35" s="60" t="inlineStr">
        <is>
          <t>SELENA+ (v20171024)</t>
        </is>
      </c>
      <c r="AM35" s="60" t="inlineStr">
        <is>
          <t>yes</t>
        </is>
      </c>
      <c r="AN35" s="60" t="inlineStr">
        <is>
          <t>Inception-v3 (ensemble)</t>
        </is>
      </c>
    </row>
    <row r="36" ht="16" customHeight="1" s="55">
      <c r="A36" s="60" t="inlineStr">
        <is>
          <t>Sayres et al. (2019)</t>
        </is>
      </c>
      <c r="B36" s="60" t="inlineStr">
        <is>
          <t>Using a Deep Learning Algorithm and Integrated Gradients Explanation to Assist Grading for Diabetic Retinopathy</t>
        </is>
      </c>
      <c r="C36" s="60" t="inlineStr">
        <is>
          <t>Ophthalmology</t>
        </is>
      </c>
      <c r="D36" s="60" t="n">
        <v>9.5</v>
      </c>
      <c r="E36" s="60" t="inlineStr">
        <is>
          <t>USA</t>
        </is>
      </c>
      <c r="F36" s="60" t="inlineStr">
        <is>
          <t>cross-sectional</t>
        </is>
      </c>
      <c r="G36" s="60" t="inlineStr">
        <is>
          <t>retrospective</t>
        </is>
      </c>
      <c r="H36" s="60" t="inlineStr">
        <is>
          <t>2015–2015</t>
        </is>
      </c>
      <c r="I36" s="84" t="inlineStr">
        <is>
          <t>yes</t>
        </is>
      </c>
      <c r="J36" s="60" t="inlineStr">
        <is>
          <t>screening clinics</t>
        </is>
      </c>
      <c r="K36" s="84" t="inlineStr">
        <is>
          <t>EyePACS clinics (USA)</t>
        </is>
      </c>
      <c r="L36" s="60" t="inlineStr">
        <is>
          <t>public dataset</t>
        </is>
      </c>
      <c r="M36" s="60" t="inlineStr">
        <is>
          <t>no</t>
        </is>
      </c>
      <c r="N36" s="84" t="inlineStr">
        <is>
          <t>america</t>
        </is>
      </c>
      <c r="O36" s="60" t="inlineStr">
        <is>
          <t>adults with diabetes</t>
        </is>
      </c>
      <c r="P36" s="60" t="inlineStr">
        <is>
          <t>yes</t>
        </is>
      </c>
      <c r="Q36" s="60" t="inlineStr">
        <is>
          <t>NR</t>
        </is>
      </c>
      <c r="R36" s="60" t="inlineStr">
        <is>
          <t>NR</t>
        </is>
      </c>
      <c r="S36" s="65" t="n">
        <v>1796</v>
      </c>
      <c r="T36" s="60" t="inlineStr">
        <is>
          <t>high</t>
        </is>
      </c>
      <c r="U36" s="60" t="inlineStr">
        <is>
          <t>rdr</t>
        </is>
      </c>
      <c r="V36" s="60" t="inlineStr">
        <is>
          <t>NR</t>
        </is>
      </c>
      <c r="W36" s="60" t="inlineStr">
        <is>
          <t>consensus panel</t>
        </is>
      </c>
      <c r="X36" s="60" t="inlineStr">
        <is>
          <t>CFP</t>
        </is>
      </c>
      <c r="Y36" s="60" t="inlineStr">
        <is>
          <t>NR</t>
        </is>
      </c>
      <c r="Z36" s="60" t="inlineStr">
        <is>
          <t>adjudication</t>
        </is>
      </c>
      <c r="AA36" s="60" t="inlineStr">
        <is>
          <t>icdr</t>
        </is>
      </c>
      <c r="AB36" s="60" t="inlineStr">
        <is>
          <t>desktop</t>
        </is>
      </c>
      <c r="AC36" s="60" t="inlineStr">
        <is>
          <t>NR</t>
        </is>
      </c>
      <c r="AD36" s="60" t="inlineStr">
        <is>
          <t>NR</t>
        </is>
      </c>
      <c r="AE36" s="60" t="inlineStr">
        <is>
          <t>NR</t>
        </is>
      </c>
      <c r="AF36" s="60" t="inlineStr">
        <is>
          <t>0.90</t>
        </is>
      </c>
      <c r="AG36" s="60" t="inlineStr">
        <is>
          <t>PP</t>
        </is>
      </c>
      <c r="AH36" s="60" t="inlineStr">
        <is>
          <t>USA; India</t>
        </is>
      </c>
      <c r="AI36" s="60" t="inlineStr">
        <is>
          <t>yes</t>
        </is>
      </c>
      <c r="AJ36" s="60" t="inlineStr">
        <is>
          <t>no</t>
        </is>
      </c>
      <c r="AK36" s="60" t="inlineStr">
        <is>
          <t>no</t>
        </is>
      </c>
      <c r="AL36" s="60" t="inlineStr">
        <is>
          <t>Google DLS</t>
        </is>
      </c>
      <c r="AM36" s="60" t="inlineStr">
        <is>
          <t>yes</t>
        </is>
      </c>
      <c r="AN36" s="60" t="inlineStr">
        <is>
          <t>Inception-v4</t>
        </is>
      </c>
    </row>
    <row r="37" ht="16" customHeight="1" s="55">
      <c r="A37" s="60" t="inlineStr">
        <is>
          <t>Gulshan et al. (2019)</t>
        </is>
      </c>
      <c r="B37" s="60" t="inlineStr">
        <is>
          <t>Performance of a Deep-Learning Algorithm vs Manual Grading for Detecting Diabetic Retinopathy in India</t>
        </is>
      </c>
      <c r="C37" s="60" t="inlineStr">
        <is>
          <t>JAMA Ophthalmology</t>
        </is>
      </c>
      <c r="D37" s="60" t="n">
        <v>9.199999999999999</v>
      </c>
      <c r="E37" s="60" t="inlineStr">
        <is>
          <t>India</t>
        </is>
      </c>
      <c r="F37" s="60" t="inlineStr">
        <is>
          <t>cohort</t>
        </is>
      </c>
      <c r="G37" s="60" t="inlineStr">
        <is>
          <t>prospective</t>
        </is>
      </c>
      <c r="H37" s="60" t="inlineStr">
        <is>
          <t>2016–2017</t>
        </is>
      </c>
      <c r="I37" s="84" t="inlineStr">
        <is>
          <t>yes</t>
        </is>
      </c>
      <c r="J37" s="60" t="inlineStr">
        <is>
          <t>tertiary eye centers</t>
        </is>
      </c>
      <c r="K37" s="84" t="inlineStr">
        <is>
          <t>Aravind Eye Hospital; Sankara Nethralaya</t>
        </is>
      </c>
      <c r="L37" s="60" t="inlineStr">
        <is>
          <t>tertiary</t>
        </is>
      </c>
      <c r="M37" s="60" t="inlineStr">
        <is>
          <t>no</t>
        </is>
      </c>
      <c r="N37" s="84" t="inlineStr">
        <is>
          <t>asia</t>
        </is>
      </c>
      <c r="O37" s="60" t="inlineStr">
        <is>
          <t>adults with diabetes</t>
        </is>
      </c>
      <c r="P37" s="60" t="inlineStr">
        <is>
          <t>yes</t>
        </is>
      </c>
      <c r="Q37" s="60" t="inlineStr">
        <is>
          <t>56.3 ± 9.5</t>
        </is>
      </c>
      <c r="R37" s="60" t="inlineStr">
        <is>
          <t>35.8</t>
        </is>
      </c>
      <c r="S37" s="65" t="n">
        <v>3049</v>
      </c>
      <c r="T37" s="60" t="inlineStr">
        <is>
          <t>low</t>
        </is>
      </c>
      <c r="U37" s="60" t="inlineStr">
        <is>
          <t>rdr</t>
        </is>
      </c>
      <c r="V37" s="60" t="inlineStr">
        <is>
          <t>NR</t>
        </is>
      </c>
      <c r="W37" s="60" t="inlineStr">
        <is>
          <t>consensus panel</t>
        </is>
      </c>
      <c r="X37" s="60" t="inlineStr">
        <is>
          <t>CFP</t>
        </is>
      </c>
      <c r="Y37" s="60" t="inlineStr">
        <is>
          <t>non-mydriatic</t>
        </is>
      </c>
      <c r="Z37" s="60" t="inlineStr">
        <is>
          <t>consensus</t>
        </is>
      </c>
      <c r="AA37" s="60" t="inlineStr">
        <is>
          <t>icdr</t>
        </is>
      </c>
      <c r="AB37" s="60" t="inlineStr">
        <is>
          <t>portable</t>
        </is>
      </c>
      <c r="AC37" s="60" t="inlineStr">
        <is>
          <t>1</t>
        </is>
      </c>
      <c r="AD37" s="60" t="inlineStr">
        <is>
          <t>40</t>
        </is>
      </c>
      <c r="AE37" s="60" t="inlineStr">
        <is>
          <t>Forus; Topcon</t>
        </is>
      </c>
      <c r="AF37" s="60" t="inlineStr">
        <is>
          <t>NR</t>
        </is>
      </c>
      <c r="AG37" s="60" t="inlineStr">
        <is>
          <t>PP</t>
        </is>
      </c>
      <c r="AH37" s="60" t="inlineStr">
        <is>
          <t>USA; India</t>
        </is>
      </c>
      <c r="AI37" s="60" t="inlineStr">
        <is>
          <t>yes</t>
        </is>
      </c>
      <c r="AJ37" s="60" t="inlineStr">
        <is>
          <t>no</t>
        </is>
      </c>
      <c r="AK37" s="60" t="inlineStr">
        <is>
          <t>no</t>
        </is>
      </c>
      <c r="AL37" s="60" t="inlineStr">
        <is>
          <t>Google DLS</t>
        </is>
      </c>
      <c r="AM37" s="60" t="inlineStr">
        <is>
          <t>yes</t>
        </is>
      </c>
      <c r="AN37" s="60" t="inlineStr">
        <is>
          <t>Inception-v4</t>
        </is>
      </c>
    </row>
    <row r="38" ht="16" customHeight="1" s="55">
      <c r="A38" s="60" t="inlineStr">
        <is>
          <t>Qian et al. (2022)</t>
        </is>
      </c>
      <c r="B38" s="60" t="inlineStr">
        <is>
          <t>The effectiveness of artificial intelligence-based automated grading and training system in education of manual detection of diabetic retinopathy</t>
        </is>
      </c>
      <c r="C38" s="60" t="inlineStr">
        <is>
          <t>Frontiers in Public Health</t>
        </is>
      </c>
      <c r="D38" s="60" t="n">
        <v>3.4</v>
      </c>
      <c r="E38" s="60" t="inlineStr">
        <is>
          <t>China</t>
        </is>
      </c>
      <c r="F38" s="60" t="inlineStr">
        <is>
          <t>cross-sectional</t>
        </is>
      </c>
      <c r="G38" s="60" t="inlineStr">
        <is>
          <t>retrospective</t>
        </is>
      </c>
      <c r="H38" s="60" t="inlineStr">
        <is>
          <t>2016–2019</t>
        </is>
      </c>
      <c r="I38" s="84" t="inlineStr">
        <is>
          <t>no</t>
        </is>
      </c>
      <c r="J38" s="60" t="inlineStr">
        <is>
          <t>university hospital</t>
        </is>
      </c>
      <c r="K38" s="84" t="inlineStr">
        <is>
          <t>Qilu Hospital of Shandong University</t>
        </is>
      </c>
      <c r="L38" s="60" t="inlineStr">
        <is>
          <t>tertiary</t>
        </is>
      </c>
      <c r="M38" s="60" t="inlineStr">
        <is>
          <t>no</t>
        </is>
      </c>
      <c r="N38" s="84" t="inlineStr">
        <is>
          <t>asia</t>
        </is>
      </c>
      <c r="O38" s="60" t="inlineStr">
        <is>
          <t>adults with diabetes</t>
        </is>
      </c>
      <c r="P38" s="60" t="inlineStr">
        <is>
          <t>no</t>
        </is>
      </c>
      <c r="Q38" s="60" t="inlineStr">
        <is>
          <t>60.8 ± 11.3</t>
        </is>
      </c>
      <c r="R38" s="60" t="inlineStr">
        <is>
          <t>41.6</t>
        </is>
      </c>
      <c r="S38" s="65" t="n">
        <v>2766</v>
      </c>
      <c r="T38" s="60" t="inlineStr">
        <is>
          <t>middle</t>
        </is>
      </c>
      <c r="U38" s="60" t="inlineStr">
        <is>
          <t>rdr</t>
        </is>
      </c>
      <c r="V38" s="60" t="inlineStr">
        <is>
          <t>NR</t>
        </is>
      </c>
      <c r="W38" s="60" t="inlineStr">
        <is>
          <t>consensus panel</t>
        </is>
      </c>
      <c r="X38" s="60" t="inlineStr">
        <is>
          <t>CFP</t>
        </is>
      </c>
      <c r="Y38" s="60" t="inlineStr">
        <is>
          <t>non-mydriatic</t>
        </is>
      </c>
      <c r="Z38" s="60" t="inlineStr">
        <is>
          <t>adjudication</t>
        </is>
      </c>
      <c r="AA38" s="60" t="inlineStr">
        <is>
          <t>icdr</t>
        </is>
      </c>
      <c r="AB38" s="60" t="inlineStr">
        <is>
          <t>desktop</t>
        </is>
      </c>
      <c r="AC38" s="60" t="inlineStr">
        <is>
          <t>1</t>
        </is>
      </c>
      <c r="AD38" s="60" t="inlineStr">
        <is>
          <t>45</t>
        </is>
      </c>
      <c r="AE38" s="60" t="inlineStr">
        <is>
          <t>Canon</t>
        </is>
      </c>
      <c r="AF38" s="63" t="inlineStr">
        <is>
          <t>1.00</t>
        </is>
      </c>
      <c r="AG38" s="60" t="inlineStr">
        <is>
          <t>PP</t>
        </is>
      </c>
      <c r="AH38" s="60" t="inlineStr">
        <is>
          <t>China</t>
        </is>
      </c>
      <c r="AI38" s="60" t="inlineStr">
        <is>
          <t>no</t>
        </is>
      </c>
      <c r="AJ38" s="62" t="inlineStr">
        <is>
          <t>no</t>
        </is>
      </c>
      <c r="AK38" s="62" t="inlineStr">
        <is>
          <t>no</t>
        </is>
      </c>
      <c r="AL38" s="60" t="inlineStr">
        <is>
          <t>DR grading system</t>
        </is>
      </c>
      <c r="AM38" s="60" t="inlineStr">
        <is>
          <t>no</t>
        </is>
      </c>
      <c r="AN38" s="60" t="inlineStr">
        <is>
          <t>ResNet-50 + GCN</t>
        </is>
      </c>
    </row>
    <row r="39" ht="16" customHeight="1" s="55">
      <c r="A39" s="60" t="inlineStr">
        <is>
          <t>Fleming et al. (2024)</t>
        </is>
      </c>
      <c r="B39" s="60" t="inlineStr">
        <is>
          <t>Deep learning detection of diabetic retinopathy in Scotland’s diabetic eye screening programme</t>
        </is>
      </c>
      <c r="C39" s="60" t="inlineStr">
        <is>
          <t>Br J Ophthalmol</t>
        </is>
      </c>
      <c r="D39" s="60" t="n">
        <v>3.8</v>
      </c>
      <c r="E39" s="60" t="inlineStr">
        <is>
          <t>UK</t>
        </is>
      </c>
      <c r="F39" s="60" t="inlineStr">
        <is>
          <t>cross-sectional</t>
        </is>
      </c>
      <c r="G39" s="60" t="inlineStr">
        <is>
          <t>retrospective</t>
        </is>
      </c>
      <c r="H39" s="60" t="inlineStr">
        <is>
          <t>2006–2016</t>
        </is>
      </c>
      <c r="I39" s="84" t="inlineStr">
        <is>
          <t>yes</t>
        </is>
      </c>
      <c r="J39" s="60" t="inlineStr">
        <is>
          <t>national screening programme</t>
        </is>
      </c>
      <c r="K39" s="84" t="inlineStr">
        <is>
          <t>Scotland DES national programme</t>
        </is>
      </c>
      <c r="L39" s="60" t="inlineStr">
        <is>
          <t>primary</t>
        </is>
      </c>
      <c r="M39" s="60" t="inlineStr">
        <is>
          <t>no</t>
        </is>
      </c>
      <c r="N39" s="84" t="inlineStr">
        <is>
          <t>europe</t>
        </is>
      </c>
      <c r="O39" s="60" t="inlineStr">
        <is>
          <t>adults with diabetes</t>
        </is>
      </c>
      <c r="P39" s="60" t="inlineStr">
        <is>
          <t>no</t>
        </is>
      </c>
      <c r="Q39" s="60" t="inlineStr">
        <is>
          <t>NR</t>
        </is>
      </c>
      <c r="R39" s="60" t="inlineStr">
        <is>
          <t>NR</t>
        </is>
      </c>
      <c r="S39" s="65" t="n">
        <v>179944</v>
      </c>
      <c r="T39" s="60" t="inlineStr">
        <is>
          <t>high</t>
        </is>
      </c>
      <c r="U39" s="60" t="inlineStr">
        <is>
          <t>rdr</t>
        </is>
      </c>
      <c r="V39" s="60" t="inlineStr">
        <is>
          <t>NR</t>
        </is>
      </c>
      <c r="W39" s="60" t="inlineStr">
        <is>
          <t>trained grader</t>
        </is>
      </c>
      <c r="X39" s="60" t="inlineStr">
        <is>
          <t>CFP</t>
        </is>
      </c>
      <c r="Y39" s="60" t="inlineStr">
        <is>
          <t>NR</t>
        </is>
      </c>
      <c r="Z39" s="60" t="inlineStr">
        <is>
          <t>consensus</t>
        </is>
      </c>
      <c r="AA39" s="60" t="inlineStr">
        <is>
          <t>other</t>
        </is>
      </c>
      <c r="AB39" s="60" t="inlineStr">
        <is>
          <t>NR</t>
        </is>
      </c>
      <c r="AC39" s="60" t="inlineStr">
        <is>
          <t>NR</t>
        </is>
      </c>
      <c r="AD39" s="60" t="inlineStr">
        <is>
          <t>NR</t>
        </is>
      </c>
      <c r="AE39" s="60" t="inlineStr">
        <is>
          <t>NR</t>
        </is>
      </c>
      <c r="AF39" s="60" t="inlineStr">
        <is>
          <t>NR</t>
        </is>
      </c>
      <c r="AG39" s="60" t="inlineStr">
        <is>
          <t>ITT</t>
        </is>
      </c>
      <c r="AH39" s="60" t="inlineStr">
        <is>
          <t>UK</t>
        </is>
      </c>
      <c r="AI39" s="60" t="inlineStr">
        <is>
          <t>no</t>
        </is>
      </c>
      <c r="AJ39" s="60" t="inlineStr">
        <is>
          <t>no</t>
        </is>
      </c>
      <c r="AK39" s="60" t="inlineStr">
        <is>
          <t>no</t>
        </is>
      </c>
      <c r="AL39" s="60" t="inlineStr">
        <is>
          <t>DLAG</t>
        </is>
      </c>
      <c r="AM39" s="60" t="inlineStr">
        <is>
          <t>NR</t>
        </is>
      </c>
      <c r="AN39" s="60" t="inlineStr">
        <is>
          <t>ResNet-101</t>
        </is>
      </c>
    </row>
    <row r="40" ht="16" customHeight="1" s="55">
      <c r="A40" s="60" t="inlineStr">
        <is>
          <t>Dai et al. (2021)</t>
        </is>
      </c>
      <c r="B40" s="60" t="inlineStr">
        <is>
          <t>A deep learning system for detecting diabetic retinopathy across the disease spectrum</t>
        </is>
      </c>
      <c r="C40" s="60" t="inlineStr">
        <is>
          <t>Nature Communications</t>
        </is>
      </c>
      <c r="D40" s="60" t="n">
        <v>14.7</v>
      </c>
      <c r="E40" s="60" t="inlineStr">
        <is>
          <t>China; USA</t>
        </is>
      </c>
      <c r="F40" s="60" t="inlineStr">
        <is>
          <t>cross-sectional</t>
        </is>
      </c>
      <c r="G40" s="60" t="inlineStr">
        <is>
          <t>retrospective</t>
        </is>
      </c>
      <c r="H40" s="60" t="inlineStr">
        <is>
          <t>2014–2018</t>
        </is>
      </c>
      <c r="I40" s="84" t="inlineStr">
        <is>
          <t>yes</t>
        </is>
      </c>
      <c r="J40" s="60" t="inlineStr">
        <is>
          <t>community screening programme</t>
        </is>
      </c>
      <c r="K40" s="84" t="inlineStr">
        <is>
          <t>SIM programme (Shanghai); CNDCS; NDSP; EyePACS</t>
        </is>
      </c>
      <c r="L40" s="60" t="inlineStr">
        <is>
          <t>primary</t>
        </is>
      </c>
      <c r="M40" s="60" t="inlineStr">
        <is>
          <t>yes</t>
        </is>
      </c>
      <c r="N40" s="84" t="inlineStr">
        <is>
          <t>mixed</t>
        </is>
      </c>
      <c r="O40" s="60" t="inlineStr">
        <is>
          <t>adults with diabetes</t>
        </is>
      </c>
      <c r="P40" s="60" t="inlineStr">
        <is>
          <t>yes</t>
        </is>
      </c>
      <c r="Q40" s="60" t="inlineStr">
        <is>
          <t>NR</t>
        </is>
      </c>
      <c r="R40" s="60" t="inlineStr">
        <is>
          <t>NR</t>
        </is>
      </c>
      <c r="S40" s="65" t="n">
        <v>52004</v>
      </c>
      <c r="T40" s="60" t="inlineStr">
        <is>
          <t>mixed</t>
        </is>
      </c>
      <c r="U40" s="60" t="inlineStr">
        <is>
          <t>any dr</t>
        </is>
      </c>
      <c r="V40" s="60" t="inlineStr">
        <is>
          <t>NR</t>
        </is>
      </c>
      <c r="W40" s="60" t="inlineStr">
        <is>
          <t>consensus panel</t>
        </is>
      </c>
      <c r="X40" s="60" t="inlineStr">
        <is>
          <t>CFP</t>
        </is>
      </c>
      <c r="Y40" s="60" t="inlineStr">
        <is>
          <t>NR</t>
        </is>
      </c>
      <c r="Z40" s="60" t="inlineStr">
        <is>
          <t>adjudication</t>
        </is>
      </c>
      <c r="AA40" s="60" t="inlineStr">
        <is>
          <t>icdr</t>
        </is>
      </c>
      <c r="AB40" s="60" t="inlineStr">
        <is>
          <t>mixed</t>
        </is>
      </c>
      <c r="AC40" s="60" t="inlineStr">
        <is>
          <t>1</t>
        </is>
      </c>
      <c r="AD40" s="60" t="inlineStr">
        <is>
          <t>NR</t>
        </is>
      </c>
      <c r="AE40" s="60" t="inlineStr">
        <is>
          <t>Canon; Topcon; Zeiss</t>
        </is>
      </c>
      <c r="AF40" s="60" t="inlineStr">
        <is>
          <t>NR</t>
        </is>
      </c>
      <c r="AG40" s="60" t="inlineStr">
        <is>
          <t>hybrid</t>
        </is>
      </c>
      <c r="AH40" s="60" t="inlineStr">
        <is>
          <t>China</t>
        </is>
      </c>
      <c r="AI40" s="60" t="inlineStr">
        <is>
          <t>yes</t>
        </is>
      </c>
      <c r="AJ40" s="60" t="inlineStr">
        <is>
          <t>no</t>
        </is>
      </c>
      <c r="AK40" s="60" t="inlineStr">
        <is>
          <t>no</t>
        </is>
      </c>
      <c r="AL40" s="60" t="inlineStr">
        <is>
          <t>DeepDR</t>
        </is>
      </c>
      <c r="AM40" s="60" t="inlineStr">
        <is>
          <t>yes</t>
        </is>
      </c>
      <c r="AN40" s="60" t="inlineStr">
        <is>
          <t>ResNet + Mask R-CNN</t>
        </is>
      </c>
    </row>
    <row r="41" ht="16" customHeight="1" s="55">
      <c r="A41" s="60" t="inlineStr">
        <is>
          <t>Gunasekeran et al. (2024)</t>
        </is>
      </c>
      <c r="B41" s="60" t="inlineStr">
        <is>
          <t>National Use of Artificial Intelligence for Eye Screening in Singapore</t>
        </is>
      </c>
      <c r="C41" s="60" t="inlineStr">
        <is>
          <t>NEJM AI</t>
        </is>
      </c>
      <c r="D41" s="60" t="inlineStr">
        <is>
          <t>NR*</t>
        </is>
      </c>
      <c r="E41" s="60" t="inlineStr">
        <is>
          <t>Singapore</t>
        </is>
      </c>
      <c r="F41" s="60" t="inlineStr">
        <is>
          <t>cross-sectional</t>
        </is>
      </c>
      <c r="G41" s="60" t="inlineStr">
        <is>
          <t>prospective</t>
        </is>
      </c>
      <c r="H41" s="60" t="inlineStr">
        <is>
          <t>NR</t>
        </is>
      </c>
      <c r="I41" s="84" t="inlineStr">
        <is>
          <t>no</t>
        </is>
      </c>
      <c r="J41" s="60" t="inlineStr">
        <is>
          <t>national screening programme</t>
        </is>
      </c>
      <c r="K41" s="84" t="inlineStr">
        <is>
          <t>SiDRP (Singapore)</t>
        </is>
      </c>
      <c r="L41" s="60" t="inlineStr">
        <is>
          <t>primary</t>
        </is>
      </c>
      <c r="M41" s="60" t="inlineStr">
        <is>
          <t>no</t>
        </is>
      </c>
      <c r="N41" s="84" t="inlineStr">
        <is>
          <t>asia</t>
        </is>
      </c>
      <c r="O41" s="60" t="inlineStr">
        <is>
          <t>adults with diabetes</t>
        </is>
      </c>
      <c r="P41" s="60" t="inlineStr">
        <is>
          <t>yes</t>
        </is>
      </c>
      <c r="Q41" s="60" t="inlineStr">
        <is>
          <t>NR</t>
        </is>
      </c>
      <c r="R41" s="60" t="inlineStr">
        <is>
          <t>NR</t>
        </is>
      </c>
      <c r="S41" s="65" t="n">
        <v>1712</v>
      </c>
      <c r="T41" s="60" t="inlineStr">
        <is>
          <t>high</t>
        </is>
      </c>
      <c r="U41" s="60" t="inlineStr">
        <is>
          <t>rdr</t>
        </is>
      </c>
      <c r="V41" s="60" t="inlineStr">
        <is>
          <t>NR</t>
        </is>
      </c>
      <c r="W41" s="60" t="inlineStr">
        <is>
          <t>trained grader</t>
        </is>
      </c>
      <c r="X41" s="60" t="inlineStr">
        <is>
          <t>CFP</t>
        </is>
      </c>
      <c r="Y41" s="60" t="inlineStr">
        <is>
          <t>NR</t>
        </is>
      </c>
      <c r="Z41" s="60" t="inlineStr">
        <is>
          <t>NR</t>
        </is>
      </c>
      <c r="AA41" s="60" t="inlineStr">
        <is>
          <t>icdr</t>
        </is>
      </c>
      <c r="AB41" s="60" t="inlineStr">
        <is>
          <t>NR</t>
        </is>
      </c>
      <c r="AC41" s="60" t="inlineStr">
        <is>
          <t>NR</t>
        </is>
      </c>
      <c r="AD41" s="60" t="inlineStr">
        <is>
          <t>NR</t>
        </is>
      </c>
      <c r="AE41" s="60" t="inlineStr">
        <is>
          <t>NR</t>
        </is>
      </c>
      <c r="AF41" s="63" t="inlineStr">
        <is>
          <t>1.00</t>
        </is>
      </c>
      <c r="AG41" s="60" t="inlineStr">
        <is>
          <t>hybrid</t>
        </is>
      </c>
      <c r="AH41" s="60" t="inlineStr">
        <is>
          <t>Singapore</t>
        </is>
      </c>
      <c r="AI41" s="60" t="inlineStr">
        <is>
          <t>yes</t>
        </is>
      </c>
      <c r="AJ41" s="60" t="inlineStr">
        <is>
          <t>HSA</t>
        </is>
      </c>
      <c r="AK41" s="60" t="inlineStr">
        <is>
          <t>yes</t>
        </is>
      </c>
      <c r="AL41" s="60" t="inlineStr">
        <is>
          <t>SELENA+</t>
        </is>
      </c>
      <c r="AM41" s="60" t="inlineStr">
        <is>
          <t>yes</t>
        </is>
      </c>
      <c r="AN41" s="62" t="inlineStr">
        <is>
          <t>VGGNet + ResNet + DenseNet</t>
        </is>
      </c>
    </row>
    <row r="42" ht="16" customHeight="1" s="55">
      <c r="A42" s="60" t="inlineStr">
        <is>
          <t>Qiu et al. (2024)</t>
        </is>
      </c>
      <c r="B42" s="60" t="inlineStr">
        <is>
          <t>Development and Validation of a Multimodal Multitask Vision Foundation Model for Generalist Ophthalmic Artificial Intelligence</t>
        </is>
      </c>
      <c r="C42" s="60" t="inlineStr">
        <is>
          <t>NEJM AI</t>
        </is>
      </c>
      <c r="D42" s="60" t="inlineStr">
        <is>
          <t>NR*</t>
        </is>
      </c>
      <c r="E42" s="60" t="inlineStr">
        <is>
          <t>China</t>
        </is>
      </c>
      <c r="F42" s="60" t="inlineStr">
        <is>
          <t>cross-sectional</t>
        </is>
      </c>
      <c r="G42" s="60" t="inlineStr">
        <is>
          <t>retrospective</t>
        </is>
      </c>
      <c r="H42" s="60" t="inlineStr">
        <is>
          <t>NR</t>
        </is>
      </c>
      <c r="I42" s="84" t="inlineStr">
        <is>
          <t>yes</t>
        </is>
      </c>
      <c r="J42" s="60" t="inlineStr">
        <is>
          <t>datasets (public; private)</t>
        </is>
      </c>
      <c r="K42" s="84" t="inlineStr">
        <is>
          <t>Multi-center datasets (China) + public datasets</t>
        </is>
      </c>
      <c r="L42" s="60" t="inlineStr">
        <is>
          <t>mixed</t>
        </is>
      </c>
      <c r="M42" s="60" t="inlineStr">
        <is>
          <t>yes</t>
        </is>
      </c>
      <c r="N42" s="84" t="inlineStr">
        <is>
          <t>mixed</t>
        </is>
      </c>
      <c r="O42" s="60" t="inlineStr">
        <is>
          <t>dataset-based</t>
        </is>
      </c>
      <c r="P42" s="60" t="inlineStr">
        <is>
          <t>yes</t>
        </is>
      </c>
      <c r="Q42" s="60" t="inlineStr">
        <is>
          <t>NR</t>
        </is>
      </c>
      <c r="R42" s="60" t="inlineStr">
        <is>
          <t>NR</t>
        </is>
      </c>
      <c r="S42" s="65" t="n">
        <v>1437</v>
      </c>
      <c r="T42" s="60" t="inlineStr">
        <is>
          <t>mixed</t>
        </is>
      </c>
      <c r="U42" s="60" t="inlineStr">
        <is>
          <t>any dr</t>
        </is>
      </c>
      <c r="V42" s="60" t="inlineStr">
        <is>
          <t>NR</t>
        </is>
      </c>
      <c r="W42" s="60" t="inlineStr">
        <is>
          <t>NR</t>
        </is>
      </c>
      <c r="X42" s="60" t="inlineStr">
        <is>
          <t>mixed</t>
        </is>
      </c>
      <c r="Y42" s="60" t="inlineStr">
        <is>
          <t>mixed</t>
        </is>
      </c>
      <c r="Z42" s="63" t="inlineStr">
        <is>
          <t>NR</t>
        </is>
      </c>
      <c r="AA42" s="60" t="inlineStr">
        <is>
          <t>icdr</t>
        </is>
      </c>
      <c r="AB42" s="60" t="inlineStr">
        <is>
          <t>mixed</t>
        </is>
      </c>
      <c r="AC42" s="60" t="inlineStr">
        <is>
          <t>NR</t>
        </is>
      </c>
      <c r="AD42" s="60" t="inlineStr">
        <is>
          <t>NR</t>
        </is>
      </c>
      <c r="AE42" s="60" t="inlineStr">
        <is>
          <t>multiple</t>
        </is>
      </c>
      <c r="AF42" s="63" t="inlineStr">
        <is>
          <t>1.00</t>
        </is>
      </c>
      <c r="AG42" s="63" t="inlineStr">
        <is>
          <t>PP</t>
        </is>
      </c>
      <c r="AH42" s="60" t="inlineStr">
        <is>
          <t>multi-country</t>
        </is>
      </c>
      <c r="AI42" s="60" t="inlineStr">
        <is>
          <t>no</t>
        </is>
      </c>
      <c r="AJ42" s="62" t="inlineStr">
        <is>
          <t>no</t>
        </is>
      </c>
      <c r="AK42" s="62" t="inlineStr">
        <is>
          <t>yes</t>
        </is>
      </c>
      <c r="AL42" s="60" t="inlineStr">
        <is>
          <t>VisionFM</t>
        </is>
      </c>
      <c r="AM42" s="60" t="inlineStr">
        <is>
          <t>no</t>
        </is>
      </c>
      <c r="AN42" s="60" t="inlineStr">
        <is>
          <t>ViT (modality-specific)</t>
        </is>
      </c>
    </row>
    <row r="43">
      <c r="D43" s="84">
        <f>AVERAGE(D4:D43)</f>
        <v/>
      </c>
    </row>
    <row r="44" ht="16" customHeight="1" s="55"/>
    <row r="52" ht="16" customHeight="1" s="55"/>
    <row r="54" ht="16" customHeight="1" s="55"/>
    <row r="55" ht="16" customHeight="1" s="55"/>
    <row r="56" ht="16" customHeight="1" s="55"/>
    <row r="57" ht="16" customHeight="1" s="55"/>
    <row r="58" ht="16" customHeight="1" s="55"/>
    <row r="59" ht="16" customHeight="1" s="55"/>
    <row r="60" ht="16" customHeight="1" s="55"/>
    <row r="61" ht="16" customHeight="1" s="55"/>
    <row r="62" ht="16" customHeight="1" s="55"/>
    <row r="63" ht="16" customHeight="1" s="55"/>
    <row r="64" ht="16" customHeight="1" s="55"/>
    <row r="65" ht="16" customHeight="1" s="55"/>
    <row r="66" ht="16" customHeight="1" s="55"/>
    <row r="67" ht="16" customHeight="1" s="55"/>
    <row r="68" ht="16" customHeight="1" s="55"/>
  </sheetData>
  <mergeCells count="6">
    <mergeCell ref="T2:X2"/>
    <mergeCell ref="R2:S2"/>
    <mergeCell ref="Y2:AF2"/>
    <mergeCell ref="E2:K2"/>
    <mergeCell ref="L2:Q2"/>
    <mergeCell ref="AG2:AM2"/>
  </mergeCells>
  <conditionalFormatting sqref="B1:B3 B14:B15 B44 B51:B1048576">
    <cfRule type="duplicateValues" priority="82" dxfId="0"/>
  </conditionalFormatting>
  <conditionalFormatting sqref="B1:B3">
    <cfRule type="duplicateValues" priority="27" dxfId="0"/>
    <cfRule type="duplicateValues" priority="28" dxfId="0"/>
  </conditionalFormatting>
  <conditionalFormatting sqref="B2:B3">
    <cfRule type="duplicateValues" priority="26" dxfId="0"/>
  </conditionalFormatting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5"/>
  <sheetViews>
    <sheetView zoomScale="118" workbookViewId="0">
      <pane xSplit="1" ySplit="1" topLeftCell="B33" activePane="bottomRight" state="frozen"/>
      <selection pane="topRight" activeCell="B1" sqref="B1"/>
      <selection pane="bottomLeft" activeCell="A2" sqref="A2"/>
      <selection pane="bottomRight" activeCell="C21" sqref="C21"/>
    </sheetView>
  </sheetViews>
  <sheetFormatPr baseColWidth="10" defaultRowHeight="15"/>
  <cols>
    <col width="30.6640625" customWidth="1" style="20" min="1" max="1"/>
    <col width="10.1640625" customWidth="1" style="55" min="2" max="2"/>
    <col width="57.5" customWidth="1" style="55" min="3" max="3"/>
    <col width="16" customWidth="1" style="55" min="4" max="4"/>
    <col width="17" customWidth="1" style="55" min="5" max="5"/>
    <col width="6.5" customWidth="1" style="52" min="20" max="20"/>
  </cols>
  <sheetData>
    <row r="1" ht="16" customFormat="1" customHeight="1" s="20">
      <c r="A1" s="2" t="inlineStr">
        <is>
          <t>authoryr</t>
        </is>
      </c>
      <c r="B1" s="2" t="inlineStr">
        <is>
          <t>idx</t>
        </is>
      </c>
      <c r="C1" s="2" t="inlineStr">
        <is>
          <t>index</t>
        </is>
      </c>
      <c r="D1" s="84" t="inlineStr">
        <is>
          <t>readerexpertise</t>
        </is>
      </c>
      <c r="E1" s="84" t="inlineStr">
        <is>
          <t>test</t>
        </is>
      </c>
      <c r="F1" s="2" t="inlineStr">
        <is>
          <t>article</t>
        </is>
      </c>
      <c r="G1" s="2" t="inlineStr">
        <is>
          <t>study</t>
        </is>
      </c>
      <c r="H1" s="84" t="inlineStr">
        <is>
          <t>study_design</t>
        </is>
      </c>
      <c r="I1" s="84" t="inlineStr">
        <is>
          <t>multicenter</t>
        </is>
      </c>
      <c r="J1" s="84" t="inlineStr">
        <is>
          <t>source</t>
        </is>
      </c>
      <c r="K1" s="2" t="inlineStr">
        <is>
          <t>economic</t>
        </is>
      </c>
      <c r="L1" s="2" t="inlineStr">
        <is>
          <t>healthcare</t>
        </is>
      </c>
      <c r="M1" s="2" t="inlineStr">
        <is>
          <t>external</t>
        </is>
      </c>
      <c r="N1" s="2" t="inlineStr">
        <is>
          <t>dr</t>
        </is>
      </c>
      <c r="O1" s="2" t="inlineStr">
        <is>
          <t>othereyetarget</t>
        </is>
      </c>
      <c r="P1" s="2" t="inlineStr">
        <is>
          <t>pupil</t>
        </is>
      </c>
      <c r="Q1" s="2" t="inlineStr">
        <is>
          <t>ctype</t>
        </is>
      </c>
      <c r="R1" s="84" t="inlineStr">
        <is>
          <t>camera</t>
        </is>
      </c>
      <c r="S1" s="84" t="inlineStr">
        <is>
          <t>dataset_id</t>
        </is>
      </c>
      <c r="T1" s="2" t="inlineStr">
        <is>
          <t>criteria</t>
        </is>
      </c>
      <c r="U1" s="84" t="inlineStr">
        <is>
          <t>analysis_type</t>
        </is>
      </c>
      <c r="V1" s="2" t="inlineStr">
        <is>
          <t>rstandard</t>
        </is>
      </c>
      <c r="W1" s="2" t="inlineStr">
        <is>
          <t>disagree</t>
        </is>
      </c>
      <c r="X1" s="2" t="inlineStr">
        <is>
          <t>rimage</t>
        </is>
      </c>
      <c r="Y1" s="68" t="inlineStr">
        <is>
          <t>field</t>
        </is>
      </c>
      <c r="Z1" s="2" t="inlineStr">
        <is>
          <t>vendor</t>
        </is>
      </c>
      <c r="AA1" s="2" t="inlineStr">
        <is>
          <t>commercial</t>
        </is>
      </c>
      <c r="AB1" s="2" t="inlineStr">
        <is>
          <t>certified</t>
        </is>
      </c>
      <c r="AC1" s="84" t="inlineStr">
        <is>
          <t>quality_check</t>
        </is>
      </c>
      <c r="AD1" s="2" t="inlineStr">
        <is>
          <t>architecture</t>
        </is>
      </c>
      <c r="AE1" s="2" t="inlineStr">
        <is>
          <t>region</t>
        </is>
      </c>
      <c r="AF1" s="2" t="inlineStr">
        <is>
          <t>aigradable</t>
        </is>
      </c>
      <c r="AG1" s="2" t="inlineStr">
        <is>
          <t>hgradable</t>
        </is>
      </c>
      <c r="AH1" s="2" t="inlineStr">
        <is>
          <t>total_patient1</t>
        </is>
      </c>
      <c r="AI1" s="102" t="inlineStr">
        <is>
          <t>prevalence</t>
        </is>
      </c>
      <c r="AJ1" s="102" t="inlineStr">
        <is>
          <t>positive1</t>
        </is>
      </c>
      <c r="AK1" s="102" t="inlineStr">
        <is>
          <t>negative1</t>
        </is>
      </c>
      <c r="AL1" s="102" t="inlineStr">
        <is>
          <t>sensitivity1</t>
        </is>
      </c>
      <c r="AM1" s="102" t="inlineStr">
        <is>
          <t>specificity1</t>
        </is>
      </c>
      <c r="AN1" s="2" t="inlineStr">
        <is>
          <t>tp1</t>
        </is>
      </c>
      <c r="AO1" s="2" t="inlineStr">
        <is>
          <t>fn1</t>
        </is>
      </c>
      <c r="AP1" s="2" t="inlineStr">
        <is>
          <t>tn1</t>
        </is>
      </c>
      <c r="AQ1" s="2" t="inlineStr">
        <is>
          <t>fp1</t>
        </is>
      </c>
    </row>
    <row r="2" ht="16" customHeight="1" s="55">
      <c r="A2" s="2" t="inlineStr">
        <is>
          <t>Šín et al. 2025</t>
        </is>
      </c>
      <c r="B2" s="1" t="inlineStr">
        <is>
          <t>DL</t>
        </is>
      </c>
      <c r="C2" s="1" t="inlineStr">
        <is>
          <t>Aireen AI system</t>
        </is>
      </c>
      <c r="D2" s="84" t="inlineStr">
        <is>
          <t>NR</t>
        </is>
      </c>
      <c r="E2" s="84" t="inlineStr">
        <is>
          <t>ai_only</t>
        </is>
      </c>
      <c r="F2" s="1" t="inlineStr">
        <is>
          <t>original</t>
        </is>
      </c>
      <c r="G2" s="1" t="inlineStr">
        <is>
          <t>prospective</t>
        </is>
      </c>
      <c r="H2" s="84" t="inlineStr">
        <is>
          <t>cross-sectional</t>
        </is>
      </c>
      <c r="I2" s="84" t="inlineStr">
        <is>
          <t>yes</t>
        </is>
      </c>
      <c r="J2" s="84" t="inlineStr">
        <is>
          <t>primary diabetes care centers</t>
        </is>
      </c>
      <c r="K2" s="1" t="inlineStr">
        <is>
          <t>high</t>
        </is>
      </c>
      <c r="L2" s="1" t="inlineStr">
        <is>
          <t>primary</t>
        </is>
      </c>
      <c r="M2" s="1" t="inlineStr">
        <is>
          <t>no</t>
        </is>
      </c>
      <c r="N2" s="1" t="inlineStr">
        <is>
          <t>any dr</t>
        </is>
      </c>
      <c r="O2" s="1" t="inlineStr">
        <is>
          <t>no</t>
        </is>
      </c>
      <c r="P2" s="1" t="inlineStr">
        <is>
          <t>non-mydriatic</t>
        </is>
      </c>
      <c r="Q2" s="1" t="inlineStr">
        <is>
          <t>desktop</t>
        </is>
      </c>
      <c r="R2" s="84" t="inlineStr">
        <is>
          <t>single</t>
        </is>
      </c>
      <c r="S2" s="84" t="inlineStr">
        <is>
          <t>sin_2025</t>
        </is>
      </c>
      <c r="T2" s="1" t="inlineStr">
        <is>
          <t>other</t>
        </is>
      </c>
      <c r="U2" s="84" t="inlineStr">
        <is>
          <t>ITT</t>
        </is>
      </c>
      <c r="V2" s="1" t="inlineStr">
        <is>
          <t>expert panel</t>
        </is>
      </c>
      <c r="W2" s="1" t="inlineStr">
        <is>
          <t>yes</t>
        </is>
      </c>
      <c r="X2" s="1" t="inlineStr">
        <is>
          <t>fundus</t>
        </is>
      </c>
      <c r="Y2" s="69" t="inlineStr">
        <is>
          <t>1</t>
        </is>
      </c>
      <c r="Z2" s="1" t="inlineStr">
        <is>
          <t>yes</t>
        </is>
      </c>
      <c r="AA2" s="1" t="inlineStr">
        <is>
          <t>yes</t>
        </is>
      </c>
      <c r="AB2" s="1" t="inlineStr">
        <is>
          <t>yes</t>
        </is>
      </c>
      <c r="AC2" s="84" t="inlineStr">
        <is>
          <t>yes</t>
        </is>
      </c>
      <c r="AD2" s="1" t="inlineStr">
        <is>
          <t>EfficientNet</t>
        </is>
      </c>
      <c r="AE2" s="1" t="inlineStr">
        <is>
          <t>europe</t>
        </is>
      </c>
      <c r="AF2" s="70" t="inlineStr">
        <is>
          <t>low</t>
        </is>
      </c>
      <c r="AG2" s="1" t="inlineStr">
        <is>
          <t>NR</t>
        </is>
      </c>
      <c r="AH2" s="1" t="n">
        <v>1154</v>
      </c>
      <c r="AI2" s="1" t="n">
        <v>0.319</v>
      </c>
      <c r="AJ2" s="1" t="n">
        <v>368</v>
      </c>
      <c r="AK2" s="1" t="n">
        <v>786</v>
      </c>
      <c r="AL2" s="1" t="n">
        <v>0.921</v>
      </c>
      <c r="AM2" s="1" t="n">
        <v>0.907</v>
      </c>
      <c r="AN2" s="1" t="n">
        <v>339</v>
      </c>
      <c r="AO2" s="1" t="n">
        <v>29</v>
      </c>
      <c r="AP2" s="1" t="n">
        <v>713</v>
      </c>
      <c r="AQ2" s="1" t="n">
        <v>73</v>
      </c>
    </row>
    <row r="3" ht="16" customHeight="1" s="55">
      <c r="A3" s="2" t="inlineStr">
        <is>
          <t>Šín et al. 2025</t>
        </is>
      </c>
      <c r="B3" s="1" t="inlineStr">
        <is>
          <t>Reader</t>
        </is>
      </c>
      <c r="C3" s="1" t="inlineStr">
        <is>
          <t>General ophthalmologist</t>
        </is>
      </c>
      <c r="D3" s="84" t="inlineStr">
        <is>
          <t>ophthalmologist</t>
        </is>
      </c>
      <c r="E3" s="84" t="inlineStr">
        <is>
          <t>human_only</t>
        </is>
      </c>
      <c r="F3" s="1" t="inlineStr">
        <is>
          <t>original</t>
        </is>
      </c>
      <c r="G3" s="1" t="inlineStr">
        <is>
          <t>prospective</t>
        </is>
      </c>
      <c r="H3" s="84" t="inlineStr">
        <is>
          <t>cross-sectional</t>
        </is>
      </c>
      <c r="I3" s="84" t="inlineStr">
        <is>
          <t>yes</t>
        </is>
      </c>
      <c r="J3" s="84" t="inlineStr">
        <is>
          <t>primary diabetes care centers</t>
        </is>
      </c>
      <c r="K3" s="1" t="inlineStr">
        <is>
          <t>high</t>
        </is>
      </c>
      <c r="L3" s="1" t="inlineStr">
        <is>
          <t>primary</t>
        </is>
      </c>
      <c r="M3" s="1" t="inlineStr">
        <is>
          <t>no</t>
        </is>
      </c>
      <c r="N3" s="1" t="inlineStr">
        <is>
          <t>any dr</t>
        </is>
      </c>
      <c r="O3" s="1" t="inlineStr">
        <is>
          <t>no</t>
        </is>
      </c>
      <c r="P3" s="1" t="inlineStr">
        <is>
          <t>non-mydriatic</t>
        </is>
      </c>
      <c r="Q3" s="1" t="inlineStr">
        <is>
          <t>desktop</t>
        </is>
      </c>
      <c r="R3" s="84" t="inlineStr">
        <is>
          <t>single</t>
        </is>
      </c>
      <c r="S3" s="84" t="inlineStr">
        <is>
          <t>sin_2025</t>
        </is>
      </c>
      <c r="T3" s="1" t="inlineStr">
        <is>
          <t>other</t>
        </is>
      </c>
      <c r="U3" s="84" t="inlineStr">
        <is>
          <t>ITT</t>
        </is>
      </c>
      <c r="V3" s="1" t="inlineStr">
        <is>
          <t>expert panel</t>
        </is>
      </c>
      <c r="W3" s="1" t="inlineStr">
        <is>
          <t>yes</t>
        </is>
      </c>
      <c r="X3" s="1" t="inlineStr">
        <is>
          <t>fundus</t>
        </is>
      </c>
      <c r="Y3" s="69" t="inlineStr">
        <is>
          <t>1</t>
        </is>
      </c>
      <c r="Z3" s="1" t="inlineStr">
        <is>
          <t>yes</t>
        </is>
      </c>
      <c r="AA3" s="1" t="inlineStr">
        <is>
          <t>yes</t>
        </is>
      </c>
      <c r="AB3" s="1" t="inlineStr">
        <is>
          <t>yes</t>
        </is>
      </c>
      <c r="AC3" s="84" t="inlineStr">
        <is>
          <t>yes</t>
        </is>
      </c>
      <c r="AD3" s="1" t="inlineStr">
        <is>
          <t>NR</t>
        </is>
      </c>
      <c r="AE3" s="1" t="inlineStr">
        <is>
          <t>europe</t>
        </is>
      </c>
      <c r="AF3" s="70" t="inlineStr">
        <is>
          <t>low</t>
        </is>
      </c>
      <c r="AG3" s="1" t="inlineStr">
        <is>
          <t>NR</t>
        </is>
      </c>
      <c r="AH3" s="1" t="n">
        <v>1154</v>
      </c>
      <c r="AI3" s="1" t="n">
        <v>0.319</v>
      </c>
      <c r="AJ3" s="1" t="n">
        <v>368</v>
      </c>
      <c r="AK3" s="1" t="n">
        <v>786</v>
      </c>
      <c r="AL3" s="1" t="n">
        <v>0.87</v>
      </c>
      <c r="AM3" s="1" t="n">
        <v>0.765</v>
      </c>
      <c r="AN3" s="1" t="n">
        <v>320</v>
      </c>
      <c r="AO3" s="1" t="n">
        <v>48</v>
      </c>
      <c r="AP3" s="1" t="n">
        <v>601</v>
      </c>
      <c r="AQ3" s="1" t="n">
        <v>185</v>
      </c>
    </row>
    <row r="4" ht="16" customHeight="1" s="55">
      <c r="A4" s="2" t="inlineStr">
        <is>
          <t>Šín et al. 2025</t>
        </is>
      </c>
      <c r="B4" s="1" t="inlineStr">
        <is>
          <t>Reader</t>
        </is>
      </c>
      <c r="C4" s="1" t="inlineStr">
        <is>
          <t>Retina specialist</t>
        </is>
      </c>
      <c r="D4" s="84" t="inlineStr">
        <is>
          <t>retinaspecialist</t>
        </is>
      </c>
      <c r="E4" s="84" t="inlineStr">
        <is>
          <t>human_only</t>
        </is>
      </c>
      <c r="F4" s="1" t="inlineStr">
        <is>
          <t>original</t>
        </is>
      </c>
      <c r="G4" s="1" t="inlineStr">
        <is>
          <t>prospective</t>
        </is>
      </c>
      <c r="H4" s="84" t="inlineStr">
        <is>
          <t>cross-sectional</t>
        </is>
      </c>
      <c r="I4" s="84" t="inlineStr">
        <is>
          <t>yes</t>
        </is>
      </c>
      <c r="J4" s="84" t="inlineStr">
        <is>
          <t>primary diabetes care centers</t>
        </is>
      </c>
      <c r="K4" s="1" t="inlineStr">
        <is>
          <t>high</t>
        </is>
      </c>
      <c r="L4" s="1" t="inlineStr">
        <is>
          <t>primary</t>
        </is>
      </c>
      <c r="M4" s="1" t="inlineStr">
        <is>
          <t>no</t>
        </is>
      </c>
      <c r="N4" s="1" t="inlineStr">
        <is>
          <t>any dr</t>
        </is>
      </c>
      <c r="O4" s="1" t="inlineStr">
        <is>
          <t>no</t>
        </is>
      </c>
      <c r="P4" s="1" t="inlineStr">
        <is>
          <t>non-mydriatic</t>
        </is>
      </c>
      <c r="Q4" s="1" t="inlineStr">
        <is>
          <t>desktop</t>
        </is>
      </c>
      <c r="R4" s="84" t="inlineStr">
        <is>
          <t>single</t>
        </is>
      </c>
      <c r="S4" s="84" t="inlineStr">
        <is>
          <t>sin_2025</t>
        </is>
      </c>
      <c r="T4" s="1" t="inlineStr">
        <is>
          <t>other</t>
        </is>
      </c>
      <c r="U4" s="84" t="inlineStr">
        <is>
          <t>ITT</t>
        </is>
      </c>
      <c r="V4" s="1" t="inlineStr">
        <is>
          <t>expert panel</t>
        </is>
      </c>
      <c r="W4" s="1" t="inlineStr">
        <is>
          <t>yes</t>
        </is>
      </c>
      <c r="X4" s="1" t="inlineStr">
        <is>
          <t>fundus</t>
        </is>
      </c>
      <c r="Y4" s="69" t="inlineStr">
        <is>
          <t>1</t>
        </is>
      </c>
      <c r="Z4" s="1" t="inlineStr">
        <is>
          <t>yes</t>
        </is>
      </c>
      <c r="AA4" s="1" t="inlineStr">
        <is>
          <t>yes</t>
        </is>
      </c>
      <c r="AB4" s="1" t="inlineStr">
        <is>
          <t>yes</t>
        </is>
      </c>
      <c r="AC4" s="84" t="inlineStr">
        <is>
          <t>yes</t>
        </is>
      </c>
      <c r="AD4" s="1" t="inlineStr">
        <is>
          <t>NR</t>
        </is>
      </c>
      <c r="AE4" s="1" t="inlineStr">
        <is>
          <t>europe</t>
        </is>
      </c>
      <c r="AF4" s="70" t="inlineStr">
        <is>
          <t>low</t>
        </is>
      </c>
      <c r="AG4" s="1" t="inlineStr">
        <is>
          <t>NR</t>
        </is>
      </c>
      <c r="AH4" s="1" t="n">
        <v>1154</v>
      </c>
      <c r="AI4" s="1" t="n">
        <v>0.319</v>
      </c>
      <c r="AJ4" s="1" t="n">
        <v>368</v>
      </c>
      <c r="AK4" s="1" t="n">
        <v>786</v>
      </c>
      <c r="AL4" s="1" t="n">
        <v>0.829</v>
      </c>
      <c r="AM4" s="1" t="n">
        <v>0.8120000000000001</v>
      </c>
      <c r="AN4" s="1" t="n">
        <v>305</v>
      </c>
      <c r="AO4" s="1" t="n">
        <v>63</v>
      </c>
      <c r="AP4" s="1" t="n">
        <v>638</v>
      </c>
      <c r="AQ4" s="1" t="n">
        <v>148</v>
      </c>
    </row>
    <row r="5" ht="16" customHeight="1" s="55">
      <c r="A5" s="2" t="inlineStr">
        <is>
          <t>Pandey et al. 2024</t>
        </is>
      </c>
      <c r="B5" s="1" t="inlineStr">
        <is>
          <t>DL</t>
        </is>
      </c>
      <c r="C5" s="1" t="inlineStr">
        <is>
          <t>DCE (deep convolutional ensemble)</t>
        </is>
      </c>
      <c r="D5" s="84" t="inlineStr">
        <is>
          <t>NR</t>
        </is>
      </c>
      <c r="E5" s="84" t="inlineStr">
        <is>
          <t>ai_only</t>
        </is>
      </c>
      <c r="F5" s="1" t="inlineStr">
        <is>
          <t>original</t>
        </is>
      </c>
      <c r="G5" s="1" t="inlineStr">
        <is>
          <t>retrospective</t>
        </is>
      </c>
      <c r="H5" s="84" t="inlineStr">
        <is>
          <t>cross-sectional</t>
        </is>
      </c>
      <c r="I5" s="84" t="inlineStr">
        <is>
          <t>yes</t>
        </is>
      </c>
      <c r="J5" s="84" t="inlineStr">
        <is>
          <t>public datasets</t>
        </is>
      </c>
      <c r="K5" s="1" t="inlineStr">
        <is>
          <t>mixed</t>
        </is>
      </c>
      <c r="L5" s="1" t="inlineStr">
        <is>
          <t>public dataset</t>
        </is>
      </c>
      <c r="M5" s="1" t="inlineStr">
        <is>
          <t>no</t>
        </is>
      </c>
      <c r="N5" s="1" t="inlineStr">
        <is>
          <t>any dr</t>
        </is>
      </c>
      <c r="O5" s="1" t="inlineStr">
        <is>
          <t>no</t>
        </is>
      </c>
      <c r="P5" s="1" t="inlineStr">
        <is>
          <t>mixed</t>
        </is>
      </c>
      <c r="Q5" s="1" t="inlineStr">
        <is>
          <t>mixed</t>
        </is>
      </c>
      <c r="R5" s="84" t="inlineStr">
        <is>
          <t>multiple</t>
        </is>
      </c>
      <c r="S5" s="84" t="inlineStr">
        <is>
          <t>pandey_2024</t>
        </is>
      </c>
      <c r="T5" s="1" t="inlineStr">
        <is>
          <t>other</t>
        </is>
      </c>
      <c r="U5" s="84" t="inlineStr">
        <is>
          <t>PP</t>
        </is>
      </c>
      <c r="V5" s="1" t="inlineStr">
        <is>
          <t>dataset labels</t>
        </is>
      </c>
      <c r="W5" s="71" t="inlineStr">
        <is>
          <t>no</t>
        </is>
      </c>
      <c r="X5" s="1" t="inlineStr">
        <is>
          <t>fundus</t>
        </is>
      </c>
      <c r="Y5" s="1" t="inlineStr">
        <is>
          <t>&gt;2</t>
        </is>
      </c>
      <c r="Z5" s="69" t="inlineStr">
        <is>
          <t>no</t>
        </is>
      </c>
      <c r="AA5" s="1" t="inlineStr">
        <is>
          <t>no</t>
        </is>
      </c>
      <c r="AB5" s="1" t="inlineStr">
        <is>
          <t>no</t>
        </is>
      </c>
      <c r="AC5" s="84" t="inlineStr">
        <is>
          <t>no</t>
        </is>
      </c>
      <c r="AD5" s="1" t="inlineStr">
        <is>
          <t>Inception</t>
        </is>
      </c>
      <c r="AE5" s="1" t="inlineStr">
        <is>
          <t>mixed</t>
        </is>
      </c>
      <c r="AF5" s="71" t="inlineStr">
        <is>
          <t>high</t>
        </is>
      </c>
      <c r="AG5" s="71" t="inlineStr">
        <is>
          <t>high</t>
        </is>
      </c>
      <c r="AH5" s="1" t="n">
        <v>100</v>
      </c>
      <c r="AI5" s="1" t="n">
        <v>0.25</v>
      </c>
      <c r="AJ5" s="1" t="n">
        <v>25</v>
      </c>
      <c r="AK5" s="1" t="n">
        <v>75</v>
      </c>
      <c r="AL5" s="1" t="n">
        <v>0.728</v>
      </c>
      <c r="AM5" s="1" t="n">
        <v>0.944</v>
      </c>
      <c r="AN5" s="1" t="n">
        <v>18</v>
      </c>
      <c r="AO5" s="1" t="n">
        <v>7</v>
      </c>
      <c r="AP5" s="1" t="n">
        <v>71</v>
      </c>
      <c r="AQ5" s="1" t="n">
        <v>4</v>
      </c>
    </row>
    <row r="6" ht="16" customHeight="1" s="55">
      <c r="A6" s="2" t="inlineStr">
        <is>
          <t>Pandey et al. 2024</t>
        </is>
      </c>
      <c r="B6" s="1" t="inlineStr">
        <is>
          <t>Reader</t>
        </is>
      </c>
      <c r="C6" s="1" t="inlineStr">
        <is>
          <t>Board-certified ophthalmologists (n=7)</t>
        </is>
      </c>
      <c r="D6" s="84" t="inlineStr">
        <is>
          <t>ophthalmologist</t>
        </is>
      </c>
      <c r="E6" s="84" t="inlineStr">
        <is>
          <t>human_only</t>
        </is>
      </c>
      <c r="F6" s="1" t="inlineStr">
        <is>
          <t>original</t>
        </is>
      </c>
      <c r="G6" s="1" t="inlineStr">
        <is>
          <t>retrospective</t>
        </is>
      </c>
      <c r="H6" s="84" t="inlineStr">
        <is>
          <t>cross-sectional</t>
        </is>
      </c>
      <c r="I6" s="84" t="inlineStr">
        <is>
          <t>yes</t>
        </is>
      </c>
      <c r="J6" s="84" t="inlineStr">
        <is>
          <t>public datasets</t>
        </is>
      </c>
      <c r="K6" s="1" t="inlineStr">
        <is>
          <t>mixed</t>
        </is>
      </c>
      <c r="L6" s="1" t="inlineStr">
        <is>
          <t>public dataset</t>
        </is>
      </c>
      <c r="M6" s="1" t="inlineStr">
        <is>
          <t>no</t>
        </is>
      </c>
      <c r="N6" s="1" t="inlineStr">
        <is>
          <t>any dr</t>
        </is>
      </c>
      <c r="O6" s="1" t="inlineStr">
        <is>
          <t>no</t>
        </is>
      </c>
      <c r="P6" s="1" t="inlineStr">
        <is>
          <t>mixed</t>
        </is>
      </c>
      <c r="Q6" s="1" t="inlineStr">
        <is>
          <t>mixed</t>
        </is>
      </c>
      <c r="R6" s="84" t="inlineStr">
        <is>
          <t>multiple</t>
        </is>
      </c>
      <c r="S6" s="84" t="inlineStr">
        <is>
          <t>pandey_2024</t>
        </is>
      </c>
      <c r="T6" s="1" t="inlineStr">
        <is>
          <t>other</t>
        </is>
      </c>
      <c r="U6" s="84" t="inlineStr">
        <is>
          <t>PP</t>
        </is>
      </c>
      <c r="V6" s="1" t="inlineStr">
        <is>
          <t>dataset labels</t>
        </is>
      </c>
      <c r="W6" s="71" t="inlineStr">
        <is>
          <t>no</t>
        </is>
      </c>
      <c r="X6" s="1" t="inlineStr">
        <is>
          <t>fundus</t>
        </is>
      </c>
      <c r="Y6" s="1" t="inlineStr">
        <is>
          <t>&gt;2</t>
        </is>
      </c>
      <c r="Z6" s="69" t="inlineStr">
        <is>
          <t>no</t>
        </is>
      </c>
      <c r="AA6" s="1" t="inlineStr">
        <is>
          <t>no</t>
        </is>
      </c>
      <c r="AB6" s="1" t="inlineStr">
        <is>
          <t>no</t>
        </is>
      </c>
      <c r="AC6" s="84" t="inlineStr">
        <is>
          <t>no</t>
        </is>
      </c>
      <c r="AD6" s="1" t="inlineStr">
        <is>
          <t>NR</t>
        </is>
      </c>
      <c r="AE6" s="1" t="inlineStr">
        <is>
          <t>mixed</t>
        </is>
      </c>
      <c r="AF6" s="71" t="inlineStr">
        <is>
          <t>high</t>
        </is>
      </c>
      <c r="AG6" s="71" t="inlineStr">
        <is>
          <t>high</t>
        </is>
      </c>
      <c r="AH6" s="1" t="n">
        <v>100</v>
      </c>
      <c r="AI6" s="1" t="n">
        <v>0.25</v>
      </c>
      <c r="AJ6" s="1" t="n">
        <v>25</v>
      </c>
      <c r="AK6" s="1" t="n">
        <v>75</v>
      </c>
      <c r="AL6" s="1" t="n">
        <v>0.497</v>
      </c>
      <c r="AM6" s="1" t="n">
        <v>0.9370000000000001</v>
      </c>
      <c r="AN6" s="1" t="n">
        <v>12</v>
      </c>
      <c r="AO6" s="1" t="n">
        <v>13</v>
      </c>
      <c r="AP6" s="1" t="n">
        <v>70</v>
      </c>
      <c r="AQ6" s="1" t="n">
        <v>5</v>
      </c>
    </row>
    <row r="7" ht="16" customHeight="1" s="55">
      <c r="A7" s="2" t="inlineStr">
        <is>
          <t>Dow et al. 2023</t>
        </is>
      </c>
      <c r="B7" s="1" t="inlineStr">
        <is>
          <t>DL</t>
        </is>
      </c>
      <c r="C7" s="1" t="inlineStr">
        <is>
          <t>IDx-DR (AI system)</t>
        </is>
      </c>
      <c r="D7" s="84" t="inlineStr">
        <is>
          <t>NR</t>
        </is>
      </c>
      <c r="E7" s="84" t="inlineStr">
        <is>
          <t>ai_only</t>
        </is>
      </c>
      <c r="F7" s="1" t="inlineStr">
        <is>
          <t>original</t>
        </is>
      </c>
      <c r="G7" s="1" t="inlineStr">
        <is>
          <t>prospective</t>
        </is>
      </c>
      <c r="H7" s="84" t="inlineStr">
        <is>
          <t>cohort</t>
        </is>
      </c>
      <c r="I7" s="84" t="inlineStr">
        <is>
          <t>yes</t>
        </is>
      </c>
      <c r="J7" s="84" t="inlineStr">
        <is>
          <t>primary care clinics</t>
        </is>
      </c>
      <c r="K7" s="1" t="inlineStr">
        <is>
          <t>high</t>
        </is>
      </c>
      <c r="L7" s="1" t="inlineStr">
        <is>
          <t>primary</t>
        </is>
      </c>
      <c r="M7" s="1" t="inlineStr">
        <is>
          <t>no</t>
        </is>
      </c>
      <c r="N7" s="1" t="inlineStr">
        <is>
          <t>rdr</t>
        </is>
      </c>
      <c r="O7" s="1" t="inlineStr">
        <is>
          <t>yes</t>
        </is>
      </c>
      <c r="P7" s="1" t="inlineStr">
        <is>
          <t>non-mydriatic</t>
        </is>
      </c>
      <c r="Q7" s="1" t="inlineStr">
        <is>
          <t>desktop</t>
        </is>
      </c>
      <c r="R7" s="84" t="inlineStr">
        <is>
          <t>single</t>
        </is>
      </c>
      <c r="S7" s="84" t="inlineStr">
        <is>
          <t>dow_2023</t>
        </is>
      </c>
      <c r="T7" s="1" t="inlineStr">
        <is>
          <t>multiple</t>
        </is>
      </c>
      <c r="U7" s="84" t="inlineStr">
        <is>
          <t>ITT</t>
        </is>
      </c>
      <c r="V7" s="1" t="inlineStr">
        <is>
          <t>clinical exam</t>
        </is>
      </c>
      <c r="W7" s="71" t="inlineStr">
        <is>
          <t>yes</t>
        </is>
      </c>
      <c r="X7" s="1" t="inlineStr">
        <is>
          <t>fundus</t>
        </is>
      </c>
      <c r="Y7" s="1" t="inlineStr">
        <is>
          <t>2</t>
        </is>
      </c>
      <c r="Z7" s="69" t="inlineStr">
        <is>
          <t>yes</t>
        </is>
      </c>
      <c r="AA7" s="1" t="inlineStr">
        <is>
          <t>yes</t>
        </is>
      </c>
      <c r="AB7" s="1" t="inlineStr">
        <is>
          <t>yes</t>
        </is>
      </c>
      <c r="AC7" s="84" t="inlineStr">
        <is>
          <t>yes</t>
        </is>
      </c>
      <c r="AD7" s="1" t="inlineStr">
        <is>
          <t>NR</t>
        </is>
      </c>
      <c r="AE7" s="1" t="inlineStr">
        <is>
          <t>america</t>
        </is>
      </c>
      <c r="AF7" s="1" t="inlineStr">
        <is>
          <t>low</t>
        </is>
      </c>
      <c r="AG7" s="1" t="inlineStr">
        <is>
          <t>NR</t>
        </is>
      </c>
      <c r="AH7" s="1" t="n">
        <v>80</v>
      </c>
      <c r="AI7" s="1" t="n">
        <v>0.275</v>
      </c>
      <c r="AJ7" s="1" t="n">
        <v>22</v>
      </c>
      <c r="AK7" s="1" t="n">
        <v>58</v>
      </c>
      <c r="AL7" s="1" t="n">
        <v>0.955</v>
      </c>
      <c r="AM7" s="1" t="n">
        <v>0.603</v>
      </c>
      <c r="AN7" s="1" t="n">
        <v>21</v>
      </c>
      <c r="AO7" s="1" t="n">
        <v>1</v>
      </c>
      <c r="AP7" s="1" t="n">
        <v>35</v>
      </c>
      <c r="AQ7" s="1" t="n">
        <v>23</v>
      </c>
    </row>
    <row r="8" ht="16" customHeight="1" s="55">
      <c r="A8" s="2" t="inlineStr">
        <is>
          <t>Dow et al. 2023</t>
        </is>
      </c>
      <c r="B8" s="1" t="inlineStr">
        <is>
          <t>Reader</t>
        </is>
      </c>
      <c r="C8" s="1" t="inlineStr">
        <is>
          <t>Retina specialists (human consensus overread)</t>
        </is>
      </c>
      <c r="D8" s="84" t="inlineStr">
        <is>
          <t>retinaspecialist</t>
        </is>
      </c>
      <c r="E8" s="84" t="inlineStr">
        <is>
          <t>human_only</t>
        </is>
      </c>
      <c r="F8" s="1" t="inlineStr">
        <is>
          <t>original</t>
        </is>
      </c>
      <c r="G8" s="1" t="inlineStr">
        <is>
          <t>prospective</t>
        </is>
      </c>
      <c r="H8" s="84" t="inlineStr">
        <is>
          <t>cohort</t>
        </is>
      </c>
      <c r="I8" s="84" t="inlineStr">
        <is>
          <t>yes</t>
        </is>
      </c>
      <c r="J8" s="84" t="inlineStr">
        <is>
          <t>primary care clinics</t>
        </is>
      </c>
      <c r="K8" s="1" t="inlineStr">
        <is>
          <t>high</t>
        </is>
      </c>
      <c r="L8" s="1" t="inlineStr">
        <is>
          <t>primary</t>
        </is>
      </c>
      <c r="M8" s="1" t="inlineStr">
        <is>
          <t>no</t>
        </is>
      </c>
      <c r="N8" s="1" t="inlineStr">
        <is>
          <t>rdr</t>
        </is>
      </c>
      <c r="O8" s="1" t="inlineStr">
        <is>
          <t>yes</t>
        </is>
      </c>
      <c r="P8" s="1" t="inlineStr">
        <is>
          <t>non-mydriatic</t>
        </is>
      </c>
      <c r="Q8" s="1" t="inlineStr">
        <is>
          <t>desktop</t>
        </is>
      </c>
      <c r="R8" s="84" t="inlineStr">
        <is>
          <t>single</t>
        </is>
      </c>
      <c r="S8" s="84" t="inlineStr">
        <is>
          <t>dow_2023</t>
        </is>
      </c>
      <c r="T8" s="1" t="inlineStr">
        <is>
          <t>multiple</t>
        </is>
      </c>
      <c r="U8" s="84" t="inlineStr">
        <is>
          <t>ITT</t>
        </is>
      </c>
      <c r="V8" s="1" t="inlineStr">
        <is>
          <t>clinical exam</t>
        </is>
      </c>
      <c r="W8" s="71" t="inlineStr">
        <is>
          <t>yes</t>
        </is>
      </c>
      <c r="X8" s="1" t="inlineStr">
        <is>
          <t>fundus</t>
        </is>
      </c>
      <c r="Y8" s="1" t="inlineStr">
        <is>
          <t>2</t>
        </is>
      </c>
      <c r="Z8" s="69" t="inlineStr">
        <is>
          <t>yes</t>
        </is>
      </c>
      <c r="AA8" s="1" t="inlineStr">
        <is>
          <t>yes</t>
        </is>
      </c>
      <c r="AB8" s="1" t="inlineStr">
        <is>
          <t>yes</t>
        </is>
      </c>
      <c r="AC8" s="84" t="inlineStr">
        <is>
          <t>yes</t>
        </is>
      </c>
      <c r="AD8" s="1" t="inlineStr">
        <is>
          <t>NR</t>
        </is>
      </c>
      <c r="AE8" s="1" t="inlineStr">
        <is>
          <t>america</t>
        </is>
      </c>
      <c r="AF8" s="1" t="inlineStr">
        <is>
          <t>low</t>
        </is>
      </c>
      <c r="AG8" s="1" t="inlineStr">
        <is>
          <t>NR</t>
        </is>
      </c>
      <c r="AH8" s="1" t="n">
        <v>122</v>
      </c>
      <c r="AI8" s="1" t="n">
        <v>0.189</v>
      </c>
      <c r="AJ8" s="1" t="n">
        <v>23</v>
      </c>
      <c r="AK8" s="1" t="n">
        <v>99</v>
      </c>
      <c r="AL8" s="1" t="n">
        <v>0.696</v>
      </c>
      <c r="AM8" s="1" t="n">
        <v>0.97</v>
      </c>
      <c r="AN8" s="1" t="n">
        <v>16</v>
      </c>
      <c r="AO8" s="1" t="n">
        <v>7</v>
      </c>
      <c r="AP8" s="1" t="n">
        <v>96</v>
      </c>
      <c r="AQ8" s="1" t="n">
        <v>3</v>
      </c>
    </row>
    <row r="9" ht="16" customHeight="1" s="55">
      <c r="A9" s="2" t="inlineStr">
        <is>
          <t>Dow et al. 2023</t>
        </is>
      </c>
      <c r="B9" s="1" t="inlineStr">
        <is>
          <t>DL_assisted_reader</t>
        </is>
      </c>
      <c r="C9" s="1" t="inlineStr">
        <is>
          <t>AI-human hybrid (AI positive → expert overread)</t>
        </is>
      </c>
      <c r="D9" s="84" t="inlineStr">
        <is>
          <t>retinaspecialist</t>
        </is>
      </c>
      <c r="E9" s="84" t="inlineStr">
        <is>
          <t>human_with_ai</t>
        </is>
      </c>
      <c r="F9" s="1" t="inlineStr">
        <is>
          <t>original</t>
        </is>
      </c>
      <c r="G9" s="1" t="inlineStr">
        <is>
          <t>prospective</t>
        </is>
      </c>
      <c r="H9" s="84" t="inlineStr">
        <is>
          <t>cohort</t>
        </is>
      </c>
      <c r="I9" s="84" t="inlineStr">
        <is>
          <t>yes</t>
        </is>
      </c>
      <c r="J9" s="84" t="inlineStr">
        <is>
          <t>primary care clinics</t>
        </is>
      </c>
      <c r="K9" s="1" t="inlineStr">
        <is>
          <t>high</t>
        </is>
      </c>
      <c r="L9" s="1" t="inlineStr">
        <is>
          <t>primary</t>
        </is>
      </c>
      <c r="M9" s="1" t="inlineStr">
        <is>
          <t>no</t>
        </is>
      </c>
      <c r="N9" s="1" t="inlineStr">
        <is>
          <t>rdr</t>
        </is>
      </c>
      <c r="O9" s="1" t="inlineStr">
        <is>
          <t>yes</t>
        </is>
      </c>
      <c r="P9" s="1" t="inlineStr">
        <is>
          <t>non-mydriatic</t>
        </is>
      </c>
      <c r="Q9" s="1" t="inlineStr">
        <is>
          <t>desktop</t>
        </is>
      </c>
      <c r="R9" s="84" t="inlineStr">
        <is>
          <t>single</t>
        </is>
      </c>
      <c r="S9" s="84" t="inlineStr">
        <is>
          <t>dow_2023</t>
        </is>
      </c>
      <c r="T9" s="1" t="inlineStr">
        <is>
          <t>multiple</t>
        </is>
      </c>
      <c r="U9" s="84" t="inlineStr">
        <is>
          <t>ITT</t>
        </is>
      </c>
      <c r="V9" s="1" t="inlineStr">
        <is>
          <t>clinical exam</t>
        </is>
      </c>
      <c r="W9" s="71" t="inlineStr">
        <is>
          <t>yes</t>
        </is>
      </c>
      <c r="X9" s="1" t="inlineStr">
        <is>
          <t>fundus</t>
        </is>
      </c>
      <c r="Y9" s="1" t="inlineStr">
        <is>
          <t>2</t>
        </is>
      </c>
      <c r="Z9" s="69" t="inlineStr">
        <is>
          <t>yes</t>
        </is>
      </c>
      <c r="AA9" s="1" t="inlineStr">
        <is>
          <t>yes</t>
        </is>
      </c>
      <c r="AB9" s="1" t="inlineStr">
        <is>
          <t>yes</t>
        </is>
      </c>
      <c r="AC9" s="84" t="inlineStr">
        <is>
          <t>yes</t>
        </is>
      </c>
      <c r="AD9" s="1" t="inlineStr">
        <is>
          <t>NR</t>
        </is>
      </c>
      <c r="AE9" s="1" t="inlineStr">
        <is>
          <t>america</t>
        </is>
      </c>
      <c r="AF9" s="1" t="inlineStr">
        <is>
          <t>high</t>
        </is>
      </c>
      <c r="AG9" s="1" t="inlineStr">
        <is>
          <t>NR</t>
        </is>
      </c>
      <c r="AH9" s="1" t="n">
        <v>77</v>
      </c>
      <c r="AI9" s="1" t="n">
        <v>0.286</v>
      </c>
      <c r="AJ9" s="1" t="n">
        <v>22</v>
      </c>
      <c r="AK9" s="1" t="n">
        <v>55</v>
      </c>
      <c r="AL9" s="1" t="n">
        <v>0.955</v>
      </c>
      <c r="AM9" s="1" t="n">
        <v>0.982</v>
      </c>
      <c r="AN9" s="1" t="n">
        <v>21</v>
      </c>
      <c r="AO9" s="1" t="n">
        <v>1</v>
      </c>
      <c r="AP9" s="1" t="n">
        <v>54</v>
      </c>
      <c r="AQ9" s="1" t="n">
        <v>1</v>
      </c>
    </row>
    <row r="10" ht="16" customHeight="1" s="55">
      <c r="A10" s="2" t="inlineStr">
        <is>
          <t>Lim et al. 2023</t>
        </is>
      </c>
      <c r="B10" s="1" t="inlineStr">
        <is>
          <t>DL</t>
        </is>
      </c>
      <c r="C10" s="1" t="inlineStr">
        <is>
          <t>EyeArt AI system (nonretina cohort)</t>
        </is>
      </c>
      <c r="D10" s="84" t="inlineStr">
        <is>
          <t>NR</t>
        </is>
      </c>
      <c r="E10" s="84" t="inlineStr">
        <is>
          <t>ai_only</t>
        </is>
      </c>
      <c r="F10" s="1" t="inlineStr">
        <is>
          <t>original</t>
        </is>
      </c>
      <c r="G10" s="1" t="inlineStr">
        <is>
          <t>prospective</t>
        </is>
      </c>
      <c r="H10" s="84" t="inlineStr">
        <is>
          <t>cross-sectional</t>
        </is>
      </c>
      <c r="I10" s="84" t="inlineStr">
        <is>
          <t>yes</t>
        </is>
      </c>
      <c r="J10" s="84" t="inlineStr">
        <is>
          <t>ophthalmology practices</t>
        </is>
      </c>
      <c r="K10" s="1" t="inlineStr">
        <is>
          <t>high</t>
        </is>
      </c>
      <c r="L10" s="1" t="inlineStr">
        <is>
          <t>mixed</t>
        </is>
      </c>
      <c r="M10" s="1" t="inlineStr">
        <is>
          <t>no</t>
        </is>
      </c>
      <c r="N10" s="1" t="inlineStr">
        <is>
          <t>rdr</t>
        </is>
      </c>
      <c r="O10" s="1" t="inlineStr">
        <is>
          <t>yes</t>
        </is>
      </c>
      <c r="P10" s="1" t="inlineStr">
        <is>
          <t>mixed</t>
        </is>
      </c>
      <c r="Q10" s="1" t="inlineStr">
        <is>
          <t>desktop</t>
        </is>
      </c>
      <c r="R10" s="84" t="inlineStr">
        <is>
          <t>single</t>
        </is>
      </c>
      <c r="S10" s="84" t="inlineStr">
        <is>
          <t>lim_2023</t>
        </is>
      </c>
      <c r="T10" s="1" t="inlineStr">
        <is>
          <t>other</t>
        </is>
      </c>
      <c r="U10" s="84" t="inlineStr">
        <is>
          <t>ITT</t>
        </is>
      </c>
      <c r="V10" s="1" t="inlineStr">
        <is>
          <t>reading center</t>
        </is>
      </c>
      <c r="W10" s="71" t="inlineStr">
        <is>
          <t>no</t>
        </is>
      </c>
      <c r="X10" s="1" t="inlineStr">
        <is>
          <t>fundus</t>
        </is>
      </c>
      <c r="Y10" s="1" t="inlineStr">
        <is>
          <t>2</t>
        </is>
      </c>
      <c r="Z10" s="69" t="inlineStr">
        <is>
          <t>yes</t>
        </is>
      </c>
      <c r="AA10" s="1" t="inlineStr">
        <is>
          <t>yes</t>
        </is>
      </c>
      <c r="AB10" s="1" t="inlineStr">
        <is>
          <t>yes</t>
        </is>
      </c>
      <c r="AC10" s="84" t="inlineStr">
        <is>
          <t>yes</t>
        </is>
      </c>
      <c r="AD10" s="1" t="inlineStr">
        <is>
          <t>proprietary</t>
        </is>
      </c>
      <c r="AE10" s="1" t="inlineStr">
        <is>
          <t>america</t>
        </is>
      </c>
      <c r="AF10" s="1" t="inlineStr">
        <is>
          <t>high</t>
        </is>
      </c>
      <c r="AG10" s="71" t="inlineStr">
        <is>
          <t>high</t>
        </is>
      </c>
      <c r="AH10" s="1" t="n">
        <v>778</v>
      </c>
      <c r="AI10" s="1" t="n">
        <v>0.218</v>
      </c>
      <c r="AJ10" s="1" t="n">
        <v>170</v>
      </c>
      <c r="AK10" s="1" t="n">
        <v>608</v>
      </c>
      <c r="AL10" s="1" t="n">
        <v>0.965</v>
      </c>
      <c r="AM10" s="1" t="n">
        <v>0.863</v>
      </c>
      <c r="AN10" s="1" t="n">
        <v>164</v>
      </c>
      <c r="AO10" s="1" t="n">
        <v>6</v>
      </c>
      <c r="AP10" s="1" t="n">
        <v>525</v>
      </c>
      <c r="AQ10" s="1" t="n">
        <v>83</v>
      </c>
    </row>
    <row r="11" ht="16" customHeight="1" s="55">
      <c r="A11" s="2" t="inlineStr">
        <is>
          <t>Lim et al. 2023</t>
        </is>
      </c>
      <c r="B11" s="1" t="inlineStr">
        <is>
          <t>Reader</t>
        </is>
      </c>
      <c r="C11" s="1" t="inlineStr">
        <is>
          <t>Dilated ophthalmoscopy by general ophthalmologists (nonretina cohort)</t>
        </is>
      </c>
      <c r="D11" s="84" t="inlineStr">
        <is>
          <t>ophthalmologist</t>
        </is>
      </c>
      <c r="E11" s="84" t="inlineStr">
        <is>
          <t>human_only</t>
        </is>
      </c>
      <c r="F11" s="1" t="inlineStr">
        <is>
          <t>original</t>
        </is>
      </c>
      <c r="G11" s="1" t="inlineStr">
        <is>
          <t>prospective</t>
        </is>
      </c>
      <c r="H11" s="84" t="inlineStr">
        <is>
          <t>cross-sectional</t>
        </is>
      </c>
      <c r="I11" s="84" t="inlineStr">
        <is>
          <t>yes</t>
        </is>
      </c>
      <c r="J11" s="84" t="inlineStr">
        <is>
          <t>ophthalmology practices</t>
        </is>
      </c>
      <c r="K11" s="1" t="inlineStr">
        <is>
          <t>high</t>
        </is>
      </c>
      <c r="L11" s="1" t="inlineStr">
        <is>
          <t>mixed</t>
        </is>
      </c>
      <c r="M11" s="1" t="inlineStr">
        <is>
          <t>no</t>
        </is>
      </c>
      <c r="N11" s="1" t="inlineStr">
        <is>
          <t>rdr</t>
        </is>
      </c>
      <c r="O11" s="1" t="inlineStr">
        <is>
          <t>yes</t>
        </is>
      </c>
      <c r="P11" s="1" t="inlineStr">
        <is>
          <t>mixed</t>
        </is>
      </c>
      <c r="Q11" s="1" t="inlineStr">
        <is>
          <t>desktop</t>
        </is>
      </c>
      <c r="R11" s="84" t="inlineStr">
        <is>
          <t>single</t>
        </is>
      </c>
      <c r="S11" s="84" t="inlineStr">
        <is>
          <t>lim_2023</t>
        </is>
      </c>
      <c r="T11" s="1" t="inlineStr">
        <is>
          <t>other</t>
        </is>
      </c>
      <c r="U11" s="84" t="inlineStr">
        <is>
          <t>ITT</t>
        </is>
      </c>
      <c r="V11" s="1" t="inlineStr">
        <is>
          <t>reading center</t>
        </is>
      </c>
      <c r="W11" s="71" t="inlineStr">
        <is>
          <t>no</t>
        </is>
      </c>
      <c r="X11" s="1" t="inlineStr">
        <is>
          <t>NR</t>
        </is>
      </c>
      <c r="Y11" s="1" t="inlineStr">
        <is>
          <t>2</t>
        </is>
      </c>
      <c r="Z11" s="69" t="inlineStr">
        <is>
          <t>yes</t>
        </is>
      </c>
      <c r="AA11" s="1" t="inlineStr">
        <is>
          <t>yes</t>
        </is>
      </c>
      <c r="AB11" s="1" t="inlineStr">
        <is>
          <t>yes</t>
        </is>
      </c>
      <c r="AC11" s="84" t="inlineStr">
        <is>
          <t>yes</t>
        </is>
      </c>
      <c r="AD11" s="1" t="inlineStr">
        <is>
          <t>NR</t>
        </is>
      </c>
      <c r="AE11" s="1" t="inlineStr">
        <is>
          <t>america</t>
        </is>
      </c>
      <c r="AF11" s="1" t="inlineStr">
        <is>
          <t>high</t>
        </is>
      </c>
      <c r="AG11" s="71" t="inlineStr">
        <is>
          <t>high</t>
        </is>
      </c>
      <c r="AH11" s="1" t="n">
        <v>778</v>
      </c>
      <c r="AI11" s="1" t="n">
        <v>0.218</v>
      </c>
      <c r="AJ11" s="1" t="n">
        <v>170</v>
      </c>
      <c r="AK11" s="1" t="n">
        <v>608</v>
      </c>
      <c r="AL11" s="1" t="n">
        <v>0.206</v>
      </c>
      <c r="AM11" s="1" t="n">
        <v>0.998</v>
      </c>
      <c r="AN11" s="1" t="n">
        <v>35</v>
      </c>
      <c r="AO11" s="1" t="n">
        <v>135</v>
      </c>
      <c r="AP11" s="1" t="n">
        <v>607</v>
      </c>
      <c r="AQ11" s="1" t="n">
        <v>1</v>
      </c>
    </row>
    <row r="12" ht="16" customHeight="1" s="55">
      <c r="A12" s="2" t="inlineStr">
        <is>
          <t>Lim et al. 2023</t>
        </is>
      </c>
      <c r="B12" s="1" t="inlineStr">
        <is>
          <t>DL</t>
        </is>
      </c>
      <c r="C12" s="1" t="inlineStr">
        <is>
          <t>EyeArt AI system (retina cohort)</t>
        </is>
      </c>
      <c r="D12" s="84" t="inlineStr">
        <is>
          <t>NR</t>
        </is>
      </c>
      <c r="E12" s="84" t="inlineStr">
        <is>
          <t>ai_only</t>
        </is>
      </c>
      <c r="F12" s="1" t="inlineStr">
        <is>
          <t>original</t>
        </is>
      </c>
      <c r="G12" s="1" t="inlineStr">
        <is>
          <t>prospective</t>
        </is>
      </c>
      <c r="H12" s="84" t="inlineStr">
        <is>
          <t>cross-sectional</t>
        </is>
      </c>
      <c r="I12" s="84" t="inlineStr">
        <is>
          <t>yes</t>
        </is>
      </c>
      <c r="J12" s="84" t="inlineStr">
        <is>
          <t>ophthalmology practices</t>
        </is>
      </c>
      <c r="K12" s="1" t="inlineStr">
        <is>
          <t>high</t>
        </is>
      </c>
      <c r="L12" s="1" t="inlineStr">
        <is>
          <t>mixed</t>
        </is>
      </c>
      <c r="M12" s="1" t="inlineStr">
        <is>
          <t>no</t>
        </is>
      </c>
      <c r="N12" s="1" t="inlineStr">
        <is>
          <t>rdr</t>
        </is>
      </c>
      <c r="O12" s="1" t="inlineStr">
        <is>
          <t>yes</t>
        </is>
      </c>
      <c r="P12" s="1" t="inlineStr">
        <is>
          <t>mixed</t>
        </is>
      </c>
      <c r="Q12" s="1" t="inlineStr">
        <is>
          <t>desktop</t>
        </is>
      </c>
      <c r="R12" s="84" t="inlineStr">
        <is>
          <t>single</t>
        </is>
      </c>
      <c r="S12" s="84" t="inlineStr">
        <is>
          <t>lim_2023</t>
        </is>
      </c>
      <c r="T12" s="1" t="inlineStr">
        <is>
          <t>other</t>
        </is>
      </c>
      <c r="U12" s="84" t="inlineStr">
        <is>
          <t>ITT</t>
        </is>
      </c>
      <c r="V12" s="1" t="inlineStr">
        <is>
          <t>reading center</t>
        </is>
      </c>
      <c r="W12" s="71" t="inlineStr">
        <is>
          <t>no</t>
        </is>
      </c>
      <c r="X12" s="1" t="inlineStr">
        <is>
          <t>fundus</t>
        </is>
      </c>
      <c r="Y12" s="1" t="inlineStr">
        <is>
          <t>2</t>
        </is>
      </c>
      <c r="Z12" s="69" t="inlineStr">
        <is>
          <t>yes</t>
        </is>
      </c>
      <c r="AA12" s="1" t="inlineStr">
        <is>
          <t>yes</t>
        </is>
      </c>
      <c r="AB12" s="1" t="inlineStr">
        <is>
          <t>yes</t>
        </is>
      </c>
      <c r="AC12" s="84" t="inlineStr">
        <is>
          <t>yes</t>
        </is>
      </c>
      <c r="AD12" s="1" t="inlineStr">
        <is>
          <t>proprietary</t>
        </is>
      </c>
      <c r="AE12" s="1" t="inlineStr">
        <is>
          <t>america</t>
        </is>
      </c>
      <c r="AF12" s="1" t="inlineStr">
        <is>
          <t>high</t>
        </is>
      </c>
      <c r="AG12" s="71" t="inlineStr">
        <is>
          <t>high</t>
        </is>
      </c>
      <c r="AH12" s="1" t="n">
        <v>221</v>
      </c>
      <c r="AI12" s="1" t="n">
        <v>0.167</v>
      </c>
      <c r="AJ12" s="1" t="n">
        <v>37</v>
      </c>
      <c r="AK12" s="1" t="n">
        <v>184</v>
      </c>
      <c r="AL12" s="1" t="n">
        <v>0.973</v>
      </c>
      <c r="AM12" s="1" t="n">
        <v>0.88</v>
      </c>
      <c r="AN12" s="1" t="n">
        <v>36</v>
      </c>
      <c r="AO12" s="1" t="n">
        <v>1</v>
      </c>
      <c r="AP12" s="1" t="n">
        <v>162</v>
      </c>
      <c r="AQ12" s="1" t="n">
        <v>22</v>
      </c>
    </row>
    <row r="13" ht="16" customHeight="1" s="55">
      <c r="A13" s="2" t="inlineStr">
        <is>
          <t>Lim et al. 2023</t>
        </is>
      </c>
      <c r="B13" s="1" t="inlineStr">
        <is>
          <t>Reader</t>
        </is>
      </c>
      <c r="C13" s="1" t="inlineStr">
        <is>
          <t>Dilated ophthalmoscopy by retina specialists (retina cohort)</t>
        </is>
      </c>
      <c r="D13" s="84" t="inlineStr">
        <is>
          <t>retinaspecialist</t>
        </is>
      </c>
      <c r="E13" s="84" t="inlineStr">
        <is>
          <t>human_only</t>
        </is>
      </c>
      <c r="F13" s="1" t="inlineStr">
        <is>
          <t>original</t>
        </is>
      </c>
      <c r="G13" s="1" t="inlineStr">
        <is>
          <t>prospective</t>
        </is>
      </c>
      <c r="H13" s="84" t="inlineStr">
        <is>
          <t>cross-sectional</t>
        </is>
      </c>
      <c r="I13" s="84" t="inlineStr">
        <is>
          <t>yes</t>
        </is>
      </c>
      <c r="J13" s="84" t="inlineStr">
        <is>
          <t>ophthalmology practices</t>
        </is>
      </c>
      <c r="K13" s="1" t="inlineStr">
        <is>
          <t>high</t>
        </is>
      </c>
      <c r="L13" s="1" t="inlineStr">
        <is>
          <t>mixed</t>
        </is>
      </c>
      <c r="M13" s="1" t="inlineStr">
        <is>
          <t>no</t>
        </is>
      </c>
      <c r="N13" s="1" t="inlineStr">
        <is>
          <t>rdr</t>
        </is>
      </c>
      <c r="O13" s="1" t="inlineStr">
        <is>
          <t>yes</t>
        </is>
      </c>
      <c r="P13" s="1" t="inlineStr">
        <is>
          <t>mixed</t>
        </is>
      </c>
      <c r="Q13" s="1" t="inlineStr">
        <is>
          <t>desktop</t>
        </is>
      </c>
      <c r="R13" s="84" t="inlineStr">
        <is>
          <t>single</t>
        </is>
      </c>
      <c r="S13" s="84" t="inlineStr">
        <is>
          <t>lim_2023</t>
        </is>
      </c>
      <c r="T13" s="1" t="inlineStr">
        <is>
          <t>other</t>
        </is>
      </c>
      <c r="U13" s="84" t="inlineStr">
        <is>
          <t>ITT</t>
        </is>
      </c>
      <c r="V13" s="1" t="inlineStr">
        <is>
          <t>reading center</t>
        </is>
      </c>
      <c r="W13" s="71" t="inlineStr">
        <is>
          <t>no</t>
        </is>
      </c>
      <c r="X13" s="1" t="inlineStr">
        <is>
          <t>NR</t>
        </is>
      </c>
      <c r="Y13" s="1" t="inlineStr">
        <is>
          <t>2</t>
        </is>
      </c>
      <c r="Z13" s="69" t="inlineStr">
        <is>
          <t>yes</t>
        </is>
      </c>
      <c r="AA13" s="1" t="inlineStr">
        <is>
          <t>yes</t>
        </is>
      </c>
      <c r="AB13" s="1" t="inlineStr">
        <is>
          <t>yes</t>
        </is>
      </c>
      <c r="AC13" s="84" t="inlineStr">
        <is>
          <t>yes</t>
        </is>
      </c>
      <c r="AD13" s="1" t="inlineStr">
        <is>
          <t>NR</t>
        </is>
      </c>
      <c r="AE13" s="1" t="inlineStr">
        <is>
          <t>america</t>
        </is>
      </c>
      <c r="AF13" s="1" t="inlineStr">
        <is>
          <t>high</t>
        </is>
      </c>
      <c r="AG13" s="71" t="inlineStr">
        <is>
          <t>high</t>
        </is>
      </c>
      <c r="AH13" s="1" t="n">
        <v>221</v>
      </c>
      <c r="AI13" s="1" t="n">
        <v>0.167</v>
      </c>
      <c r="AJ13" s="1" t="n">
        <v>37</v>
      </c>
      <c r="AK13" s="1" t="n">
        <v>184</v>
      </c>
      <c r="AL13" s="1" t="n">
        <v>0.595</v>
      </c>
      <c r="AM13" s="1" t="n">
        <v>0.989</v>
      </c>
      <c r="AN13" s="1" t="n">
        <v>22</v>
      </c>
      <c r="AO13" s="1" t="n">
        <v>15</v>
      </c>
      <c r="AP13" s="1" t="n">
        <v>182</v>
      </c>
      <c r="AQ13" s="1" t="n">
        <v>2</v>
      </c>
    </row>
    <row r="14" ht="16" customHeight="1" s="55">
      <c r="A14" s="2" t="inlineStr">
        <is>
          <t>Li et al. 2022</t>
        </is>
      </c>
      <c r="B14" s="1" t="inlineStr">
        <is>
          <t>DL</t>
        </is>
      </c>
      <c r="C14" s="1" t="inlineStr">
        <is>
          <t>AI-100 automated fundus screening algorithm</t>
        </is>
      </c>
      <c r="D14" s="84" t="inlineStr">
        <is>
          <t>NR</t>
        </is>
      </c>
      <c r="E14" s="84" t="inlineStr">
        <is>
          <t>ai_only</t>
        </is>
      </c>
      <c r="F14" s="1" t="inlineStr">
        <is>
          <t>original</t>
        </is>
      </c>
      <c r="G14" s="1" t="inlineStr">
        <is>
          <t>prospective</t>
        </is>
      </c>
      <c r="H14" s="84" t="inlineStr">
        <is>
          <t>cross-sectional</t>
        </is>
      </c>
      <c r="I14" s="84" t="inlineStr">
        <is>
          <t>yes</t>
        </is>
      </c>
      <c r="J14" s="84" t="inlineStr">
        <is>
          <t>tertiary hospitals</t>
        </is>
      </c>
      <c r="K14" s="1" t="inlineStr">
        <is>
          <t>middle</t>
        </is>
      </c>
      <c r="L14" s="1" t="inlineStr">
        <is>
          <t>tertiary</t>
        </is>
      </c>
      <c r="M14" s="1" t="inlineStr">
        <is>
          <t>no</t>
        </is>
      </c>
      <c r="N14" s="1" t="inlineStr">
        <is>
          <t>rdr</t>
        </is>
      </c>
      <c r="O14" s="1" t="inlineStr">
        <is>
          <t>yes</t>
        </is>
      </c>
      <c r="P14" s="1" t="inlineStr">
        <is>
          <t>non-mydriatic</t>
        </is>
      </c>
      <c r="Q14" s="1" t="inlineStr">
        <is>
          <t>desktop</t>
        </is>
      </c>
      <c r="R14" s="84" t="inlineStr">
        <is>
          <t>multiple</t>
        </is>
      </c>
      <c r="S14" s="84" t="inlineStr">
        <is>
          <t>li_2022</t>
        </is>
      </c>
      <c r="T14" s="1" t="inlineStr">
        <is>
          <t>icdr</t>
        </is>
      </c>
      <c r="U14" s="84" t="inlineStr">
        <is>
          <t>PP</t>
        </is>
      </c>
      <c r="V14" s="1" t="inlineStr">
        <is>
          <t>reading center</t>
        </is>
      </c>
      <c r="W14" s="71" t="inlineStr">
        <is>
          <t>no</t>
        </is>
      </c>
      <c r="X14" s="1" t="inlineStr">
        <is>
          <t>fundus</t>
        </is>
      </c>
      <c r="Y14" s="69" t="inlineStr">
        <is>
          <t>1</t>
        </is>
      </c>
      <c r="Z14" s="1" t="inlineStr">
        <is>
          <t>yes</t>
        </is>
      </c>
      <c r="AA14" s="1" t="inlineStr">
        <is>
          <t>yes</t>
        </is>
      </c>
      <c r="AB14" s="1" t="inlineStr">
        <is>
          <t>no</t>
        </is>
      </c>
      <c r="AC14" s="84" t="inlineStr">
        <is>
          <t>yes</t>
        </is>
      </c>
      <c r="AD14" s="1" t="inlineStr">
        <is>
          <t>DenseNet</t>
        </is>
      </c>
      <c r="AE14" s="1" t="inlineStr">
        <is>
          <t>asia</t>
        </is>
      </c>
      <c r="AF14" s="72" t="inlineStr">
        <is>
          <t>high</t>
        </is>
      </c>
      <c r="AG14" s="71" t="inlineStr">
        <is>
          <t>high</t>
        </is>
      </c>
      <c r="AH14" s="1" t="n">
        <v>1585</v>
      </c>
      <c r="AI14" s="1" t="n">
        <v>0.211</v>
      </c>
      <c r="AJ14" s="1" t="n">
        <v>334</v>
      </c>
      <c r="AK14" s="1" t="n">
        <v>1251</v>
      </c>
      <c r="AL14" s="1" t="n">
        <v>0.948</v>
      </c>
      <c r="AM14" s="1" t="n">
        <v>0.954</v>
      </c>
      <c r="AN14" s="1" t="n">
        <v>307</v>
      </c>
      <c r="AO14" s="1" t="n">
        <v>17</v>
      </c>
      <c r="AP14" s="1" t="n">
        <v>1204</v>
      </c>
      <c r="AQ14" s="1" t="n">
        <v>57</v>
      </c>
    </row>
    <row r="15" ht="16" customHeight="1" s="55">
      <c r="A15" s="2" t="inlineStr">
        <is>
          <t>Li et al. 2022</t>
        </is>
      </c>
      <c r="B15" s="1" t="inlineStr">
        <is>
          <t>Reader</t>
        </is>
      </c>
      <c r="C15" s="1" t="inlineStr">
        <is>
          <t>Grader 1</t>
        </is>
      </c>
      <c r="D15" s="84" t="inlineStr">
        <is>
          <t>ophthalmologist</t>
        </is>
      </c>
      <c r="E15" s="84" t="inlineStr">
        <is>
          <t>human_only</t>
        </is>
      </c>
      <c r="F15" s="1" t="inlineStr">
        <is>
          <t>original</t>
        </is>
      </c>
      <c r="G15" s="1" t="inlineStr">
        <is>
          <t>prospective</t>
        </is>
      </c>
      <c r="H15" s="84" t="inlineStr">
        <is>
          <t>cross-sectional</t>
        </is>
      </c>
      <c r="I15" s="84" t="inlineStr">
        <is>
          <t>yes</t>
        </is>
      </c>
      <c r="J15" s="84" t="inlineStr">
        <is>
          <t>tertiary hospitals</t>
        </is>
      </c>
      <c r="K15" s="1" t="inlineStr">
        <is>
          <t>middle</t>
        </is>
      </c>
      <c r="L15" s="1" t="inlineStr">
        <is>
          <t>tertiary</t>
        </is>
      </c>
      <c r="M15" s="1" t="inlineStr">
        <is>
          <t>no</t>
        </is>
      </c>
      <c r="N15" s="1" t="inlineStr">
        <is>
          <t>rdr</t>
        </is>
      </c>
      <c r="O15" s="1" t="inlineStr">
        <is>
          <t>yes</t>
        </is>
      </c>
      <c r="P15" s="1" t="inlineStr">
        <is>
          <t>non-mydriatic</t>
        </is>
      </c>
      <c r="Q15" s="1" t="inlineStr">
        <is>
          <t>desktop</t>
        </is>
      </c>
      <c r="R15" s="84" t="inlineStr">
        <is>
          <t>multiple</t>
        </is>
      </c>
      <c r="S15" s="84" t="inlineStr">
        <is>
          <t>li_2022</t>
        </is>
      </c>
      <c r="T15" s="1" t="inlineStr">
        <is>
          <t>icdr</t>
        </is>
      </c>
      <c r="U15" s="84" t="inlineStr">
        <is>
          <t>PP</t>
        </is>
      </c>
      <c r="V15" s="1" t="inlineStr">
        <is>
          <t>reading center</t>
        </is>
      </c>
      <c r="W15" s="71" t="inlineStr">
        <is>
          <t>no</t>
        </is>
      </c>
      <c r="X15" s="1" t="inlineStr">
        <is>
          <t>fundus</t>
        </is>
      </c>
      <c r="Y15" s="69" t="inlineStr">
        <is>
          <t>1</t>
        </is>
      </c>
      <c r="Z15" s="1" t="inlineStr">
        <is>
          <t>yes</t>
        </is>
      </c>
      <c r="AA15" s="1" t="inlineStr">
        <is>
          <t>yes</t>
        </is>
      </c>
      <c r="AB15" s="1" t="inlineStr">
        <is>
          <t>no</t>
        </is>
      </c>
      <c r="AC15" s="84" t="inlineStr">
        <is>
          <t>yes</t>
        </is>
      </c>
      <c r="AD15" s="1" t="inlineStr">
        <is>
          <t>NR</t>
        </is>
      </c>
      <c r="AE15" s="1" t="inlineStr">
        <is>
          <t>asia</t>
        </is>
      </c>
      <c r="AF15" s="72" t="inlineStr">
        <is>
          <t>high</t>
        </is>
      </c>
      <c r="AG15" s="71" t="inlineStr">
        <is>
          <t>high</t>
        </is>
      </c>
      <c r="AH15" s="1" t="n">
        <v>1585</v>
      </c>
      <c r="AI15" s="1" t="n">
        <v>0.211</v>
      </c>
      <c r="AJ15" s="1" t="n">
        <v>334</v>
      </c>
      <c r="AK15" s="1" t="n">
        <v>1251</v>
      </c>
      <c r="AL15" s="1" t="n">
        <v>0.963</v>
      </c>
      <c r="AM15" s="1" t="n">
        <v>0.989</v>
      </c>
      <c r="AN15" s="1" t="n">
        <v>322</v>
      </c>
      <c r="AO15" s="1" t="n">
        <v>12</v>
      </c>
      <c r="AP15" s="1" t="n">
        <v>1237</v>
      </c>
      <c r="AQ15" s="1" t="n">
        <v>14</v>
      </c>
    </row>
    <row r="16" ht="16" customHeight="1" s="55">
      <c r="A16" s="2" t="inlineStr">
        <is>
          <t>Li et al. 2022</t>
        </is>
      </c>
      <c r="B16" s="1" t="inlineStr">
        <is>
          <t>Reader</t>
        </is>
      </c>
      <c r="C16" s="1" t="inlineStr">
        <is>
          <t>Grader 2</t>
        </is>
      </c>
      <c r="D16" s="84" t="inlineStr">
        <is>
          <t>ophthalmologist</t>
        </is>
      </c>
      <c r="E16" s="84" t="inlineStr">
        <is>
          <t>human_only</t>
        </is>
      </c>
      <c r="F16" s="1" t="inlineStr">
        <is>
          <t>original</t>
        </is>
      </c>
      <c r="G16" s="1" t="inlineStr">
        <is>
          <t>prospective</t>
        </is>
      </c>
      <c r="H16" s="84" t="inlineStr">
        <is>
          <t>cross-sectional</t>
        </is>
      </c>
      <c r="I16" s="84" t="inlineStr">
        <is>
          <t>yes</t>
        </is>
      </c>
      <c r="J16" s="84" t="inlineStr">
        <is>
          <t>tertiary hospitals</t>
        </is>
      </c>
      <c r="K16" s="1" t="inlineStr">
        <is>
          <t>middle</t>
        </is>
      </c>
      <c r="L16" s="1" t="inlineStr">
        <is>
          <t>tertiary</t>
        </is>
      </c>
      <c r="M16" s="1" t="inlineStr">
        <is>
          <t>no</t>
        </is>
      </c>
      <c r="N16" s="1" t="inlineStr">
        <is>
          <t>rdr</t>
        </is>
      </c>
      <c r="O16" s="1" t="inlineStr">
        <is>
          <t>yes</t>
        </is>
      </c>
      <c r="P16" s="1" t="inlineStr">
        <is>
          <t>non-mydriatic</t>
        </is>
      </c>
      <c r="Q16" s="1" t="inlineStr">
        <is>
          <t>desktop</t>
        </is>
      </c>
      <c r="R16" s="84" t="inlineStr">
        <is>
          <t>multiple</t>
        </is>
      </c>
      <c r="S16" s="84" t="inlineStr">
        <is>
          <t>li_2022</t>
        </is>
      </c>
      <c r="T16" s="1" t="inlineStr">
        <is>
          <t>icdr</t>
        </is>
      </c>
      <c r="U16" s="84" t="inlineStr">
        <is>
          <t>PP</t>
        </is>
      </c>
      <c r="V16" s="1" t="inlineStr">
        <is>
          <t>reading center</t>
        </is>
      </c>
      <c r="W16" s="71" t="inlineStr">
        <is>
          <t>no</t>
        </is>
      </c>
      <c r="X16" s="1" t="inlineStr">
        <is>
          <t>fundus</t>
        </is>
      </c>
      <c r="Y16" s="69" t="inlineStr">
        <is>
          <t>1</t>
        </is>
      </c>
      <c r="Z16" s="1" t="inlineStr">
        <is>
          <t>yes</t>
        </is>
      </c>
      <c r="AA16" s="1" t="inlineStr">
        <is>
          <t>yes</t>
        </is>
      </c>
      <c r="AB16" s="1" t="inlineStr">
        <is>
          <t>no</t>
        </is>
      </c>
      <c r="AC16" s="84" t="inlineStr">
        <is>
          <t>yes</t>
        </is>
      </c>
      <c r="AD16" s="1" t="inlineStr">
        <is>
          <t>NR</t>
        </is>
      </c>
      <c r="AE16" s="1" t="inlineStr">
        <is>
          <t>asia</t>
        </is>
      </c>
      <c r="AF16" s="72" t="inlineStr">
        <is>
          <t>high</t>
        </is>
      </c>
      <c r="AG16" s="71" t="inlineStr">
        <is>
          <t>high</t>
        </is>
      </c>
      <c r="AH16" s="1" t="n">
        <v>1585</v>
      </c>
      <c r="AI16" s="1" t="n">
        <v>0.211</v>
      </c>
      <c r="AJ16" s="1" t="n">
        <v>334</v>
      </c>
      <c r="AK16" s="1" t="n">
        <v>1251</v>
      </c>
      <c r="AL16" s="1" t="n">
        <v>0.985</v>
      </c>
      <c r="AM16" s="1" t="n">
        <v>0.995</v>
      </c>
      <c r="AN16" s="1" t="n">
        <v>329</v>
      </c>
      <c r="AO16" s="1" t="n">
        <v>5</v>
      </c>
      <c r="AP16" s="1" t="n">
        <v>1245</v>
      </c>
      <c r="AQ16" s="1" t="n">
        <v>6</v>
      </c>
    </row>
    <row r="17" ht="16" customHeight="1" s="55">
      <c r="A17" s="2" t="inlineStr">
        <is>
          <t>Ruamviboonsuk et al. 2022</t>
        </is>
      </c>
      <c r="B17" s="1" t="inlineStr">
        <is>
          <t>DL</t>
        </is>
      </c>
      <c r="C17" s="1" t="inlineStr">
        <is>
          <t>Deep-learning system (real-time screening)</t>
        </is>
      </c>
      <c r="D17" s="84" t="inlineStr">
        <is>
          <t>NR</t>
        </is>
      </c>
      <c r="E17" s="84" t="inlineStr">
        <is>
          <t>ai_only</t>
        </is>
      </c>
      <c r="F17" s="1" t="inlineStr">
        <is>
          <t>original</t>
        </is>
      </c>
      <c r="G17" s="1" t="inlineStr">
        <is>
          <t>prospective</t>
        </is>
      </c>
      <c r="H17" s="84" t="inlineStr">
        <is>
          <t>cohort</t>
        </is>
      </c>
      <c r="I17" s="84" t="inlineStr">
        <is>
          <t>yes</t>
        </is>
      </c>
      <c r="J17" s="84" t="inlineStr">
        <is>
          <t>national screening programme</t>
        </is>
      </c>
      <c r="K17" s="1" t="inlineStr">
        <is>
          <t>middle</t>
        </is>
      </c>
      <c r="L17" s="1" t="inlineStr">
        <is>
          <t>primary</t>
        </is>
      </c>
      <c r="M17" s="1" t="inlineStr">
        <is>
          <t>yes</t>
        </is>
      </c>
      <c r="N17" s="1" t="inlineStr">
        <is>
          <t>vtdr</t>
        </is>
      </c>
      <c r="O17" s="1" t="inlineStr">
        <is>
          <t>yes</t>
        </is>
      </c>
      <c r="P17" s="1" t="inlineStr">
        <is>
          <t>mixed</t>
        </is>
      </c>
      <c r="Q17" s="1" t="inlineStr">
        <is>
          <t>desktop</t>
        </is>
      </c>
      <c r="R17" s="84" t="inlineStr">
        <is>
          <t>multiple</t>
        </is>
      </c>
      <c r="S17" s="84" t="inlineStr">
        <is>
          <t>thai_national</t>
        </is>
      </c>
      <c r="T17" s="1" t="inlineStr">
        <is>
          <t>icdr</t>
        </is>
      </c>
      <c r="U17" s="84" t="inlineStr">
        <is>
          <t>ITT</t>
        </is>
      </c>
      <c r="V17" s="1" t="inlineStr">
        <is>
          <t>expert panel</t>
        </is>
      </c>
      <c r="W17" s="71" t="inlineStr">
        <is>
          <t>yes</t>
        </is>
      </c>
      <c r="X17" s="1" t="inlineStr">
        <is>
          <t>fundus</t>
        </is>
      </c>
      <c r="Y17" s="69" t="inlineStr">
        <is>
          <t>1</t>
        </is>
      </c>
      <c r="Z17" s="1" t="inlineStr">
        <is>
          <t>yes</t>
        </is>
      </c>
      <c r="AA17" s="1" t="inlineStr">
        <is>
          <t>yes</t>
        </is>
      </c>
      <c r="AB17" s="1" t="inlineStr">
        <is>
          <t>no</t>
        </is>
      </c>
      <c r="AC17" s="84" t="inlineStr">
        <is>
          <t>yes</t>
        </is>
      </c>
      <c r="AD17" s="1" t="inlineStr">
        <is>
          <t>Inception</t>
        </is>
      </c>
      <c r="AE17" s="1" t="inlineStr">
        <is>
          <t>asia</t>
        </is>
      </c>
      <c r="AF17" s="70" t="inlineStr">
        <is>
          <t>NR</t>
        </is>
      </c>
      <c r="AG17" s="1" t="inlineStr">
        <is>
          <t>NR</t>
        </is>
      </c>
      <c r="AH17" s="1" t="n">
        <v>926</v>
      </c>
      <c r="AI17" s="1" t="n">
        <v>0.275</v>
      </c>
      <c r="AJ17" s="1" t="n">
        <v>255</v>
      </c>
      <c r="AK17" s="1" t="n">
        <v>671</v>
      </c>
      <c r="AL17" s="1" t="n">
        <v>0.914</v>
      </c>
      <c r="AM17" s="1" t="n">
        <v>0.954</v>
      </c>
      <c r="AN17" s="1" t="n">
        <v>233</v>
      </c>
      <c r="AO17" s="1" t="n">
        <v>22</v>
      </c>
      <c r="AP17" s="1" t="n">
        <v>640</v>
      </c>
      <c r="AQ17" s="1" t="n">
        <v>31</v>
      </c>
    </row>
    <row r="18" ht="16" customHeight="1" s="55">
      <c r="A18" s="2" t="inlineStr">
        <is>
          <t>Ruamviboonsuk et al. 2022</t>
        </is>
      </c>
      <c r="B18" s="1" t="inlineStr">
        <is>
          <t>Reader</t>
        </is>
      </c>
      <c r="C18" s="1" t="inlineStr">
        <is>
          <t>Regional retina specialist over-readers</t>
        </is>
      </c>
      <c r="D18" s="84" t="inlineStr">
        <is>
          <t>retinaspecialist</t>
        </is>
      </c>
      <c r="E18" s="84" t="inlineStr">
        <is>
          <t>human_only</t>
        </is>
      </c>
      <c r="F18" s="1" t="inlineStr">
        <is>
          <t>original</t>
        </is>
      </c>
      <c r="G18" s="1" t="inlineStr">
        <is>
          <t>prospective</t>
        </is>
      </c>
      <c r="H18" s="84" t="inlineStr">
        <is>
          <t>cohort</t>
        </is>
      </c>
      <c r="I18" s="84" t="inlineStr">
        <is>
          <t>yes</t>
        </is>
      </c>
      <c r="J18" s="84" t="inlineStr">
        <is>
          <t>national screening programme</t>
        </is>
      </c>
      <c r="K18" s="1" t="inlineStr">
        <is>
          <t>middle</t>
        </is>
      </c>
      <c r="L18" s="1" t="inlineStr">
        <is>
          <t>primary</t>
        </is>
      </c>
      <c r="M18" s="1" t="inlineStr">
        <is>
          <t>yes</t>
        </is>
      </c>
      <c r="N18" s="1" t="inlineStr">
        <is>
          <t>vtdr</t>
        </is>
      </c>
      <c r="O18" s="1" t="inlineStr">
        <is>
          <t>yes</t>
        </is>
      </c>
      <c r="P18" s="1" t="inlineStr">
        <is>
          <t>mixed</t>
        </is>
      </c>
      <c r="Q18" s="1" t="inlineStr">
        <is>
          <t>desktop</t>
        </is>
      </c>
      <c r="R18" s="84" t="inlineStr">
        <is>
          <t>multiple</t>
        </is>
      </c>
      <c r="S18" s="84" t="inlineStr">
        <is>
          <t>thai_national</t>
        </is>
      </c>
      <c r="T18" s="1" t="inlineStr">
        <is>
          <t>icdr</t>
        </is>
      </c>
      <c r="U18" s="84" t="inlineStr">
        <is>
          <t>ITT</t>
        </is>
      </c>
      <c r="V18" s="1" t="inlineStr">
        <is>
          <t>expert panel</t>
        </is>
      </c>
      <c r="W18" s="71" t="inlineStr">
        <is>
          <t>yes</t>
        </is>
      </c>
      <c r="X18" s="1" t="inlineStr">
        <is>
          <t>fundus</t>
        </is>
      </c>
      <c r="Y18" s="69" t="inlineStr">
        <is>
          <t>1</t>
        </is>
      </c>
      <c r="Z18" s="1" t="inlineStr">
        <is>
          <t>yes</t>
        </is>
      </c>
      <c r="AA18" s="1" t="inlineStr">
        <is>
          <t>yes</t>
        </is>
      </c>
      <c r="AB18" s="1" t="inlineStr">
        <is>
          <t>no</t>
        </is>
      </c>
      <c r="AC18" s="84" t="inlineStr">
        <is>
          <t>yes</t>
        </is>
      </c>
      <c r="AD18" s="1" t="inlineStr">
        <is>
          <t>NR</t>
        </is>
      </c>
      <c r="AE18" s="1" t="inlineStr">
        <is>
          <t>asia</t>
        </is>
      </c>
      <c r="AF18" s="70" t="inlineStr">
        <is>
          <t>NR</t>
        </is>
      </c>
      <c r="AG18" s="1" t="inlineStr">
        <is>
          <t>NR</t>
        </is>
      </c>
      <c r="AH18" s="1" t="n">
        <v>926</v>
      </c>
      <c r="AI18" s="1" t="n">
        <v>0.275</v>
      </c>
      <c r="AJ18" s="1" t="n">
        <v>255</v>
      </c>
      <c r="AK18" s="1" t="n">
        <v>671</v>
      </c>
      <c r="AL18" s="1" t="n">
        <v>0.848</v>
      </c>
      <c r="AM18" s="1" t="n">
        <v>0.955</v>
      </c>
      <c r="AN18" s="1" t="n">
        <v>216</v>
      </c>
      <c r="AO18" s="1" t="n">
        <v>39</v>
      </c>
      <c r="AP18" s="1" t="n">
        <v>641</v>
      </c>
      <c r="AQ18" s="1" t="n">
        <v>30</v>
      </c>
    </row>
    <row r="19" ht="16" customHeight="1" s="55">
      <c r="A19" s="2" t="inlineStr">
        <is>
          <t>Kim et al. 2021</t>
        </is>
      </c>
      <c r="B19" s="1" t="inlineStr">
        <is>
          <t>DL</t>
        </is>
      </c>
      <c r="C19" s="1" t="inlineStr">
        <is>
          <t>EyeArt automated interpretation</t>
        </is>
      </c>
      <c r="D19" s="84" t="inlineStr">
        <is>
          <t>NR</t>
        </is>
      </c>
      <c r="E19" s="84" t="inlineStr">
        <is>
          <t>ai_only</t>
        </is>
      </c>
      <c r="F19" s="1" t="inlineStr">
        <is>
          <t>original</t>
        </is>
      </c>
      <c r="G19" s="1" t="inlineStr">
        <is>
          <t>prospective</t>
        </is>
      </c>
      <c r="H19" s="84" t="inlineStr">
        <is>
          <t>cross-sectional</t>
        </is>
      </c>
      <c r="I19" s="84" t="inlineStr">
        <is>
          <t>no</t>
        </is>
      </c>
      <c r="J19" s="84" t="inlineStr">
        <is>
          <t>university hospital</t>
        </is>
      </c>
      <c r="K19" s="1" t="inlineStr">
        <is>
          <t>high</t>
        </is>
      </c>
      <c r="L19" s="1" t="inlineStr">
        <is>
          <t>tertiary</t>
        </is>
      </c>
      <c r="M19" s="1" t="inlineStr">
        <is>
          <t>no</t>
        </is>
      </c>
      <c r="N19" s="1" t="inlineStr">
        <is>
          <t>rdr</t>
        </is>
      </c>
      <c r="O19" s="1" t="inlineStr">
        <is>
          <t>no</t>
        </is>
      </c>
      <c r="P19" s="1" t="inlineStr">
        <is>
          <t>mydriatic</t>
        </is>
      </c>
      <c r="Q19" s="1" t="inlineStr">
        <is>
          <t>smartphone</t>
        </is>
      </c>
      <c r="R19" s="84" t="inlineStr">
        <is>
          <t>single</t>
        </is>
      </c>
      <c r="S19" s="84" t="inlineStr">
        <is>
          <t>kim_2021</t>
        </is>
      </c>
      <c r="T19" s="1" t="inlineStr">
        <is>
          <t>etdrs</t>
        </is>
      </c>
      <c r="U19" s="84" t="inlineStr">
        <is>
          <t>PP</t>
        </is>
      </c>
      <c r="V19" s="1" t="inlineStr">
        <is>
          <t>clinical exam</t>
        </is>
      </c>
      <c r="W19" s="71" t="inlineStr">
        <is>
          <t>yes</t>
        </is>
      </c>
      <c r="X19" s="1" t="inlineStr">
        <is>
          <t>fundus</t>
        </is>
      </c>
      <c r="Y19" s="69" t="inlineStr">
        <is>
          <t>&gt;2</t>
        </is>
      </c>
      <c r="Z19" s="1" t="inlineStr">
        <is>
          <t>yes</t>
        </is>
      </c>
      <c r="AA19" s="1" t="inlineStr">
        <is>
          <t>yes</t>
        </is>
      </c>
      <c r="AB19" s="1" t="inlineStr">
        <is>
          <t>yes</t>
        </is>
      </c>
      <c r="AC19" s="84" t="inlineStr">
        <is>
          <t>yes</t>
        </is>
      </c>
      <c r="AD19" s="1" t="inlineStr">
        <is>
          <t>proprietary</t>
        </is>
      </c>
      <c r="AE19" s="1" t="inlineStr">
        <is>
          <t>america</t>
        </is>
      </c>
      <c r="AF19" s="72" t="inlineStr">
        <is>
          <t>high</t>
        </is>
      </c>
      <c r="AG19" s="71" t="inlineStr">
        <is>
          <t>high</t>
        </is>
      </c>
      <c r="AH19" s="1" t="n">
        <v>68</v>
      </c>
      <c r="AI19" s="1" t="n">
        <v>0.794</v>
      </c>
      <c r="AJ19" s="1" t="n">
        <v>54</v>
      </c>
      <c r="AK19" s="1" t="n">
        <v>14</v>
      </c>
      <c r="AL19" s="1" t="n">
        <v>0.87</v>
      </c>
      <c r="AM19" s="1" t="n">
        <v>0.786</v>
      </c>
      <c r="AN19" s="1" t="n">
        <v>47</v>
      </c>
      <c r="AO19" s="1" t="n">
        <v>7</v>
      </c>
      <c r="AP19" s="1" t="n">
        <v>11</v>
      </c>
      <c r="AQ19" s="1" t="n">
        <v>3</v>
      </c>
    </row>
    <row r="20" ht="16" customHeight="1" s="55">
      <c r="A20" s="2" t="inlineStr">
        <is>
          <t>Kim et al. 2021</t>
        </is>
      </c>
      <c r="B20" s="1" t="inlineStr">
        <is>
          <t>Reader</t>
        </is>
      </c>
      <c r="C20" s="1" t="inlineStr">
        <is>
          <t>Grader 1 (retina specialist)</t>
        </is>
      </c>
      <c r="D20" s="84" t="inlineStr">
        <is>
          <t>retinaspecialist</t>
        </is>
      </c>
      <c r="E20" s="84" t="inlineStr">
        <is>
          <t>human_only</t>
        </is>
      </c>
      <c r="F20" s="1" t="inlineStr">
        <is>
          <t>original</t>
        </is>
      </c>
      <c r="G20" s="1" t="inlineStr">
        <is>
          <t>prospective</t>
        </is>
      </c>
      <c r="H20" s="84" t="inlineStr">
        <is>
          <t>cross-sectional</t>
        </is>
      </c>
      <c r="I20" s="84" t="inlineStr">
        <is>
          <t>no</t>
        </is>
      </c>
      <c r="J20" s="84" t="inlineStr">
        <is>
          <t>university hospital</t>
        </is>
      </c>
      <c r="K20" s="1" t="inlineStr">
        <is>
          <t>high</t>
        </is>
      </c>
      <c r="L20" s="1" t="inlineStr">
        <is>
          <t>tertiary</t>
        </is>
      </c>
      <c r="M20" s="1" t="inlineStr">
        <is>
          <t>no</t>
        </is>
      </c>
      <c r="N20" s="1" t="inlineStr">
        <is>
          <t>rdr</t>
        </is>
      </c>
      <c r="O20" s="1" t="inlineStr">
        <is>
          <t>no</t>
        </is>
      </c>
      <c r="P20" s="1" t="inlineStr">
        <is>
          <t>mydriatic</t>
        </is>
      </c>
      <c r="Q20" s="1" t="inlineStr">
        <is>
          <t>smartphone</t>
        </is>
      </c>
      <c r="R20" s="84" t="inlineStr">
        <is>
          <t>single</t>
        </is>
      </c>
      <c r="S20" s="84" t="inlineStr">
        <is>
          <t>kim_2021</t>
        </is>
      </c>
      <c r="T20" s="1" t="inlineStr">
        <is>
          <t>etdrs</t>
        </is>
      </c>
      <c r="U20" s="84" t="inlineStr">
        <is>
          <t>PP</t>
        </is>
      </c>
      <c r="V20" s="1" t="inlineStr">
        <is>
          <t>clinical exam</t>
        </is>
      </c>
      <c r="W20" s="71" t="inlineStr">
        <is>
          <t>yes</t>
        </is>
      </c>
      <c r="X20" s="1" t="inlineStr">
        <is>
          <t>fundus</t>
        </is>
      </c>
      <c r="Y20" s="69" t="inlineStr">
        <is>
          <t>&gt;2</t>
        </is>
      </c>
      <c r="Z20" s="1" t="inlineStr">
        <is>
          <t>yes</t>
        </is>
      </c>
      <c r="AA20" s="1" t="inlineStr">
        <is>
          <t>yes</t>
        </is>
      </c>
      <c r="AB20" s="1" t="inlineStr">
        <is>
          <t>yes</t>
        </is>
      </c>
      <c r="AC20" s="84" t="inlineStr">
        <is>
          <t>yes</t>
        </is>
      </c>
      <c r="AD20" s="1" t="inlineStr">
        <is>
          <t>NR</t>
        </is>
      </c>
      <c r="AE20" s="1" t="inlineStr">
        <is>
          <t>america</t>
        </is>
      </c>
      <c r="AF20" s="72" t="inlineStr">
        <is>
          <t>high</t>
        </is>
      </c>
      <c r="AG20" s="71" t="inlineStr">
        <is>
          <t>high</t>
        </is>
      </c>
      <c r="AH20" s="1" t="n">
        <v>68</v>
      </c>
      <c r="AI20" s="1" t="n">
        <v>0.794</v>
      </c>
      <c r="AJ20" s="1" t="n">
        <v>54</v>
      </c>
      <c r="AK20" s="1" t="n">
        <v>14</v>
      </c>
      <c r="AL20" s="1" t="n">
        <v>0.963</v>
      </c>
      <c r="AM20" s="1" t="n">
        <v>0.429</v>
      </c>
      <c r="AN20" s="1" t="n">
        <v>52</v>
      </c>
      <c r="AO20" s="1" t="n">
        <v>2</v>
      </c>
      <c r="AP20" s="1" t="n">
        <v>6</v>
      </c>
      <c r="AQ20" s="1" t="n">
        <v>8</v>
      </c>
    </row>
    <row r="21" ht="16" customHeight="1" s="55">
      <c r="A21" s="2" t="inlineStr">
        <is>
          <t>Kim et al. 2021</t>
        </is>
      </c>
      <c r="B21" s="1" t="inlineStr">
        <is>
          <t>Reader</t>
        </is>
      </c>
      <c r="C21" s="1" t="inlineStr">
        <is>
          <t>Grader 2 (telemedicine ophthalmologist)</t>
        </is>
      </c>
      <c r="D21" s="84" t="inlineStr">
        <is>
          <t>ophthalmologist</t>
        </is>
      </c>
      <c r="E21" s="84" t="inlineStr">
        <is>
          <t>human_only</t>
        </is>
      </c>
      <c r="F21" s="1" t="inlineStr">
        <is>
          <t>original</t>
        </is>
      </c>
      <c r="G21" s="1" t="inlineStr">
        <is>
          <t>prospective</t>
        </is>
      </c>
      <c r="H21" s="84" t="inlineStr">
        <is>
          <t>cross-sectional</t>
        </is>
      </c>
      <c r="I21" s="84" t="inlineStr">
        <is>
          <t>no</t>
        </is>
      </c>
      <c r="J21" s="84" t="inlineStr">
        <is>
          <t>university hospital</t>
        </is>
      </c>
      <c r="K21" s="1" t="inlineStr">
        <is>
          <t>high</t>
        </is>
      </c>
      <c r="L21" s="1" t="inlineStr">
        <is>
          <t>tertiary</t>
        </is>
      </c>
      <c r="M21" s="1" t="inlineStr">
        <is>
          <t>no</t>
        </is>
      </c>
      <c r="N21" s="1" t="inlineStr">
        <is>
          <t>rdr</t>
        </is>
      </c>
      <c r="O21" s="1" t="inlineStr">
        <is>
          <t>no</t>
        </is>
      </c>
      <c r="P21" s="1" t="inlineStr">
        <is>
          <t>mydriatic</t>
        </is>
      </c>
      <c r="Q21" s="1" t="inlineStr">
        <is>
          <t>smartphone</t>
        </is>
      </c>
      <c r="R21" s="84" t="inlineStr">
        <is>
          <t>single</t>
        </is>
      </c>
      <c r="S21" s="84" t="inlineStr">
        <is>
          <t>kim_2021</t>
        </is>
      </c>
      <c r="T21" s="1" t="inlineStr">
        <is>
          <t>etdrs</t>
        </is>
      </c>
      <c r="U21" s="84" t="inlineStr">
        <is>
          <t>PP</t>
        </is>
      </c>
      <c r="V21" s="1" t="inlineStr">
        <is>
          <t>clinical exam</t>
        </is>
      </c>
      <c r="W21" s="71" t="inlineStr">
        <is>
          <t>yes</t>
        </is>
      </c>
      <c r="X21" s="1" t="inlineStr">
        <is>
          <t>fundus</t>
        </is>
      </c>
      <c r="Y21" s="69" t="inlineStr">
        <is>
          <t>&gt;2</t>
        </is>
      </c>
      <c r="Z21" s="1" t="inlineStr">
        <is>
          <t>yes</t>
        </is>
      </c>
      <c r="AA21" s="1" t="inlineStr">
        <is>
          <t>yes</t>
        </is>
      </c>
      <c r="AB21" s="1" t="inlineStr">
        <is>
          <t>yes</t>
        </is>
      </c>
      <c r="AC21" s="84" t="inlineStr">
        <is>
          <t>yes</t>
        </is>
      </c>
      <c r="AD21" s="1" t="inlineStr">
        <is>
          <t>NR</t>
        </is>
      </c>
      <c r="AE21" s="1" t="inlineStr">
        <is>
          <t>america</t>
        </is>
      </c>
      <c r="AF21" s="72" t="inlineStr">
        <is>
          <t>high</t>
        </is>
      </c>
      <c r="AG21" s="71" t="inlineStr">
        <is>
          <t>high</t>
        </is>
      </c>
      <c r="AH21" s="1" t="n">
        <v>67</v>
      </c>
      <c r="AI21" s="1" t="n">
        <v>0.791</v>
      </c>
      <c r="AJ21" s="1" t="n">
        <v>53</v>
      </c>
      <c r="AK21" s="1" t="n">
        <v>14</v>
      </c>
      <c r="AL21" s="1" t="n">
        <v>0.925</v>
      </c>
      <c r="AM21" s="1" t="n">
        <v>0.5</v>
      </c>
      <c r="AN21" s="1" t="n">
        <v>49</v>
      </c>
      <c r="AO21" s="1" t="n">
        <v>4</v>
      </c>
      <c r="AP21" s="1" t="n">
        <v>7</v>
      </c>
      <c r="AQ21" s="1" t="n">
        <v>7</v>
      </c>
    </row>
    <row r="22" ht="16" customHeight="1" s="55">
      <c r="A22" s="2" t="inlineStr">
        <is>
          <t>Kim et al. 2021</t>
        </is>
      </c>
      <c r="B22" s="1" t="inlineStr">
        <is>
          <t>DL</t>
        </is>
      </c>
      <c r="C22" s="1" t="inlineStr">
        <is>
          <t>EyeArt automated interpretation (patient-level)</t>
        </is>
      </c>
      <c r="D22" s="84" t="inlineStr">
        <is>
          <t>NR</t>
        </is>
      </c>
      <c r="E22" s="84" t="inlineStr">
        <is>
          <t>ai_only</t>
        </is>
      </c>
      <c r="F22" s="1" t="inlineStr">
        <is>
          <t>original</t>
        </is>
      </c>
      <c r="G22" s="1" t="inlineStr">
        <is>
          <t>prospective</t>
        </is>
      </c>
      <c r="H22" s="84" t="inlineStr">
        <is>
          <t>cross-sectional</t>
        </is>
      </c>
      <c r="I22" s="84" t="inlineStr">
        <is>
          <t>no</t>
        </is>
      </c>
      <c r="J22" s="84" t="inlineStr">
        <is>
          <t>university hospital</t>
        </is>
      </c>
      <c r="K22" s="1" t="inlineStr">
        <is>
          <t>high</t>
        </is>
      </c>
      <c r="L22" s="1" t="inlineStr">
        <is>
          <t>tertiary</t>
        </is>
      </c>
      <c r="M22" s="1" t="inlineStr">
        <is>
          <t>no</t>
        </is>
      </c>
      <c r="N22" s="1" t="inlineStr">
        <is>
          <t>rdr</t>
        </is>
      </c>
      <c r="O22" s="1" t="inlineStr">
        <is>
          <t>no</t>
        </is>
      </c>
      <c r="P22" s="1" t="inlineStr">
        <is>
          <t>mydriatic</t>
        </is>
      </c>
      <c r="Q22" s="1" t="inlineStr">
        <is>
          <t>smartphone</t>
        </is>
      </c>
      <c r="R22" s="84" t="inlineStr">
        <is>
          <t>single</t>
        </is>
      </c>
      <c r="S22" s="84" t="inlineStr">
        <is>
          <t>kim_2021</t>
        </is>
      </c>
      <c r="T22" s="1" t="inlineStr">
        <is>
          <t>etdrs</t>
        </is>
      </c>
      <c r="U22" s="84" t="inlineStr">
        <is>
          <t>PP</t>
        </is>
      </c>
      <c r="V22" s="1" t="inlineStr">
        <is>
          <t>clinical exam</t>
        </is>
      </c>
      <c r="W22" s="71" t="inlineStr">
        <is>
          <t>yes</t>
        </is>
      </c>
      <c r="X22" s="1" t="inlineStr">
        <is>
          <t>fundus</t>
        </is>
      </c>
      <c r="Y22" s="1" t="inlineStr">
        <is>
          <t>&gt;2</t>
        </is>
      </c>
      <c r="Z22" s="69" t="inlineStr">
        <is>
          <t>yes</t>
        </is>
      </c>
      <c r="AA22" s="1" t="inlineStr">
        <is>
          <t>yes</t>
        </is>
      </c>
      <c r="AB22" s="1" t="inlineStr">
        <is>
          <t>yes</t>
        </is>
      </c>
      <c r="AC22" s="84" t="inlineStr">
        <is>
          <t>yes</t>
        </is>
      </c>
      <c r="AD22" s="1" t="inlineStr">
        <is>
          <t>proprietary</t>
        </is>
      </c>
      <c r="AE22" s="1" t="inlineStr">
        <is>
          <t>america</t>
        </is>
      </c>
      <c r="AF22" s="71" t="inlineStr">
        <is>
          <t>high</t>
        </is>
      </c>
      <c r="AG22" s="71" t="inlineStr">
        <is>
          <t>high</t>
        </is>
      </c>
      <c r="AH22" s="1" t="n">
        <v>68</v>
      </c>
      <c r="AI22" s="1" t="n">
        <v>0.794</v>
      </c>
      <c r="AJ22" s="1" t="n">
        <v>54</v>
      </c>
      <c r="AK22" s="1" t="n">
        <v>14</v>
      </c>
      <c r="AL22" s="1" t="n">
        <v>0.87</v>
      </c>
      <c r="AM22" s="1" t="n">
        <v>0.786</v>
      </c>
      <c r="AN22" s="1" t="n">
        <v>47</v>
      </c>
      <c r="AO22" s="1" t="n">
        <v>7</v>
      </c>
      <c r="AP22" s="1" t="n">
        <v>11</v>
      </c>
      <c r="AQ22" s="1" t="n">
        <v>3</v>
      </c>
    </row>
    <row r="23" ht="16" customHeight="1" s="55">
      <c r="A23" s="2" t="inlineStr">
        <is>
          <t>Kim et al. 2021</t>
        </is>
      </c>
      <c r="B23" s="1" t="inlineStr">
        <is>
          <t>Reader</t>
        </is>
      </c>
      <c r="C23" s="1" t="inlineStr">
        <is>
          <t>Grader 1 (retina specialist; patient-level)</t>
        </is>
      </c>
      <c r="D23" s="84" t="inlineStr">
        <is>
          <t>retinaspecialist</t>
        </is>
      </c>
      <c r="E23" s="84" t="inlineStr">
        <is>
          <t>human_only</t>
        </is>
      </c>
      <c r="F23" s="1" t="inlineStr">
        <is>
          <t>original</t>
        </is>
      </c>
      <c r="G23" s="1" t="inlineStr">
        <is>
          <t>prospective</t>
        </is>
      </c>
      <c r="H23" s="84" t="inlineStr">
        <is>
          <t>cross-sectional</t>
        </is>
      </c>
      <c r="I23" s="84" t="inlineStr">
        <is>
          <t>no</t>
        </is>
      </c>
      <c r="J23" s="84" t="inlineStr">
        <is>
          <t>university hospital</t>
        </is>
      </c>
      <c r="K23" s="1" t="inlineStr">
        <is>
          <t>high</t>
        </is>
      </c>
      <c r="L23" s="1" t="inlineStr">
        <is>
          <t>tertiary</t>
        </is>
      </c>
      <c r="M23" s="1" t="inlineStr">
        <is>
          <t>no</t>
        </is>
      </c>
      <c r="N23" s="1" t="inlineStr">
        <is>
          <t>rdr</t>
        </is>
      </c>
      <c r="O23" s="1" t="inlineStr">
        <is>
          <t>no</t>
        </is>
      </c>
      <c r="P23" s="1" t="inlineStr">
        <is>
          <t>mydriatic</t>
        </is>
      </c>
      <c r="Q23" s="1" t="inlineStr">
        <is>
          <t>smartphone</t>
        </is>
      </c>
      <c r="R23" s="84" t="inlineStr">
        <is>
          <t>single</t>
        </is>
      </c>
      <c r="S23" s="84" t="inlineStr">
        <is>
          <t>kim_2021</t>
        </is>
      </c>
      <c r="T23" s="1" t="inlineStr">
        <is>
          <t>etdrs</t>
        </is>
      </c>
      <c r="U23" s="84" t="inlineStr">
        <is>
          <t>PP</t>
        </is>
      </c>
      <c r="V23" s="1" t="inlineStr">
        <is>
          <t>clinical exam</t>
        </is>
      </c>
      <c r="W23" s="71" t="inlineStr">
        <is>
          <t>yes</t>
        </is>
      </c>
      <c r="X23" s="1" t="inlineStr">
        <is>
          <t>fundus</t>
        </is>
      </c>
      <c r="Y23" s="1" t="inlineStr">
        <is>
          <t>&gt;2</t>
        </is>
      </c>
      <c r="Z23" s="69" t="inlineStr">
        <is>
          <t>yes</t>
        </is>
      </c>
      <c r="AA23" s="1" t="inlineStr">
        <is>
          <t>yes</t>
        </is>
      </c>
      <c r="AB23" s="1" t="inlineStr">
        <is>
          <t>yes</t>
        </is>
      </c>
      <c r="AC23" s="84" t="inlineStr">
        <is>
          <t>yes</t>
        </is>
      </c>
      <c r="AD23" s="1" t="inlineStr">
        <is>
          <t>NR</t>
        </is>
      </c>
      <c r="AE23" s="1" t="inlineStr">
        <is>
          <t>america</t>
        </is>
      </c>
      <c r="AF23" s="71" t="inlineStr">
        <is>
          <t>high</t>
        </is>
      </c>
      <c r="AG23" s="71" t="inlineStr">
        <is>
          <t>high</t>
        </is>
      </c>
      <c r="AH23" s="1" t="n">
        <v>68</v>
      </c>
      <c r="AI23" s="1" t="n">
        <v>0.794</v>
      </c>
      <c r="AJ23" s="1" t="n">
        <v>54</v>
      </c>
      <c r="AK23" s="1" t="n">
        <v>14</v>
      </c>
      <c r="AL23" s="1" t="n">
        <v>0.963</v>
      </c>
      <c r="AM23" s="1" t="n">
        <v>0.429</v>
      </c>
      <c r="AN23" s="1" t="n">
        <v>52</v>
      </c>
      <c r="AO23" s="1" t="n">
        <v>2</v>
      </c>
      <c r="AP23" s="1" t="n">
        <v>6</v>
      </c>
      <c r="AQ23" s="1" t="n">
        <v>8</v>
      </c>
    </row>
    <row r="24" ht="16" customHeight="1" s="55">
      <c r="A24" s="2" t="inlineStr">
        <is>
          <t>Kim et al. 2021</t>
        </is>
      </c>
      <c r="B24" s="1" t="inlineStr">
        <is>
          <t>Reader</t>
        </is>
      </c>
      <c r="C24" s="1" t="inlineStr">
        <is>
          <t>Grader 2 (telemedicine ophthalmologist; patient-level)</t>
        </is>
      </c>
      <c r="D24" s="84" t="inlineStr">
        <is>
          <t>ophthalmologist</t>
        </is>
      </c>
      <c r="E24" s="84" t="inlineStr">
        <is>
          <t>human_only</t>
        </is>
      </c>
      <c r="F24" s="1" t="inlineStr">
        <is>
          <t>original</t>
        </is>
      </c>
      <c r="G24" s="1" t="inlineStr">
        <is>
          <t>prospective</t>
        </is>
      </c>
      <c r="H24" s="84" t="inlineStr">
        <is>
          <t>cross-sectional</t>
        </is>
      </c>
      <c r="I24" s="84" t="inlineStr">
        <is>
          <t>no</t>
        </is>
      </c>
      <c r="J24" s="84" t="inlineStr">
        <is>
          <t>university hospital</t>
        </is>
      </c>
      <c r="K24" s="1" t="inlineStr">
        <is>
          <t>high</t>
        </is>
      </c>
      <c r="L24" s="1" t="inlineStr">
        <is>
          <t>tertiary</t>
        </is>
      </c>
      <c r="M24" s="1" t="inlineStr">
        <is>
          <t>no</t>
        </is>
      </c>
      <c r="N24" s="1" t="inlineStr">
        <is>
          <t>rdr</t>
        </is>
      </c>
      <c r="O24" s="1" t="inlineStr">
        <is>
          <t>no</t>
        </is>
      </c>
      <c r="P24" s="1" t="inlineStr">
        <is>
          <t>mydriatic</t>
        </is>
      </c>
      <c r="Q24" s="1" t="inlineStr">
        <is>
          <t>smartphone</t>
        </is>
      </c>
      <c r="R24" s="84" t="inlineStr">
        <is>
          <t>single</t>
        </is>
      </c>
      <c r="S24" s="84" t="inlineStr">
        <is>
          <t>kim_2021</t>
        </is>
      </c>
      <c r="T24" s="1" t="inlineStr">
        <is>
          <t>etdrs</t>
        </is>
      </c>
      <c r="U24" s="84" t="inlineStr">
        <is>
          <t>PP</t>
        </is>
      </c>
      <c r="V24" s="1" t="inlineStr">
        <is>
          <t>clinical exam</t>
        </is>
      </c>
      <c r="W24" s="71" t="inlineStr">
        <is>
          <t>yes</t>
        </is>
      </c>
      <c r="X24" s="1" t="inlineStr">
        <is>
          <t>fundus</t>
        </is>
      </c>
      <c r="Y24" s="1" t="inlineStr">
        <is>
          <t>&gt;2</t>
        </is>
      </c>
      <c r="Z24" s="69" t="inlineStr">
        <is>
          <t>yes</t>
        </is>
      </c>
      <c r="AA24" s="1" t="inlineStr">
        <is>
          <t>yes</t>
        </is>
      </c>
      <c r="AB24" s="1" t="inlineStr">
        <is>
          <t>yes</t>
        </is>
      </c>
      <c r="AC24" s="84" t="inlineStr">
        <is>
          <t>yes</t>
        </is>
      </c>
      <c r="AD24" s="1" t="inlineStr">
        <is>
          <t>NR</t>
        </is>
      </c>
      <c r="AE24" s="1" t="inlineStr">
        <is>
          <t>america</t>
        </is>
      </c>
      <c r="AF24" s="71" t="inlineStr">
        <is>
          <t>high</t>
        </is>
      </c>
      <c r="AG24" s="71" t="inlineStr">
        <is>
          <t>high</t>
        </is>
      </c>
      <c r="AH24" s="1" t="n">
        <v>67</v>
      </c>
      <c r="AI24" s="1" t="n">
        <v>0.791</v>
      </c>
      <c r="AJ24" s="1" t="n">
        <v>53</v>
      </c>
      <c r="AK24" s="1" t="n">
        <v>14</v>
      </c>
      <c r="AL24" s="1" t="n">
        <v>0.925</v>
      </c>
      <c r="AM24" s="1" t="n">
        <v>0.5</v>
      </c>
      <c r="AN24" s="1" t="n">
        <v>49</v>
      </c>
      <c r="AO24" s="1" t="n">
        <v>4</v>
      </c>
      <c r="AP24" s="1" t="n">
        <v>7</v>
      </c>
      <c r="AQ24" s="1" t="n">
        <v>7</v>
      </c>
    </row>
    <row r="25" ht="16" customHeight="1" s="55">
      <c r="A25" s="2" t="inlineStr">
        <is>
          <t>Li et al. 2021</t>
        </is>
      </c>
      <c r="B25" s="1" t="inlineStr">
        <is>
          <t>DL</t>
        </is>
      </c>
      <c r="C25" s="1" t="inlineStr">
        <is>
          <t>VeriSee™ software (CNN-based)</t>
        </is>
      </c>
      <c r="D25" s="84" t="inlineStr">
        <is>
          <t>NR</t>
        </is>
      </c>
      <c r="E25" s="84" t="inlineStr">
        <is>
          <t>ai_only</t>
        </is>
      </c>
      <c r="F25" s="1" t="inlineStr">
        <is>
          <t>original</t>
        </is>
      </c>
      <c r="G25" s="1" t="inlineStr">
        <is>
          <t>retrospective</t>
        </is>
      </c>
      <c r="H25" s="84" t="inlineStr">
        <is>
          <t>cross-sectional</t>
        </is>
      </c>
      <c r="I25" s="84" t="inlineStr">
        <is>
          <t>no</t>
        </is>
      </c>
      <c r="J25" s="84" t="inlineStr">
        <is>
          <t>university hospital</t>
        </is>
      </c>
      <c r="K25" s="1" t="inlineStr">
        <is>
          <t>high</t>
        </is>
      </c>
      <c r="L25" s="1" t="inlineStr">
        <is>
          <t>primary</t>
        </is>
      </c>
      <c r="M25" s="1" t="inlineStr">
        <is>
          <t>no</t>
        </is>
      </c>
      <c r="N25" s="1" t="inlineStr">
        <is>
          <t>rdr</t>
        </is>
      </c>
      <c r="O25" s="1" t="inlineStr">
        <is>
          <t>no</t>
        </is>
      </c>
      <c r="P25" s="1" t="inlineStr">
        <is>
          <t>non-mydriatic</t>
        </is>
      </c>
      <c r="Q25" s="1" t="inlineStr">
        <is>
          <t>desktop</t>
        </is>
      </c>
      <c r="R25" s="84" t="inlineStr">
        <is>
          <t>single</t>
        </is>
      </c>
      <c r="S25" s="84" t="inlineStr">
        <is>
          <t>li_2021</t>
        </is>
      </c>
      <c r="T25" s="1" t="inlineStr">
        <is>
          <t>icdr</t>
        </is>
      </c>
      <c r="U25" s="84" t="inlineStr">
        <is>
          <t>PP</t>
        </is>
      </c>
      <c r="V25" s="1" t="inlineStr">
        <is>
          <t>expert panel</t>
        </is>
      </c>
      <c r="W25" s="71" t="inlineStr">
        <is>
          <t>no</t>
        </is>
      </c>
      <c r="X25" s="1" t="inlineStr">
        <is>
          <t>fundus</t>
        </is>
      </c>
      <c r="Y25" s="1" t="inlineStr">
        <is>
          <t>1</t>
        </is>
      </c>
      <c r="Z25" s="69" t="inlineStr">
        <is>
          <t>yes</t>
        </is>
      </c>
      <c r="AA25" s="1" t="inlineStr">
        <is>
          <t>yes</t>
        </is>
      </c>
      <c r="AB25" s="1" t="inlineStr">
        <is>
          <t>yes</t>
        </is>
      </c>
      <c r="AC25" s="84" t="inlineStr">
        <is>
          <t>yes</t>
        </is>
      </c>
      <c r="AD25" s="1" t="inlineStr">
        <is>
          <t>Inception</t>
        </is>
      </c>
      <c r="AE25" s="1" t="inlineStr">
        <is>
          <t>asia</t>
        </is>
      </c>
      <c r="AF25" s="1" t="inlineStr">
        <is>
          <t>high</t>
        </is>
      </c>
      <c r="AG25" s="1" t="inlineStr">
        <is>
          <t>NR</t>
        </is>
      </c>
      <c r="AH25" s="1" t="n">
        <v>981</v>
      </c>
      <c r="AI25" s="1" t="n">
        <v>0.093</v>
      </c>
      <c r="AJ25" s="1" t="n">
        <v>91</v>
      </c>
      <c r="AK25" s="1" t="n">
        <v>890</v>
      </c>
      <c r="AL25" s="1" t="n">
        <v>0.91</v>
      </c>
      <c r="AM25" s="1" t="n">
        <v>0.9</v>
      </c>
      <c r="AN25" s="1" t="n">
        <v>83</v>
      </c>
      <c r="AO25" s="1" t="n">
        <v>8</v>
      </c>
      <c r="AP25" s="1" t="n">
        <v>801</v>
      </c>
      <c r="AQ25" s="1" t="n">
        <v>89</v>
      </c>
    </row>
    <row r="26" ht="16" customHeight="1" s="55">
      <c r="A26" s="2" t="inlineStr">
        <is>
          <t>Li et al. 2021</t>
        </is>
      </c>
      <c r="B26" s="1" t="inlineStr">
        <is>
          <t>DL</t>
        </is>
      </c>
      <c r="C26" s="1" t="inlineStr">
        <is>
          <t>VeriSee™ software (CNN-based)</t>
        </is>
      </c>
      <c r="D26" s="84" t="inlineStr">
        <is>
          <t>NR</t>
        </is>
      </c>
      <c r="E26" s="84" t="inlineStr">
        <is>
          <t>ai_only</t>
        </is>
      </c>
      <c r="F26" s="1" t="inlineStr">
        <is>
          <t>original</t>
        </is>
      </c>
      <c r="G26" s="1" t="inlineStr">
        <is>
          <t>retrospective</t>
        </is>
      </c>
      <c r="H26" s="84" t="inlineStr">
        <is>
          <t>cross-sectional</t>
        </is>
      </c>
      <c r="I26" s="84" t="inlineStr">
        <is>
          <t>no</t>
        </is>
      </c>
      <c r="J26" s="84" t="inlineStr">
        <is>
          <t>university hospital</t>
        </is>
      </c>
      <c r="K26" s="1" t="inlineStr">
        <is>
          <t>high</t>
        </is>
      </c>
      <c r="L26" s="1" t="inlineStr">
        <is>
          <t>primary</t>
        </is>
      </c>
      <c r="M26" s="1" t="inlineStr">
        <is>
          <t>no</t>
        </is>
      </c>
      <c r="N26" s="1" t="inlineStr">
        <is>
          <t>rdr</t>
        </is>
      </c>
      <c r="O26" s="1" t="inlineStr">
        <is>
          <t>no</t>
        </is>
      </c>
      <c r="P26" s="1" t="inlineStr">
        <is>
          <t>non-mydriatic</t>
        </is>
      </c>
      <c r="Q26" s="1" t="inlineStr">
        <is>
          <t>desktop</t>
        </is>
      </c>
      <c r="R26" s="84" t="inlineStr">
        <is>
          <t>single</t>
        </is>
      </c>
      <c r="S26" s="84" t="inlineStr">
        <is>
          <t>li_2021</t>
        </is>
      </c>
      <c r="T26" s="1" t="inlineStr">
        <is>
          <t>icdr</t>
        </is>
      </c>
      <c r="U26" s="84" t="inlineStr">
        <is>
          <t>PP</t>
        </is>
      </c>
      <c r="V26" s="1" t="inlineStr">
        <is>
          <t>expert panel</t>
        </is>
      </c>
      <c r="W26" s="71" t="inlineStr">
        <is>
          <t>no</t>
        </is>
      </c>
      <c r="X26" s="1" t="inlineStr">
        <is>
          <t>fundus</t>
        </is>
      </c>
      <c r="Y26" s="1" t="inlineStr">
        <is>
          <t>1</t>
        </is>
      </c>
      <c r="Z26" s="69" t="inlineStr">
        <is>
          <t>yes</t>
        </is>
      </c>
      <c r="AA26" s="1" t="inlineStr">
        <is>
          <t>yes</t>
        </is>
      </c>
      <c r="AB26" s="1" t="inlineStr">
        <is>
          <t>yes</t>
        </is>
      </c>
      <c r="AC26" s="84" t="inlineStr">
        <is>
          <t>yes</t>
        </is>
      </c>
      <c r="AD26" s="1" t="inlineStr">
        <is>
          <t>Inception</t>
        </is>
      </c>
      <c r="AE26" s="1" t="inlineStr">
        <is>
          <t>asia</t>
        </is>
      </c>
      <c r="AF26" s="1" t="inlineStr">
        <is>
          <t>high</t>
        </is>
      </c>
      <c r="AG26" s="1" t="inlineStr">
        <is>
          <t>NR</t>
        </is>
      </c>
      <c r="AH26" s="1" t="n">
        <v>468</v>
      </c>
      <c r="AI26" s="1" t="n">
        <v>0.122</v>
      </c>
      <c r="AJ26" s="1" t="n">
        <v>57</v>
      </c>
      <c r="AK26" s="1" t="n">
        <v>411</v>
      </c>
      <c r="AL26" s="1" t="n">
        <v>0.91</v>
      </c>
      <c r="AM26" s="1" t="n">
        <v>0.84</v>
      </c>
      <c r="AN26" s="1" t="n">
        <v>52</v>
      </c>
      <c r="AO26" s="1" t="n">
        <v>5</v>
      </c>
      <c r="AP26" s="1" t="n">
        <v>345</v>
      </c>
      <c r="AQ26" s="1" t="n">
        <v>66</v>
      </c>
    </row>
    <row r="27" ht="16" customHeight="1" s="55">
      <c r="A27" s="2" t="inlineStr">
        <is>
          <t>Li et al. 2021</t>
        </is>
      </c>
      <c r="B27" s="1" t="inlineStr">
        <is>
          <t>Reader</t>
        </is>
      </c>
      <c r="C27" s="1" t="inlineStr">
        <is>
          <t>Endocrinologists (n=5)</t>
        </is>
      </c>
      <c r="D27" s="84" t="inlineStr">
        <is>
          <t>physician</t>
        </is>
      </c>
      <c r="E27" s="84" t="inlineStr">
        <is>
          <t>human_only</t>
        </is>
      </c>
      <c r="F27" s="1" t="inlineStr">
        <is>
          <t>original</t>
        </is>
      </c>
      <c r="G27" s="1" t="inlineStr">
        <is>
          <t>retrospective</t>
        </is>
      </c>
      <c r="H27" s="84" t="inlineStr">
        <is>
          <t>cross-sectional</t>
        </is>
      </c>
      <c r="I27" s="84" t="inlineStr">
        <is>
          <t>no</t>
        </is>
      </c>
      <c r="J27" s="84" t="inlineStr">
        <is>
          <t>university hospital</t>
        </is>
      </c>
      <c r="K27" s="1" t="inlineStr">
        <is>
          <t>high</t>
        </is>
      </c>
      <c r="L27" s="1" t="inlineStr">
        <is>
          <t>primary</t>
        </is>
      </c>
      <c r="M27" s="1" t="inlineStr">
        <is>
          <t>no</t>
        </is>
      </c>
      <c r="N27" s="1" t="inlineStr">
        <is>
          <t>rdr</t>
        </is>
      </c>
      <c r="O27" s="1" t="inlineStr">
        <is>
          <t>no</t>
        </is>
      </c>
      <c r="P27" s="1" t="inlineStr">
        <is>
          <t>non-mydriatic</t>
        </is>
      </c>
      <c r="Q27" s="1" t="inlineStr">
        <is>
          <t>desktop</t>
        </is>
      </c>
      <c r="R27" s="84" t="inlineStr">
        <is>
          <t>single</t>
        </is>
      </c>
      <c r="S27" s="84" t="inlineStr">
        <is>
          <t>li_2021</t>
        </is>
      </c>
      <c r="T27" s="1" t="inlineStr">
        <is>
          <t>icdr</t>
        </is>
      </c>
      <c r="U27" s="84" t="inlineStr">
        <is>
          <t>PP</t>
        </is>
      </c>
      <c r="V27" s="1" t="inlineStr">
        <is>
          <t>expert panel</t>
        </is>
      </c>
      <c r="W27" s="71" t="inlineStr">
        <is>
          <t>no</t>
        </is>
      </c>
      <c r="X27" s="1" t="inlineStr">
        <is>
          <t>fundus</t>
        </is>
      </c>
      <c r="Y27" s="1" t="inlineStr">
        <is>
          <t>1</t>
        </is>
      </c>
      <c r="Z27" s="69" t="inlineStr">
        <is>
          <t>yes</t>
        </is>
      </c>
      <c r="AA27" s="1" t="inlineStr">
        <is>
          <t>yes</t>
        </is>
      </c>
      <c r="AB27" s="1" t="inlineStr">
        <is>
          <t>yes</t>
        </is>
      </c>
      <c r="AC27" s="84" t="inlineStr">
        <is>
          <t>yes</t>
        </is>
      </c>
      <c r="AD27" s="1" t="inlineStr">
        <is>
          <t>NR</t>
        </is>
      </c>
      <c r="AE27" s="1" t="inlineStr">
        <is>
          <t>asia</t>
        </is>
      </c>
      <c r="AF27" s="1" t="inlineStr">
        <is>
          <t>high</t>
        </is>
      </c>
      <c r="AG27" s="1" t="inlineStr">
        <is>
          <t>NR</t>
        </is>
      </c>
      <c r="AH27" s="1" t="n">
        <v>468</v>
      </c>
      <c r="AI27" s="1" t="n">
        <v>0.122</v>
      </c>
      <c r="AJ27" s="1" t="n">
        <v>57</v>
      </c>
      <c r="AK27" s="1" t="n">
        <v>411</v>
      </c>
      <c r="AL27" s="1" t="n">
        <v>0.91</v>
      </c>
      <c r="AM27" s="1" t="n">
        <v>0.5</v>
      </c>
      <c r="AN27" s="1" t="n">
        <v>52</v>
      </c>
      <c r="AO27" s="1" t="n">
        <v>5</v>
      </c>
      <c r="AP27" s="1" t="n">
        <v>206</v>
      </c>
      <c r="AQ27" s="1" t="n">
        <v>205</v>
      </c>
    </row>
    <row r="28" ht="16" customHeight="1" s="55">
      <c r="A28" s="2" t="inlineStr">
        <is>
          <t>Noriega et al. 2021</t>
        </is>
      </c>
      <c r="B28" s="1" t="inlineStr">
        <is>
          <t>DL</t>
        </is>
      </c>
      <c r="C28" s="1" t="inlineStr">
        <is>
          <t>ARIA system (Mexican patient cases)</t>
        </is>
      </c>
      <c r="D28" s="84" t="inlineStr">
        <is>
          <t>NR</t>
        </is>
      </c>
      <c r="E28" s="84" t="inlineStr">
        <is>
          <t>ai_only</t>
        </is>
      </c>
      <c r="F28" s="1" t="inlineStr">
        <is>
          <t>original</t>
        </is>
      </c>
      <c r="G28" s="1" t="inlineStr">
        <is>
          <t>prospective</t>
        </is>
      </c>
      <c r="H28" s="84" t="inlineStr">
        <is>
          <t>RCT</t>
        </is>
      </c>
      <c r="I28" s="84" t="inlineStr">
        <is>
          <t>no</t>
        </is>
      </c>
      <c r="J28" s="84" t="inlineStr">
        <is>
          <t>tertiary hospital</t>
        </is>
      </c>
      <c r="K28" s="1" t="inlineStr">
        <is>
          <t>middle</t>
        </is>
      </c>
      <c r="L28" s="1" t="inlineStr">
        <is>
          <t>tertiary</t>
        </is>
      </c>
      <c r="M28" s="1" t="inlineStr">
        <is>
          <t>no</t>
        </is>
      </c>
      <c r="N28" s="1" t="inlineStr">
        <is>
          <t>rdr</t>
        </is>
      </c>
      <c r="O28" s="1" t="inlineStr">
        <is>
          <t>no</t>
        </is>
      </c>
      <c r="P28" s="1" t="inlineStr">
        <is>
          <t>NR</t>
        </is>
      </c>
      <c r="Q28" s="1" t="inlineStr">
        <is>
          <t>desktop</t>
        </is>
      </c>
      <c r="R28" s="84" t="inlineStr">
        <is>
          <t>NR</t>
        </is>
      </c>
      <c r="S28" s="84" t="inlineStr">
        <is>
          <t>noriega_2021</t>
        </is>
      </c>
      <c r="T28" s="1" t="inlineStr">
        <is>
          <t>icdr</t>
        </is>
      </c>
      <c r="U28" s="84" t="inlineStr">
        <is>
          <t>PP</t>
        </is>
      </c>
      <c r="V28" s="1" t="inlineStr">
        <is>
          <t>expert panel</t>
        </is>
      </c>
      <c r="W28" s="71" t="inlineStr">
        <is>
          <t>no</t>
        </is>
      </c>
      <c r="X28" s="1" t="inlineStr">
        <is>
          <t>fundus</t>
        </is>
      </c>
      <c r="Y28" s="1" t="inlineStr">
        <is>
          <t>1</t>
        </is>
      </c>
      <c r="Z28" s="73" t="inlineStr">
        <is>
          <t>no</t>
        </is>
      </c>
      <c r="AA28" s="74" t="inlineStr">
        <is>
          <t>no</t>
        </is>
      </c>
      <c r="AB28" s="74" t="inlineStr">
        <is>
          <t>no</t>
        </is>
      </c>
      <c r="AC28" s="84" t="inlineStr">
        <is>
          <t>no</t>
        </is>
      </c>
      <c r="AD28" s="1" t="inlineStr">
        <is>
          <t>VGG</t>
        </is>
      </c>
      <c r="AE28" s="1" t="inlineStr">
        <is>
          <t>america</t>
        </is>
      </c>
      <c r="AF28" s="71" t="inlineStr">
        <is>
          <t>high</t>
        </is>
      </c>
      <c r="AG28" s="71" t="inlineStr">
        <is>
          <t>high</t>
        </is>
      </c>
      <c r="AH28" s="1" t="n">
        <v>100</v>
      </c>
      <c r="AI28" s="1" t="n">
        <v>0.5</v>
      </c>
      <c r="AJ28" s="1" t="n">
        <v>50</v>
      </c>
      <c r="AK28" s="1" t="n">
        <v>50</v>
      </c>
      <c r="AL28" s="1" t="n">
        <v>0.952</v>
      </c>
      <c r="AM28" s="1" t="n">
        <v>0.9</v>
      </c>
      <c r="AN28" s="1" t="n">
        <v>48</v>
      </c>
      <c r="AO28" s="1" t="n">
        <v>2</v>
      </c>
      <c r="AP28" s="1" t="n">
        <v>45</v>
      </c>
      <c r="AQ28" s="1" t="n">
        <v>5</v>
      </c>
    </row>
    <row r="29" ht="16" customHeight="1" s="55">
      <c r="A29" s="2" t="inlineStr">
        <is>
          <t>Noriega et al. 2021</t>
        </is>
      </c>
      <c r="B29" s="1" t="inlineStr">
        <is>
          <t>Reader</t>
        </is>
      </c>
      <c r="C29" s="1" t="inlineStr">
        <is>
          <t>Ophthalmologists (solo condition; n=17; observation-level)</t>
        </is>
      </c>
      <c r="D29" s="84" t="inlineStr">
        <is>
          <t>ophthalmologist</t>
        </is>
      </c>
      <c r="E29" s="84" t="inlineStr">
        <is>
          <t>human_only</t>
        </is>
      </c>
      <c r="F29" s="1" t="inlineStr">
        <is>
          <t>original</t>
        </is>
      </c>
      <c r="G29" s="1" t="inlineStr">
        <is>
          <t>prospective</t>
        </is>
      </c>
      <c r="H29" s="84" t="inlineStr">
        <is>
          <t>RCT</t>
        </is>
      </c>
      <c r="I29" s="84" t="inlineStr">
        <is>
          <t>no</t>
        </is>
      </c>
      <c r="J29" s="84" t="inlineStr">
        <is>
          <t>tertiary hospital</t>
        </is>
      </c>
      <c r="K29" s="1" t="inlineStr">
        <is>
          <t>middle</t>
        </is>
      </c>
      <c r="L29" s="1" t="inlineStr">
        <is>
          <t>tertiary</t>
        </is>
      </c>
      <c r="M29" s="1" t="inlineStr">
        <is>
          <t>no</t>
        </is>
      </c>
      <c r="N29" s="1" t="inlineStr">
        <is>
          <t>rdr</t>
        </is>
      </c>
      <c r="O29" s="1" t="inlineStr">
        <is>
          <t>no</t>
        </is>
      </c>
      <c r="P29" s="1" t="inlineStr">
        <is>
          <t>NR</t>
        </is>
      </c>
      <c r="Q29" s="1" t="inlineStr">
        <is>
          <t>desktop</t>
        </is>
      </c>
      <c r="R29" s="84" t="inlineStr">
        <is>
          <t>NR</t>
        </is>
      </c>
      <c r="S29" s="84" t="inlineStr">
        <is>
          <t>noriega_2021</t>
        </is>
      </c>
      <c r="T29" s="1" t="inlineStr">
        <is>
          <t>icdr</t>
        </is>
      </c>
      <c r="U29" s="84" t="inlineStr">
        <is>
          <t>PP</t>
        </is>
      </c>
      <c r="V29" s="1" t="inlineStr">
        <is>
          <t>expert panel</t>
        </is>
      </c>
      <c r="W29" s="71" t="inlineStr">
        <is>
          <t>no</t>
        </is>
      </c>
      <c r="X29" s="1" t="inlineStr">
        <is>
          <t>fundus</t>
        </is>
      </c>
      <c r="Y29" s="1" t="inlineStr">
        <is>
          <t>1</t>
        </is>
      </c>
      <c r="Z29" s="73" t="inlineStr">
        <is>
          <t>no</t>
        </is>
      </c>
      <c r="AA29" s="74" t="inlineStr">
        <is>
          <t>no</t>
        </is>
      </c>
      <c r="AB29" s="1" t="inlineStr">
        <is>
          <t>no</t>
        </is>
      </c>
      <c r="AC29" s="84" t="inlineStr">
        <is>
          <t>no</t>
        </is>
      </c>
      <c r="AD29" s="1" t="inlineStr">
        <is>
          <t>NR</t>
        </is>
      </c>
      <c r="AE29" s="1" t="inlineStr">
        <is>
          <t>america</t>
        </is>
      </c>
      <c r="AF29" s="71" t="inlineStr">
        <is>
          <t>high</t>
        </is>
      </c>
      <c r="AG29" s="71" t="inlineStr">
        <is>
          <t>high</t>
        </is>
      </c>
      <c r="AH29" s="1" t="n">
        <v>255</v>
      </c>
      <c r="AI29" s="1" t="n">
        <v>0.498</v>
      </c>
      <c r="AJ29" s="1" t="n">
        <v>127</v>
      </c>
      <c r="AK29" s="1" t="n">
        <v>128</v>
      </c>
      <c r="AL29" s="1" t="n">
        <v>0.873</v>
      </c>
      <c r="AM29" s="1" t="n">
        <v>0.868</v>
      </c>
      <c r="AN29" s="1" t="n">
        <v>111</v>
      </c>
      <c r="AO29" s="1" t="n">
        <v>16</v>
      </c>
      <c r="AP29" s="1" t="n">
        <v>111</v>
      </c>
      <c r="AQ29" s="1" t="n">
        <v>17</v>
      </c>
    </row>
    <row r="30" ht="16" customHeight="1" s="55">
      <c r="A30" s="2" t="inlineStr">
        <is>
          <t>Noriega et al. 2021</t>
        </is>
      </c>
      <c r="B30" s="1" t="inlineStr">
        <is>
          <t>DL_assisted_reader</t>
        </is>
      </c>
      <c r="C30" s="1" t="inlineStr">
        <is>
          <t>Ophthalmologists (ARIA answer condition; n=17; observation-level)</t>
        </is>
      </c>
      <c r="D30" s="84" t="inlineStr">
        <is>
          <t>ophthalmologist</t>
        </is>
      </c>
      <c r="E30" s="84" t="inlineStr">
        <is>
          <t>human_with_ai</t>
        </is>
      </c>
      <c r="F30" s="1" t="inlineStr">
        <is>
          <t>original</t>
        </is>
      </c>
      <c r="G30" s="1" t="inlineStr">
        <is>
          <t>prospective</t>
        </is>
      </c>
      <c r="H30" s="84" t="inlineStr">
        <is>
          <t>RCT</t>
        </is>
      </c>
      <c r="I30" s="84" t="inlineStr">
        <is>
          <t>no</t>
        </is>
      </c>
      <c r="J30" s="84" t="inlineStr">
        <is>
          <t>tertiary hospital</t>
        </is>
      </c>
      <c r="K30" s="1" t="inlineStr">
        <is>
          <t>middle</t>
        </is>
      </c>
      <c r="L30" s="1" t="inlineStr">
        <is>
          <t>tertiary</t>
        </is>
      </c>
      <c r="M30" s="1" t="inlineStr">
        <is>
          <t>no</t>
        </is>
      </c>
      <c r="N30" s="1" t="inlineStr">
        <is>
          <t>rdr</t>
        </is>
      </c>
      <c r="O30" s="1" t="inlineStr">
        <is>
          <t>no</t>
        </is>
      </c>
      <c r="P30" s="1" t="inlineStr">
        <is>
          <t>NR</t>
        </is>
      </c>
      <c r="Q30" s="1" t="inlineStr">
        <is>
          <t>desktop</t>
        </is>
      </c>
      <c r="R30" s="84" t="inlineStr">
        <is>
          <t>NR</t>
        </is>
      </c>
      <c r="S30" s="84" t="inlineStr">
        <is>
          <t>noriega_2021</t>
        </is>
      </c>
      <c r="T30" s="1" t="inlineStr">
        <is>
          <t>icdr</t>
        </is>
      </c>
      <c r="U30" s="84" t="inlineStr">
        <is>
          <t>PP</t>
        </is>
      </c>
      <c r="V30" s="1" t="inlineStr">
        <is>
          <t>expert panel</t>
        </is>
      </c>
      <c r="W30" s="71" t="inlineStr">
        <is>
          <t>no</t>
        </is>
      </c>
      <c r="X30" s="1" t="inlineStr">
        <is>
          <t>fundus</t>
        </is>
      </c>
      <c r="Y30" s="1" t="inlineStr">
        <is>
          <t>1</t>
        </is>
      </c>
      <c r="Z30" s="73" t="inlineStr">
        <is>
          <t>no</t>
        </is>
      </c>
      <c r="AA30" s="74" t="inlineStr">
        <is>
          <t>no</t>
        </is>
      </c>
      <c r="AB30" s="1" t="inlineStr">
        <is>
          <t>no</t>
        </is>
      </c>
      <c r="AC30" s="84" t="inlineStr">
        <is>
          <t>no</t>
        </is>
      </c>
      <c r="AD30" s="1" t="inlineStr">
        <is>
          <t>NR</t>
        </is>
      </c>
      <c r="AE30" s="1" t="inlineStr">
        <is>
          <t>america</t>
        </is>
      </c>
      <c r="AF30" s="71" t="inlineStr">
        <is>
          <t>high</t>
        </is>
      </c>
      <c r="AG30" s="71" t="inlineStr">
        <is>
          <t>high</t>
        </is>
      </c>
      <c r="AH30" s="1" t="n">
        <v>255</v>
      </c>
      <c r="AI30" s="1" t="n">
        <v>0.525</v>
      </c>
      <c r="AJ30" s="1" t="n">
        <v>134</v>
      </c>
      <c r="AK30" s="1" t="n">
        <v>121</v>
      </c>
      <c r="AL30" s="1" t="n">
        <v>0.9330000000000001</v>
      </c>
      <c r="AM30" s="1" t="n">
        <v>0.893</v>
      </c>
      <c r="AN30" s="1" t="n">
        <v>125</v>
      </c>
      <c r="AO30" s="1" t="n">
        <v>9</v>
      </c>
      <c r="AP30" s="1" t="n">
        <v>108</v>
      </c>
      <c r="AQ30" s="1" t="n">
        <v>13</v>
      </c>
    </row>
    <row r="31" ht="16" customHeight="1" s="55">
      <c r="A31" s="2" t="inlineStr">
        <is>
          <t>Noriega et al. 2021</t>
        </is>
      </c>
      <c r="B31" s="1" t="inlineStr">
        <is>
          <t>DL_assisted_reader</t>
        </is>
      </c>
      <c r="C31" s="1" t="inlineStr">
        <is>
          <t>Ophthalmologists (ARIA explanation condition; n=17; observation-level)</t>
        </is>
      </c>
      <c r="D31" s="84" t="inlineStr">
        <is>
          <t>ophthalmologist</t>
        </is>
      </c>
      <c r="E31" s="84" t="inlineStr">
        <is>
          <t>human_with_ai</t>
        </is>
      </c>
      <c r="F31" s="1" t="inlineStr">
        <is>
          <t>original</t>
        </is>
      </c>
      <c r="G31" s="1" t="inlineStr">
        <is>
          <t>prospective</t>
        </is>
      </c>
      <c r="H31" s="84" t="inlineStr">
        <is>
          <t>RCT</t>
        </is>
      </c>
      <c r="I31" s="84" t="inlineStr">
        <is>
          <t>no</t>
        </is>
      </c>
      <c r="J31" s="84" t="inlineStr">
        <is>
          <t>tertiary hospital</t>
        </is>
      </c>
      <c r="K31" s="1" t="inlineStr">
        <is>
          <t>middle</t>
        </is>
      </c>
      <c r="L31" s="1" t="inlineStr">
        <is>
          <t>tertiary</t>
        </is>
      </c>
      <c r="M31" s="1" t="inlineStr">
        <is>
          <t>no</t>
        </is>
      </c>
      <c r="N31" s="1" t="inlineStr">
        <is>
          <t>rdr</t>
        </is>
      </c>
      <c r="O31" s="1" t="inlineStr">
        <is>
          <t>no</t>
        </is>
      </c>
      <c r="P31" s="1" t="inlineStr">
        <is>
          <t>NR</t>
        </is>
      </c>
      <c r="Q31" s="1" t="inlineStr">
        <is>
          <t>desktop</t>
        </is>
      </c>
      <c r="R31" s="84" t="inlineStr">
        <is>
          <t>NR</t>
        </is>
      </c>
      <c r="S31" s="84" t="inlineStr">
        <is>
          <t>noriega_2021</t>
        </is>
      </c>
      <c r="T31" s="1" t="inlineStr">
        <is>
          <t>icdr</t>
        </is>
      </c>
      <c r="U31" s="84" t="inlineStr">
        <is>
          <t>PP</t>
        </is>
      </c>
      <c r="V31" s="1" t="inlineStr">
        <is>
          <t>expert panel</t>
        </is>
      </c>
      <c r="W31" s="71" t="inlineStr">
        <is>
          <t>no</t>
        </is>
      </c>
      <c r="X31" s="1" t="inlineStr">
        <is>
          <t>fundus</t>
        </is>
      </c>
      <c r="Y31" s="1" t="inlineStr">
        <is>
          <t>1</t>
        </is>
      </c>
      <c r="Z31" s="73" t="inlineStr">
        <is>
          <t>no</t>
        </is>
      </c>
      <c r="AA31" s="74" t="inlineStr">
        <is>
          <t>no</t>
        </is>
      </c>
      <c r="AB31" s="1" t="inlineStr">
        <is>
          <t>no</t>
        </is>
      </c>
      <c r="AC31" s="84" t="inlineStr">
        <is>
          <t>no</t>
        </is>
      </c>
      <c r="AD31" s="1" t="inlineStr">
        <is>
          <t>NR</t>
        </is>
      </c>
      <c r="AE31" s="1" t="inlineStr">
        <is>
          <t>america</t>
        </is>
      </c>
      <c r="AF31" s="71" t="inlineStr">
        <is>
          <t>high</t>
        </is>
      </c>
      <c r="AG31" s="71" t="inlineStr">
        <is>
          <t>high</t>
        </is>
      </c>
      <c r="AH31" s="1" t="n">
        <v>255</v>
      </c>
      <c r="AI31" s="1" t="n">
        <v>0.467</v>
      </c>
      <c r="AJ31" s="1" t="n">
        <v>119</v>
      </c>
      <c r="AK31" s="1" t="n">
        <v>136</v>
      </c>
      <c r="AL31" s="1" t="n">
        <v>0.915</v>
      </c>
      <c r="AM31" s="1" t="n">
        <v>0.79</v>
      </c>
      <c r="AN31" s="1" t="n">
        <v>109</v>
      </c>
      <c r="AO31" s="1" t="n">
        <v>10</v>
      </c>
      <c r="AP31" s="1" t="n">
        <v>107</v>
      </c>
      <c r="AQ31" s="1" t="n">
        <v>29</v>
      </c>
    </row>
    <row r="32" ht="16" customHeight="1" s="55">
      <c r="A32" s="2" t="inlineStr">
        <is>
          <t>Limwattanayingyong et al. 2020</t>
        </is>
      </c>
      <c r="B32" s="1" t="inlineStr">
        <is>
          <t>DL</t>
        </is>
      </c>
      <c r="C32" s="1" t="inlineStr">
        <is>
          <t>Deep learning system</t>
        </is>
      </c>
      <c r="D32" s="84" t="inlineStr">
        <is>
          <t>NR</t>
        </is>
      </c>
      <c r="E32" s="84" t="inlineStr">
        <is>
          <t>ai_only</t>
        </is>
      </c>
      <c r="F32" s="1" t="inlineStr">
        <is>
          <t>original</t>
        </is>
      </c>
      <c r="G32" s="1" t="inlineStr">
        <is>
          <t>retrospective</t>
        </is>
      </c>
      <c r="H32" s="84" t="inlineStr">
        <is>
          <t>cohort</t>
        </is>
      </c>
      <c r="I32" s="84" t="inlineStr">
        <is>
          <t>yes</t>
        </is>
      </c>
      <c r="J32" s="84" t="inlineStr">
        <is>
          <t>national screening programme</t>
        </is>
      </c>
      <c r="K32" s="1" t="inlineStr">
        <is>
          <t>high</t>
        </is>
      </c>
      <c r="L32" s="1" t="inlineStr">
        <is>
          <t>primary</t>
        </is>
      </c>
      <c r="M32" s="1" t="inlineStr">
        <is>
          <t>yes</t>
        </is>
      </c>
      <c r="N32" s="1" t="inlineStr">
        <is>
          <t>vtdr</t>
        </is>
      </c>
      <c r="O32" s="1" t="inlineStr">
        <is>
          <t>yes</t>
        </is>
      </c>
      <c r="P32" s="1" t="inlineStr">
        <is>
          <t>mixed</t>
        </is>
      </c>
      <c r="Q32" s="1" t="inlineStr">
        <is>
          <t>desktop</t>
        </is>
      </c>
      <c r="R32" s="84" t="inlineStr">
        <is>
          <t>multiple</t>
        </is>
      </c>
      <c r="S32" s="84" t="inlineStr">
        <is>
          <t>thai_national</t>
        </is>
      </c>
      <c r="T32" s="1" t="inlineStr">
        <is>
          <t>icdr</t>
        </is>
      </c>
      <c r="U32" s="84" t="inlineStr">
        <is>
          <t>PP</t>
        </is>
      </c>
      <c r="V32" s="1" t="inlineStr">
        <is>
          <t>expert panel</t>
        </is>
      </c>
      <c r="W32" s="1" t="inlineStr">
        <is>
          <t>yes</t>
        </is>
      </c>
      <c r="X32" s="1" t="inlineStr">
        <is>
          <t>fundus</t>
        </is>
      </c>
      <c r="Y32" s="1" t="inlineStr">
        <is>
          <t>1</t>
        </is>
      </c>
      <c r="Z32" s="69" t="inlineStr">
        <is>
          <t>yes</t>
        </is>
      </c>
      <c r="AA32" s="1" t="inlineStr">
        <is>
          <t>no</t>
        </is>
      </c>
      <c r="AB32" s="1" t="inlineStr">
        <is>
          <t>no</t>
        </is>
      </c>
      <c r="AC32" s="84" t="inlineStr">
        <is>
          <t>NR</t>
        </is>
      </c>
      <c r="AD32" s="1" t="inlineStr">
        <is>
          <t>Inception</t>
        </is>
      </c>
      <c r="AE32" s="1" t="inlineStr">
        <is>
          <t>asia</t>
        </is>
      </c>
      <c r="AF32" s="71" t="inlineStr">
        <is>
          <t>high</t>
        </is>
      </c>
      <c r="AG32" s="71" t="inlineStr">
        <is>
          <t>high</t>
        </is>
      </c>
      <c r="AH32" s="1" t="n">
        <v>5738</v>
      </c>
      <c r="AI32" s="1" t="n">
        <v>0.123</v>
      </c>
      <c r="AJ32" s="1" t="n">
        <v>704</v>
      </c>
      <c r="AK32" s="1" t="n">
        <v>5034</v>
      </c>
      <c r="AL32" s="1" t="n">
        <v>0.95</v>
      </c>
      <c r="AM32" s="1" t="n">
        <v>0.98</v>
      </c>
      <c r="AN32" s="1" t="n">
        <v>669</v>
      </c>
      <c r="AO32" s="1" t="n">
        <v>35</v>
      </c>
      <c r="AP32" s="1" t="n">
        <v>4932</v>
      </c>
      <c r="AQ32" s="1" t="n">
        <v>102</v>
      </c>
    </row>
    <row r="33" ht="16" customHeight="1" s="55">
      <c r="A33" s="2" t="inlineStr">
        <is>
          <t>Limwattanayingyong et al. 2020</t>
        </is>
      </c>
      <c r="B33" s="1" t="inlineStr">
        <is>
          <t>Reader</t>
        </is>
      </c>
      <c r="C33" s="1" t="inlineStr">
        <is>
          <t>Trained human graders (regional HG)</t>
        </is>
      </c>
      <c r="D33" s="84" t="inlineStr">
        <is>
          <t>trainedgrader</t>
        </is>
      </c>
      <c r="E33" s="84" t="inlineStr">
        <is>
          <t>human_only</t>
        </is>
      </c>
      <c r="F33" s="1" t="inlineStr">
        <is>
          <t>original</t>
        </is>
      </c>
      <c r="G33" s="1" t="inlineStr">
        <is>
          <t>retrospective</t>
        </is>
      </c>
      <c r="H33" s="84" t="inlineStr">
        <is>
          <t>cohort</t>
        </is>
      </c>
      <c r="I33" s="84" t="inlineStr">
        <is>
          <t>yes</t>
        </is>
      </c>
      <c r="J33" s="84" t="inlineStr">
        <is>
          <t>national screening programme</t>
        </is>
      </c>
      <c r="K33" s="1" t="inlineStr">
        <is>
          <t>high</t>
        </is>
      </c>
      <c r="L33" s="1" t="inlineStr">
        <is>
          <t>primary</t>
        </is>
      </c>
      <c r="M33" s="1" t="inlineStr">
        <is>
          <t>yes</t>
        </is>
      </c>
      <c r="N33" s="1" t="inlineStr">
        <is>
          <t>vtdr</t>
        </is>
      </c>
      <c r="O33" s="1" t="inlineStr">
        <is>
          <t>yes</t>
        </is>
      </c>
      <c r="P33" s="1" t="inlineStr">
        <is>
          <t>mixed</t>
        </is>
      </c>
      <c r="Q33" s="1" t="inlineStr">
        <is>
          <t>desktop</t>
        </is>
      </c>
      <c r="R33" s="84" t="inlineStr">
        <is>
          <t>multiple</t>
        </is>
      </c>
      <c r="S33" s="84" t="inlineStr">
        <is>
          <t>thai_national</t>
        </is>
      </c>
      <c r="T33" s="1" t="inlineStr">
        <is>
          <t>icdr</t>
        </is>
      </c>
      <c r="U33" s="84" t="inlineStr">
        <is>
          <t>PP</t>
        </is>
      </c>
      <c r="V33" s="1" t="inlineStr">
        <is>
          <t>expert panel</t>
        </is>
      </c>
      <c r="W33" s="1" t="inlineStr">
        <is>
          <t>yes</t>
        </is>
      </c>
      <c r="X33" s="1" t="inlineStr">
        <is>
          <t>fundus</t>
        </is>
      </c>
      <c r="Y33" s="1" t="inlineStr">
        <is>
          <t>1</t>
        </is>
      </c>
      <c r="Z33" s="69" t="inlineStr">
        <is>
          <t>yes</t>
        </is>
      </c>
      <c r="AA33" s="1" t="inlineStr">
        <is>
          <t>no</t>
        </is>
      </c>
      <c r="AB33" s="1" t="inlineStr">
        <is>
          <t>no</t>
        </is>
      </c>
      <c r="AC33" s="84" t="inlineStr">
        <is>
          <t>NR</t>
        </is>
      </c>
      <c r="AD33" s="1" t="inlineStr">
        <is>
          <t>NR</t>
        </is>
      </c>
      <c r="AE33" s="1" t="inlineStr">
        <is>
          <t>asia</t>
        </is>
      </c>
      <c r="AF33" s="71" t="inlineStr">
        <is>
          <t>high</t>
        </is>
      </c>
      <c r="AG33" s="71" t="inlineStr">
        <is>
          <t>high</t>
        </is>
      </c>
      <c r="AH33" s="1" t="n">
        <v>5738</v>
      </c>
      <c r="AI33" s="1" t="n">
        <v>0.123</v>
      </c>
      <c r="AJ33" s="1" t="n">
        <v>704</v>
      </c>
      <c r="AK33" s="1" t="n">
        <v>5034</v>
      </c>
      <c r="AL33" s="1" t="n">
        <v>0.737</v>
      </c>
      <c r="AM33" s="1" t="n">
        <v>0.986</v>
      </c>
      <c r="AN33" s="1" t="n">
        <v>519</v>
      </c>
      <c r="AO33" s="1" t="n">
        <v>185</v>
      </c>
      <c r="AP33" s="1" t="n">
        <v>4963</v>
      </c>
      <c r="AQ33" s="1" t="n">
        <v>71</v>
      </c>
    </row>
    <row r="34" ht="16" customHeight="1" s="55">
      <c r="A34" s="2" t="inlineStr">
        <is>
          <t>Limwattanayingyong et al. 2020</t>
        </is>
      </c>
      <c r="B34" s="1" t="inlineStr">
        <is>
          <t>DL</t>
        </is>
      </c>
      <c r="C34" s="1" t="inlineStr">
        <is>
          <t>Deep learning system (follow-up cohort)</t>
        </is>
      </c>
      <c r="D34" s="84" t="inlineStr">
        <is>
          <t>NR</t>
        </is>
      </c>
      <c r="E34" s="84" t="inlineStr">
        <is>
          <t>ai_only</t>
        </is>
      </c>
      <c r="F34" s="1" t="inlineStr">
        <is>
          <t>original</t>
        </is>
      </c>
      <c r="G34" s="1" t="inlineStr">
        <is>
          <t>retrospective</t>
        </is>
      </c>
      <c r="H34" s="84" t="inlineStr">
        <is>
          <t>cohort</t>
        </is>
      </c>
      <c r="I34" s="84" t="inlineStr">
        <is>
          <t>yes</t>
        </is>
      </c>
      <c r="J34" s="84" t="inlineStr">
        <is>
          <t>national screening programme</t>
        </is>
      </c>
      <c r="K34" s="1" t="inlineStr">
        <is>
          <t>high</t>
        </is>
      </c>
      <c r="L34" s="1" t="inlineStr">
        <is>
          <t>primary</t>
        </is>
      </c>
      <c r="M34" s="1" t="inlineStr">
        <is>
          <t>yes</t>
        </is>
      </c>
      <c r="N34" s="1" t="inlineStr">
        <is>
          <t>vtdr</t>
        </is>
      </c>
      <c r="O34" s="1" t="inlineStr">
        <is>
          <t>yes</t>
        </is>
      </c>
      <c r="P34" s="1" t="inlineStr">
        <is>
          <t>mixed</t>
        </is>
      </c>
      <c r="Q34" s="1" t="inlineStr">
        <is>
          <t>desktop</t>
        </is>
      </c>
      <c r="R34" s="84" t="inlineStr">
        <is>
          <t>multiple</t>
        </is>
      </c>
      <c r="S34" s="84" t="inlineStr">
        <is>
          <t>thai_national</t>
        </is>
      </c>
      <c r="T34" s="1" t="inlineStr">
        <is>
          <t>icdr</t>
        </is>
      </c>
      <c r="U34" s="84" t="inlineStr">
        <is>
          <t>PP</t>
        </is>
      </c>
      <c r="V34" s="1" t="inlineStr">
        <is>
          <t>expert panel</t>
        </is>
      </c>
      <c r="W34" s="1" t="inlineStr">
        <is>
          <t>yes</t>
        </is>
      </c>
      <c r="X34" s="1" t="inlineStr">
        <is>
          <t>fundus</t>
        </is>
      </c>
      <c r="Y34" s="1" t="inlineStr">
        <is>
          <t>1</t>
        </is>
      </c>
      <c r="Z34" s="69" t="inlineStr">
        <is>
          <t>yes</t>
        </is>
      </c>
      <c r="AA34" s="1" t="inlineStr">
        <is>
          <t>no</t>
        </is>
      </c>
      <c r="AB34" s="1" t="inlineStr">
        <is>
          <t>no</t>
        </is>
      </c>
      <c r="AC34" s="84" t="inlineStr">
        <is>
          <t>NR</t>
        </is>
      </c>
      <c r="AD34" s="1" t="inlineStr">
        <is>
          <t>Inception</t>
        </is>
      </c>
      <c r="AE34" s="1" t="inlineStr">
        <is>
          <t>asia</t>
        </is>
      </c>
      <c r="AF34" s="71" t="inlineStr">
        <is>
          <t>high</t>
        </is>
      </c>
      <c r="AG34" s="71" t="inlineStr">
        <is>
          <t>high</t>
        </is>
      </c>
      <c r="AH34" s="1" t="n">
        <v>4148</v>
      </c>
      <c r="AI34" s="1" t="n">
        <v>0.051</v>
      </c>
      <c r="AJ34" s="1" t="n">
        <v>211</v>
      </c>
      <c r="AK34" s="1" t="n">
        <v>3937</v>
      </c>
      <c r="AL34" s="1" t="n">
        <v>0.9</v>
      </c>
      <c r="AM34" s="1" t="n">
        <v>0.979</v>
      </c>
      <c r="AN34" s="1" t="n">
        <v>190</v>
      </c>
      <c r="AO34" s="1" t="n">
        <v>21</v>
      </c>
      <c r="AP34" s="1" t="n">
        <v>3853</v>
      </c>
      <c r="AQ34" s="1" t="n">
        <v>84</v>
      </c>
    </row>
    <row r="35" ht="16" customHeight="1" s="55">
      <c r="A35" s="2" t="inlineStr">
        <is>
          <t>Limwattanayingyong et al. 2020</t>
        </is>
      </c>
      <c r="B35" s="1" t="inlineStr">
        <is>
          <t>Reader</t>
        </is>
      </c>
      <c r="C35" s="1" t="inlineStr">
        <is>
          <t>Trained human graders (regional HG; follow-up cohort)</t>
        </is>
      </c>
      <c r="D35" s="84" t="inlineStr">
        <is>
          <t>trainedgrader</t>
        </is>
      </c>
      <c r="E35" s="84" t="inlineStr">
        <is>
          <t>human_only</t>
        </is>
      </c>
      <c r="F35" s="1" t="inlineStr">
        <is>
          <t>original</t>
        </is>
      </c>
      <c r="G35" s="1" t="inlineStr">
        <is>
          <t>retrospective</t>
        </is>
      </c>
      <c r="H35" s="84" t="inlineStr">
        <is>
          <t>cohort</t>
        </is>
      </c>
      <c r="I35" s="84" t="inlineStr">
        <is>
          <t>yes</t>
        </is>
      </c>
      <c r="J35" s="84" t="inlineStr">
        <is>
          <t>national screening programme</t>
        </is>
      </c>
      <c r="K35" s="1" t="inlineStr">
        <is>
          <t>high</t>
        </is>
      </c>
      <c r="L35" s="1" t="inlineStr">
        <is>
          <t>primary</t>
        </is>
      </c>
      <c r="M35" s="1" t="inlineStr">
        <is>
          <t>yes</t>
        </is>
      </c>
      <c r="N35" s="1" t="inlineStr">
        <is>
          <t>vtdr</t>
        </is>
      </c>
      <c r="O35" s="1" t="inlineStr">
        <is>
          <t>yes</t>
        </is>
      </c>
      <c r="P35" s="1" t="inlineStr">
        <is>
          <t>mixed</t>
        </is>
      </c>
      <c r="Q35" s="1" t="inlineStr">
        <is>
          <t>desktop</t>
        </is>
      </c>
      <c r="R35" s="84" t="inlineStr">
        <is>
          <t>multiple</t>
        </is>
      </c>
      <c r="S35" s="84" t="inlineStr">
        <is>
          <t>thai_national</t>
        </is>
      </c>
      <c r="T35" s="1" t="inlineStr">
        <is>
          <t>icdr</t>
        </is>
      </c>
      <c r="U35" s="84" t="inlineStr">
        <is>
          <t>PP</t>
        </is>
      </c>
      <c r="V35" s="1" t="inlineStr">
        <is>
          <t>expert panel</t>
        </is>
      </c>
      <c r="W35" s="1" t="inlineStr">
        <is>
          <t>yes</t>
        </is>
      </c>
      <c r="X35" s="1" t="inlineStr">
        <is>
          <t>fundus</t>
        </is>
      </c>
      <c r="Y35" s="1" t="inlineStr">
        <is>
          <t>1</t>
        </is>
      </c>
      <c r="Z35" s="69" t="inlineStr">
        <is>
          <t>yes</t>
        </is>
      </c>
      <c r="AA35" s="1" t="inlineStr">
        <is>
          <t>no</t>
        </is>
      </c>
      <c r="AB35" s="1" t="inlineStr">
        <is>
          <t>no</t>
        </is>
      </c>
      <c r="AC35" s="84" t="inlineStr">
        <is>
          <t>NR</t>
        </is>
      </c>
      <c r="AD35" s="1" t="inlineStr">
        <is>
          <t>NR</t>
        </is>
      </c>
      <c r="AE35" s="1" t="inlineStr">
        <is>
          <t>asia</t>
        </is>
      </c>
      <c r="AF35" s="71" t="inlineStr">
        <is>
          <t>high</t>
        </is>
      </c>
      <c r="AG35" s="71" t="inlineStr">
        <is>
          <t>high</t>
        </is>
      </c>
      <c r="AH35" s="1" t="n">
        <v>4263</v>
      </c>
      <c r="AI35" s="1" t="n">
        <v>0.068</v>
      </c>
      <c r="AJ35" s="1" t="n">
        <v>289</v>
      </c>
      <c r="AK35" s="1" t="n">
        <v>3974</v>
      </c>
      <c r="AL35" s="1" t="n">
        <v>0.571</v>
      </c>
      <c r="AM35" s="1" t="n">
        <v>0.985</v>
      </c>
      <c r="AN35" s="1" t="n">
        <v>165</v>
      </c>
      <c r="AO35" s="1" t="n">
        <v>124</v>
      </c>
      <c r="AP35" s="1" t="n">
        <v>3915</v>
      </c>
      <c r="AQ35" s="1" t="n">
        <v>59</v>
      </c>
    </row>
    <row r="36" ht="16" customHeight="1" s="55">
      <c r="A36" s="2" t="inlineStr">
        <is>
          <t>Pinto et al. 2025</t>
        </is>
      </c>
      <c r="B36" s="1" t="inlineStr">
        <is>
          <t>Reader</t>
        </is>
      </c>
      <c r="C36" s="1" t="inlineStr">
        <is>
          <t>First-level GPs (Task 1 subset; patient-level decisions)</t>
        </is>
      </c>
      <c r="D36" s="84" t="inlineStr">
        <is>
          <t>physician</t>
        </is>
      </c>
      <c r="E36" s="84" t="inlineStr">
        <is>
          <t>human_only</t>
        </is>
      </c>
      <c r="F36" s="1" t="inlineStr">
        <is>
          <t>original</t>
        </is>
      </c>
      <c r="G36" s="1" t="inlineStr">
        <is>
          <t>retrospective</t>
        </is>
      </c>
      <c r="H36" s="84" t="inlineStr">
        <is>
          <t>cohort</t>
        </is>
      </c>
      <c r="I36" s="84" t="inlineStr">
        <is>
          <t>no</t>
        </is>
      </c>
      <c r="J36" s="84" t="inlineStr">
        <is>
          <t>tele-screening programme</t>
        </is>
      </c>
      <c r="K36" s="1" t="inlineStr">
        <is>
          <t>high</t>
        </is>
      </c>
      <c r="L36" s="1" t="inlineStr">
        <is>
          <t>primary</t>
        </is>
      </c>
      <c r="M36" s="1" t="inlineStr">
        <is>
          <t>yes</t>
        </is>
      </c>
      <c r="N36" s="1" t="inlineStr">
        <is>
          <t>rdr</t>
        </is>
      </c>
      <c r="O36" s="1" t="inlineStr">
        <is>
          <t>no</t>
        </is>
      </c>
      <c r="P36" s="1" t="inlineStr">
        <is>
          <t>non-mydriatic</t>
        </is>
      </c>
      <c r="Q36" s="1" t="inlineStr">
        <is>
          <t>desktop</t>
        </is>
      </c>
      <c r="R36" s="84" t="inlineStr">
        <is>
          <t>NR</t>
        </is>
      </c>
      <c r="S36" s="84" t="inlineStr">
        <is>
          <t>pinto_2025</t>
        </is>
      </c>
      <c r="T36" s="1" t="inlineStr">
        <is>
          <t>icdr</t>
        </is>
      </c>
      <c r="U36" s="84" t="inlineStr">
        <is>
          <t>ITT</t>
        </is>
      </c>
      <c r="V36" s="1" t="inlineStr">
        <is>
          <t>expert panel</t>
        </is>
      </c>
      <c r="W36" s="71" t="inlineStr">
        <is>
          <t>no</t>
        </is>
      </c>
      <c r="X36" s="1" t="inlineStr">
        <is>
          <t>fundus</t>
        </is>
      </c>
      <c r="Y36" s="1" t="inlineStr">
        <is>
          <t>2</t>
        </is>
      </c>
      <c r="Z36" s="69" t="inlineStr">
        <is>
          <t>no</t>
        </is>
      </c>
      <c r="AA36" s="1" t="inlineStr">
        <is>
          <t>no</t>
        </is>
      </c>
      <c r="AB36" s="1" t="inlineStr">
        <is>
          <t>no</t>
        </is>
      </c>
      <c r="AC36" s="84" t="inlineStr">
        <is>
          <t>no</t>
        </is>
      </c>
      <c r="AD36" s="1" t="inlineStr">
        <is>
          <t>NR</t>
        </is>
      </c>
      <c r="AE36" s="1" t="inlineStr">
        <is>
          <t>europe</t>
        </is>
      </c>
      <c r="AF36" s="75" t="inlineStr">
        <is>
          <t>high</t>
        </is>
      </c>
      <c r="AG36" s="75" t="inlineStr">
        <is>
          <t>high</t>
        </is>
      </c>
      <c r="AH36" s="1" t="n">
        <v>122</v>
      </c>
      <c r="AI36" s="1" t="n">
        <v>0.246</v>
      </c>
      <c r="AJ36" s="1" t="n">
        <v>30</v>
      </c>
      <c r="AK36" s="1" t="n">
        <v>92</v>
      </c>
      <c r="AL36" s="1" t="n">
        <v>0.432</v>
      </c>
      <c r="AM36" s="1" t="n">
        <v>0.944</v>
      </c>
      <c r="AN36" s="1" t="n">
        <v>13</v>
      </c>
      <c r="AO36" s="1" t="n">
        <v>17</v>
      </c>
      <c r="AP36" s="1" t="n">
        <v>87</v>
      </c>
      <c r="AQ36" s="1" t="n">
        <v>5</v>
      </c>
    </row>
    <row r="37" ht="16" customHeight="1" s="55">
      <c r="A37" s="2" t="inlineStr">
        <is>
          <t>Pinto et al. 2025</t>
        </is>
      </c>
      <c r="B37" s="1" t="inlineStr">
        <is>
          <t>DL</t>
        </is>
      </c>
      <c r="C37" s="1" t="inlineStr">
        <is>
          <t>NaIA-RD (Task 1 subset; patient-level decisions)</t>
        </is>
      </c>
      <c r="D37" s="84" t="inlineStr">
        <is>
          <t>NR</t>
        </is>
      </c>
      <c r="E37" s="84" t="inlineStr">
        <is>
          <t>ai_only</t>
        </is>
      </c>
      <c r="F37" s="1" t="inlineStr">
        <is>
          <t>original</t>
        </is>
      </c>
      <c r="G37" s="1" t="inlineStr">
        <is>
          <t>retrospective</t>
        </is>
      </c>
      <c r="H37" s="84" t="inlineStr">
        <is>
          <t>cohort</t>
        </is>
      </c>
      <c r="I37" s="84" t="inlineStr">
        <is>
          <t>no</t>
        </is>
      </c>
      <c r="J37" s="84" t="inlineStr">
        <is>
          <t>tele-screening programme</t>
        </is>
      </c>
      <c r="K37" s="1" t="inlineStr">
        <is>
          <t>high</t>
        </is>
      </c>
      <c r="L37" s="1" t="inlineStr">
        <is>
          <t>primary</t>
        </is>
      </c>
      <c r="M37" s="1" t="inlineStr">
        <is>
          <t>yes</t>
        </is>
      </c>
      <c r="N37" s="1" t="inlineStr">
        <is>
          <t>rdr</t>
        </is>
      </c>
      <c r="O37" s="1" t="inlineStr">
        <is>
          <t>no</t>
        </is>
      </c>
      <c r="P37" s="1" t="inlineStr">
        <is>
          <t>non-mydriatic</t>
        </is>
      </c>
      <c r="Q37" s="1" t="inlineStr">
        <is>
          <t>desktop</t>
        </is>
      </c>
      <c r="R37" s="84" t="inlineStr">
        <is>
          <t>NR</t>
        </is>
      </c>
      <c r="S37" s="84" t="inlineStr">
        <is>
          <t>pinto_2025</t>
        </is>
      </c>
      <c r="T37" s="1" t="inlineStr">
        <is>
          <t>icdr</t>
        </is>
      </c>
      <c r="U37" s="84" t="inlineStr">
        <is>
          <t>ITT</t>
        </is>
      </c>
      <c r="V37" s="1" t="inlineStr">
        <is>
          <t>expert panel</t>
        </is>
      </c>
      <c r="W37" s="71" t="inlineStr">
        <is>
          <t>no</t>
        </is>
      </c>
      <c r="X37" s="1" t="inlineStr">
        <is>
          <t>fundus</t>
        </is>
      </c>
      <c r="Y37" s="1" t="inlineStr">
        <is>
          <t>2</t>
        </is>
      </c>
      <c r="Z37" s="69" t="inlineStr">
        <is>
          <t>no</t>
        </is>
      </c>
      <c r="AA37" s="1" t="inlineStr">
        <is>
          <t>no</t>
        </is>
      </c>
      <c r="AB37" s="74" t="inlineStr">
        <is>
          <t>no</t>
        </is>
      </c>
      <c r="AC37" s="84" t="inlineStr">
        <is>
          <t>no</t>
        </is>
      </c>
      <c r="AD37" s="1" t="inlineStr">
        <is>
          <t>ResNet</t>
        </is>
      </c>
      <c r="AE37" s="1" t="inlineStr">
        <is>
          <t>europe</t>
        </is>
      </c>
      <c r="AF37" s="75" t="inlineStr">
        <is>
          <t>high</t>
        </is>
      </c>
      <c r="AG37" s="75" t="inlineStr">
        <is>
          <t>high</t>
        </is>
      </c>
      <c r="AH37" s="1" t="n">
        <v>122</v>
      </c>
      <c r="AI37" s="1" t="n">
        <v>0.246</v>
      </c>
      <c r="AJ37" s="1" t="n">
        <v>30</v>
      </c>
      <c r="AK37" s="1" t="n">
        <v>92</v>
      </c>
      <c r="AL37" s="1" t="n">
        <v>0.9360000000000001</v>
      </c>
      <c r="AM37" s="1" t="n">
        <v>0.913</v>
      </c>
      <c r="AN37" s="1" t="n">
        <v>28</v>
      </c>
      <c r="AO37" s="1" t="n">
        <v>2</v>
      </c>
      <c r="AP37" s="1" t="n">
        <v>84</v>
      </c>
      <c r="AQ37" s="1" t="n">
        <v>8</v>
      </c>
    </row>
    <row r="38" ht="16" customHeight="1" s="55">
      <c r="A38" s="2" t="inlineStr">
        <is>
          <t>van der Heijden et al. 2018</t>
        </is>
      </c>
      <c r="B38" s="1" t="inlineStr">
        <is>
          <t>DL</t>
        </is>
      </c>
      <c r="C38" s="1" t="inlineStr">
        <is>
          <t>IDx-DR 2.0 — EURODIAB RDR</t>
        </is>
      </c>
      <c r="D38" s="84" t="inlineStr">
        <is>
          <t>NR</t>
        </is>
      </c>
      <c r="E38" s="84" t="inlineStr">
        <is>
          <t>ai_only</t>
        </is>
      </c>
      <c r="F38" s="1" t="inlineStr">
        <is>
          <t>original</t>
        </is>
      </c>
      <c r="G38" s="1" t="inlineStr">
        <is>
          <t>prospective</t>
        </is>
      </c>
      <c r="H38" s="84" t="inlineStr">
        <is>
          <t>cross-sectional</t>
        </is>
      </c>
      <c r="I38" s="84" t="inlineStr">
        <is>
          <t>no</t>
        </is>
      </c>
      <c r="J38" s="84" t="inlineStr">
        <is>
          <t>primary care</t>
        </is>
      </c>
      <c r="K38" s="1" t="inlineStr">
        <is>
          <t>high</t>
        </is>
      </c>
      <c r="L38" s="1" t="inlineStr">
        <is>
          <t>primary</t>
        </is>
      </c>
      <c r="M38" s="1" t="inlineStr">
        <is>
          <t>no</t>
        </is>
      </c>
      <c r="N38" s="1" t="inlineStr">
        <is>
          <t>rdr</t>
        </is>
      </c>
      <c r="O38" s="1" t="inlineStr">
        <is>
          <t>no</t>
        </is>
      </c>
      <c r="P38" s="1" t="inlineStr">
        <is>
          <t>non-mydriatic</t>
        </is>
      </c>
      <c r="Q38" s="1" t="inlineStr">
        <is>
          <t>desktop</t>
        </is>
      </c>
      <c r="R38" s="84" t="inlineStr">
        <is>
          <t>single</t>
        </is>
      </c>
      <c r="S38" s="84" t="inlineStr">
        <is>
          <t>vanderheijden_2018</t>
        </is>
      </c>
      <c r="T38" s="1" t="inlineStr">
        <is>
          <t>multiple</t>
        </is>
      </c>
      <c r="U38" s="84" t="inlineStr">
        <is>
          <t>hybrid</t>
        </is>
      </c>
      <c r="V38" s="1" t="inlineStr">
        <is>
          <t>expert panel</t>
        </is>
      </c>
      <c r="W38" s="1" t="inlineStr">
        <is>
          <t>yes</t>
        </is>
      </c>
      <c r="X38" s="1" t="inlineStr">
        <is>
          <t>fundus</t>
        </is>
      </c>
      <c r="Y38" s="1" t="inlineStr">
        <is>
          <t>2</t>
        </is>
      </c>
      <c r="Z38" s="69" t="inlineStr">
        <is>
          <t>yes</t>
        </is>
      </c>
      <c r="AA38" s="1" t="inlineStr">
        <is>
          <t>yes</t>
        </is>
      </c>
      <c r="AB38" s="1" t="inlineStr">
        <is>
          <t>yes</t>
        </is>
      </c>
      <c r="AC38" s="84" t="inlineStr">
        <is>
          <t>yes</t>
        </is>
      </c>
      <c r="AD38" s="1" t="inlineStr">
        <is>
          <t>proprietary</t>
        </is>
      </c>
      <c r="AE38" s="1" t="inlineStr">
        <is>
          <t>europe</t>
        </is>
      </c>
      <c r="AF38" s="71" t="inlineStr">
        <is>
          <t>high</t>
        </is>
      </c>
      <c r="AG38" s="71" t="inlineStr">
        <is>
          <t>high</t>
        </is>
      </c>
      <c r="AH38" s="1" t="n">
        <v>898</v>
      </c>
      <c r="AI38" s="1" t="n">
        <v>0.025</v>
      </c>
      <c r="AJ38" s="1" t="n">
        <v>22</v>
      </c>
      <c r="AK38" s="1" t="n">
        <v>876</v>
      </c>
      <c r="AL38" s="1" t="n">
        <v>0.909</v>
      </c>
      <c r="AM38" s="1" t="n">
        <v>0.836</v>
      </c>
      <c r="AN38" s="1" t="n">
        <v>20</v>
      </c>
      <c r="AO38" s="1" t="n">
        <v>2</v>
      </c>
      <c r="AP38" s="1" t="n">
        <v>732</v>
      </c>
      <c r="AQ38" s="1" t="n">
        <v>144</v>
      </c>
    </row>
    <row r="39" ht="16" customHeight="1" s="55">
      <c r="A39" s="2" t="inlineStr">
        <is>
          <t>van der Heijden et al. 2018</t>
        </is>
      </c>
      <c r="B39" s="1" t="inlineStr">
        <is>
          <t>DL</t>
        </is>
      </c>
      <c r="C39" s="1" t="inlineStr">
        <is>
          <t>IDx-DR 2.0 — ICDR RDR</t>
        </is>
      </c>
      <c r="D39" s="84" t="inlineStr">
        <is>
          <t>NR</t>
        </is>
      </c>
      <c r="E39" s="84" t="inlineStr">
        <is>
          <t>ai_only</t>
        </is>
      </c>
      <c r="F39" s="1" t="inlineStr">
        <is>
          <t>original</t>
        </is>
      </c>
      <c r="G39" s="1" t="inlineStr">
        <is>
          <t>prospective</t>
        </is>
      </c>
      <c r="H39" s="84" t="inlineStr">
        <is>
          <t>cross-sectional</t>
        </is>
      </c>
      <c r="I39" s="84" t="inlineStr">
        <is>
          <t>no</t>
        </is>
      </c>
      <c r="J39" s="84" t="inlineStr">
        <is>
          <t>primary care</t>
        </is>
      </c>
      <c r="K39" s="1" t="inlineStr">
        <is>
          <t>high</t>
        </is>
      </c>
      <c r="L39" s="1" t="inlineStr">
        <is>
          <t>primary</t>
        </is>
      </c>
      <c r="M39" s="1" t="inlineStr">
        <is>
          <t>no</t>
        </is>
      </c>
      <c r="N39" s="1" t="inlineStr">
        <is>
          <t>rdr</t>
        </is>
      </c>
      <c r="O39" s="1" t="inlineStr">
        <is>
          <t>no</t>
        </is>
      </c>
      <c r="P39" s="1" t="inlineStr">
        <is>
          <t>non-mydriatic</t>
        </is>
      </c>
      <c r="Q39" s="1" t="inlineStr">
        <is>
          <t>desktop</t>
        </is>
      </c>
      <c r="R39" s="84" t="inlineStr">
        <is>
          <t>single</t>
        </is>
      </c>
      <c r="S39" s="84" t="inlineStr">
        <is>
          <t>vanderheijden_2018</t>
        </is>
      </c>
      <c r="T39" s="1" t="inlineStr">
        <is>
          <t>multiple</t>
        </is>
      </c>
      <c r="U39" s="84" t="inlineStr">
        <is>
          <t>hybrid</t>
        </is>
      </c>
      <c r="V39" s="1" t="inlineStr">
        <is>
          <t>expert panel</t>
        </is>
      </c>
      <c r="W39" s="1" t="inlineStr">
        <is>
          <t>yes</t>
        </is>
      </c>
      <c r="X39" s="1" t="inlineStr">
        <is>
          <t>fundus</t>
        </is>
      </c>
      <c r="Y39" s="1" t="inlineStr">
        <is>
          <t>2</t>
        </is>
      </c>
      <c r="Z39" s="69" t="inlineStr">
        <is>
          <t>yes</t>
        </is>
      </c>
      <c r="AA39" s="1" t="inlineStr">
        <is>
          <t>yes</t>
        </is>
      </c>
      <c r="AB39" s="1" t="inlineStr">
        <is>
          <t>yes</t>
        </is>
      </c>
      <c r="AC39" s="84" t="inlineStr">
        <is>
          <t>yes</t>
        </is>
      </c>
      <c r="AD39" s="1" t="inlineStr">
        <is>
          <t>proprietary</t>
        </is>
      </c>
      <c r="AE39" s="1" t="inlineStr">
        <is>
          <t>europe</t>
        </is>
      </c>
      <c r="AF39" s="71" t="inlineStr">
        <is>
          <t>high</t>
        </is>
      </c>
      <c r="AG39" s="71" t="inlineStr">
        <is>
          <t>high</t>
        </is>
      </c>
      <c r="AH39" s="1" t="n">
        <v>898</v>
      </c>
      <c r="AI39" s="1" t="n">
        <v>0.081</v>
      </c>
      <c r="AJ39" s="1" t="n">
        <v>73</v>
      </c>
      <c r="AK39" s="1" t="n">
        <v>825</v>
      </c>
      <c r="AL39" s="1" t="n">
        <v>0.6850000000000001</v>
      </c>
      <c r="AM39" s="1" t="n">
        <v>0.862</v>
      </c>
      <c r="AN39" s="1" t="n">
        <v>50</v>
      </c>
      <c r="AO39" s="1" t="n">
        <v>23</v>
      </c>
      <c r="AP39" s="1" t="n">
        <v>711</v>
      </c>
      <c r="AQ39" s="1" t="n">
        <v>114</v>
      </c>
    </row>
    <row r="40" ht="16" customHeight="1" s="55">
      <c r="A40" s="2" t="inlineStr">
        <is>
          <t>van der Heijden et al. 2018</t>
        </is>
      </c>
      <c r="B40" s="1" t="inlineStr">
        <is>
          <t>DL</t>
        </is>
      </c>
      <c r="C40" s="1" t="inlineStr">
        <is>
          <t>IDx-DR 2.0 — EURODIAB VTDR</t>
        </is>
      </c>
      <c r="D40" s="84" t="inlineStr">
        <is>
          <t>NR</t>
        </is>
      </c>
      <c r="E40" s="84" t="inlineStr">
        <is>
          <t>ai_only</t>
        </is>
      </c>
      <c r="F40" s="1" t="inlineStr">
        <is>
          <t>original</t>
        </is>
      </c>
      <c r="G40" s="1" t="inlineStr">
        <is>
          <t>prospective</t>
        </is>
      </c>
      <c r="H40" s="84" t="inlineStr">
        <is>
          <t>cross-sectional</t>
        </is>
      </c>
      <c r="I40" s="84" t="inlineStr">
        <is>
          <t>no</t>
        </is>
      </c>
      <c r="J40" s="84" t="inlineStr">
        <is>
          <t>primary care</t>
        </is>
      </c>
      <c r="K40" s="1" t="inlineStr">
        <is>
          <t>high</t>
        </is>
      </c>
      <c r="L40" s="1" t="inlineStr">
        <is>
          <t>primary</t>
        </is>
      </c>
      <c r="M40" s="1" t="inlineStr">
        <is>
          <t>no</t>
        </is>
      </c>
      <c r="N40" s="1" t="inlineStr">
        <is>
          <t>vtdr</t>
        </is>
      </c>
      <c r="O40" s="1" t="inlineStr">
        <is>
          <t>no</t>
        </is>
      </c>
      <c r="P40" s="1" t="inlineStr">
        <is>
          <t>non-mydriatic</t>
        </is>
      </c>
      <c r="Q40" s="1" t="inlineStr">
        <is>
          <t>desktop</t>
        </is>
      </c>
      <c r="R40" s="84" t="inlineStr">
        <is>
          <t>single</t>
        </is>
      </c>
      <c r="S40" s="84" t="inlineStr">
        <is>
          <t>vanderheijden_2018</t>
        </is>
      </c>
      <c r="T40" s="1" t="inlineStr">
        <is>
          <t>multiple</t>
        </is>
      </c>
      <c r="U40" s="84" t="inlineStr">
        <is>
          <t>hybrid</t>
        </is>
      </c>
      <c r="V40" s="1" t="inlineStr">
        <is>
          <t>expert panel</t>
        </is>
      </c>
      <c r="W40" s="1" t="inlineStr">
        <is>
          <t>yes</t>
        </is>
      </c>
      <c r="X40" s="1" t="inlineStr">
        <is>
          <t>fundus</t>
        </is>
      </c>
      <c r="Y40" s="1" t="inlineStr">
        <is>
          <t>2</t>
        </is>
      </c>
      <c r="Z40" s="69" t="inlineStr">
        <is>
          <t>yes</t>
        </is>
      </c>
      <c r="AA40" s="1" t="inlineStr">
        <is>
          <t>yes</t>
        </is>
      </c>
      <c r="AB40" s="1" t="inlineStr">
        <is>
          <t>yes</t>
        </is>
      </c>
      <c r="AC40" s="84" t="inlineStr">
        <is>
          <t>yes</t>
        </is>
      </c>
      <c r="AD40" s="1" t="inlineStr">
        <is>
          <t>proprietary</t>
        </is>
      </c>
      <c r="AE40" s="1" t="inlineStr">
        <is>
          <t>europe</t>
        </is>
      </c>
      <c r="AF40" s="71" t="inlineStr">
        <is>
          <t>high</t>
        </is>
      </c>
      <c r="AG40" s="71" t="inlineStr">
        <is>
          <t>high</t>
        </is>
      </c>
      <c r="AH40" s="1" t="n">
        <v>898</v>
      </c>
      <c r="AI40" s="1" t="n">
        <v>0.016</v>
      </c>
      <c r="AJ40" s="1" t="n">
        <v>14</v>
      </c>
      <c r="AK40" s="1" t="n">
        <v>884</v>
      </c>
      <c r="AL40" s="1" t="n">
        <v>0.643</v>
      </c>
      <c r="AM40" s="1" t="n">
        <v>0.947</v>
      </c>
      <c r="AN40" s="1" t="n">
        <v>9</v>
      </c>
      <c r="AO40" s="1" t="n">
        <v>5</v>
      </c>
      <c r="AP40" s="1" t="n">
        <v>837</v>
      </c>
      <c r="AQ40" s="1" t="n">
        <v>47</v>
      </c>
    </row>
    <row r="41" ht="16" customHeight="1" s="55">
      <c r="A41" s="2" t="inlineStr">
        <is>
          <t>van der Heijden et al. 2018</t>
        </is>
      </c>
      <c r="B41" s="1" t="inlineStr">
        <is>
          <t>DL</t>
        </is>
      </c>
      <c r="C41" s="1" t="inlineStr">
        <is>
          <t>IDx-DR 2.0 — ICDR VTDR</t>
        </is>
      </c>
      <c r="D41" s="84" t="inlineStr">
        <is>
          <t>NR</t>
        </is>
      </c>
      <c r="E41" s="84" t="inlineStr">
        <is>
          <t>ai_only</t>
        </is>
      </c>
      <c r="F41" s="1" t="inlineStr">
        <is>
          <t>original</t>
        </is>
      </c>
      <c r="G41" s="1" t="inlineStr">
        <is>
          <t>prospective</t>
        </is>
      </c>
      <c r="H41" s="84" t="inlineStr">
        <is>
          <t>cross-sectional</t>
        </is>
      </c>
      <c r="I41" s="84" t="inlineStr">
        <is>
          <t>no</t>
        </is>
      </c>
      <c r="J41" s="84" t="inlineStr">
        <is>
          <t>primary care</t>
        </is>
      </c>
      <c r="K41" s="1" t="inlineStr">
        <is>
          <t>high</t>
        </is>
      </c>
      <c r="L41" s="1" t="inlineStr">
        <is>
          <t>primary</t>
        </is>
      </c>
      <c r="M41" s="1" t="inlineStr">
        <is>
          <t>no</t>
        </is>
      </c>
      <c r="N41" s="1" t="inlineStr">
        <is>
          <t>vtdr</t>
        </is>
      </c>
      <c r="O41" s="1" t="inlineStr">
        <is>
          <t>no</t>
        </is>
      </c>
      <c r="P41" s="1" t="inlineStr">
        <is>
          <t>non-mydriatic</t>
        </is>
      </c>
      <c r="Q41" s="1" t="inlineStr">
        <is>
          <t>desktop</t>
        </is>
      </c>
      <c r="R41" s="84" t="inlineStr">
        <is>
          <t>single</t>
        </is>
      </c>
      <c r="S41" s="84" t="inlineStr">
        <is>
          <t>vanderheijden_2018</t>
        </is>
      </c>
      <c r="T41" s="1" t="inlineStr">
        <is>
          <t>multiple</t>
        </is>
      </c>
      <c r="U41" s="84" t="inlineStr">
        <is>
          <t>hybrid</t>
        </is>
      </c>
      <c r="V41" s="1" t="inlineStr">
        <is>
          <t>expert panel</t>
        </is>
      </c>
      <c r="W41" s="1" t="inlineStr">
        <is>
          <t>yes</t>
        </is>
      </c>
      <c r="X41" s="1" t="inlineStr">
        <is>
          <t>fundus</t>
        </is>
      </c>
      <c r="Y41" s="1" t="inlineStr">
        <is>
          <t>2</t>
        </is>
      </c>
      <c r="Z41" s="69" t="inlineStr">
        <is>
          <t>yes</t>
        </is>
      </c>
      <c r="AA41" s="1" t="inlineStr">
        <is>
          <t>yes</t>
        </is>
      </c>
      <c r="AB41" s="1" t="inlineStr">
        <is>
          <t>yes</t>
        </is>
      </c>
      <c r="AC41" s="84" t="inlineStr">
        <is>
          <t>yes</t>
        </is>
      </c>
      <c r="AD41" s="1" t="inlineStr">
        <is>
          <t>proprietary</t>
        </is>
      </c>
      <c r="AE41" s="1" t="inlineStr">
        <is>
          <t>europe</t>
        </is>
      </c>
      <c r="AF41" s="71" t="inlineStr">
        <is>
          <t>high</t>
        </is>
      </c>
      <c r="AG41" s="71" t="inlineStr">
        <is>
          <t>high</t>
        </is>
      </c>
      <c r="AH41" s="1" t="n">
        <v>898</v>
      </c>
      <c r="AI41" s="1" t="n">
        <v>0.015</v>
      </c>
      <c r="AJ41" s="1" t="n">
        <v>13</v>
      </c>
      <c r="AK41" s="1" t="n">
        <v>885</v>
      </c>
      <c r="AL41" s="1" t="n">
        <v>0.615</v>
      </c>
      <c r="AM41" s="1" t="n">
        <v>0.946</v>
      </c>
      <c r="AN41" s="1" t="n">
        <v>8</v>
      </c>
      <c r="AO41" s="1" t="n">
        <v>5</v>
      </c>
      <c r="AP41" s="1" t="n">
        <v>837</v>
      </c>
      <c r="AQ41" s="1" t="n">
        <v>48</v>
      </c>
    </row>
    <row r="42" ht="16" customHeight="1" s="55">
      <c r="A42" s="2" t="inlineStr">
        <is>
          <t>van der Heijden et al. 2018</t>
        </is>
      </c>
      <c r="B42" s="1" t="inlineStr">
        <is>
          <t>Reader</t>
        </is>
      </c>
      <c r="C42" s="1" t="inlineStr">
        <is>
          <t>Expert 1 — EURODIAB RDR (reconstructed)</t>
        </is>
      </c>
      <c r="D42" s="84" t="inlineStr">
        <is>
          <t>retinaspecialist</t>
        </is>
      </c>
      <c r="E42" s="84" t="inlineStr">
        <is>
          <t>human_only</t>
        </is>
      </c>
      <c r="F42" s="1" t="inlineStr">
        <is>
          <t>original</t>
        </is>
      </c>
      <c r="G42" s="1" t="inlineStr">
        <is>
          <t>prospective</t>
        </is>
      </c>
      <c r="H42" s="84" t="inlineStr">
        <is>
          <t>cross-sectional</t>
        </is>
      </c>
      <c r="I42" s="84" t="inlineStr">
        <is>
          <t>no</t>
        </is>
      </c>
      <c r="J42" s="84" t="inlineStr">
        <is>
          <t>primary care</t>
        </is>
      </c>
      <c r="K42" s="1" t="inlineStr">
        <is>
          <t>high</t>
        </is>
      </c>
      <c r="L42" s="1" t="inlineStr">
        <is>
          <t>primary</t>
        </is>
      </c>
      <c r="M42" s="1" t="inlineStr">
        <is>
          <t>no</t>
        </is>
      </c>
      <c r="N42" s="1" t="inlineStr">
        <is>
          <t>rdr</t>
        </is>
      </c>
      <c r="O42" s="1" t="inlineStr">
        <is>
          <t>no</t>
        </is>
      </c>
      <c r="P42" s="1" t="inlineStr">
        <is>
          <t>non-mydriatic</t>
        </is>
      </c>
      <c r="Q42" s="1" t="inlineStr">
        <is>
          <t>desktop</t>
        </is>
      </c>
      <c r="R42" s="84" t="inlineStr">
        <is>
          <t>single</t>
        </is>
      </c>
      <c r="S42" s="84" t="inlineStr">
        <is>
          <t>vanderheijden_2018</t>
        </is>
      </c>
      <c r="T42" s="1" t="inlineStr">
        <is>
          <t>multiple</t>
        </is>
      </c>
      <c r="U42" s="84" t="inlineStr">
        <is>
          <t>hybrid</t>
        </is>
      </c>
      <c r="V42" s="1" t="inlineStr">
        <is>
          <t>expert panel</t>
        </is>
      </c>
      <c r="W42" s="1" t="inlineStr">
        <is>
          <t>yes</t>
        </is>
      </c>
      <c r="X42" s="1" t="inlineStr">
        <is>
          <t>fundus</t>
        </is>
      </c>
      <c r="Y42" s="1" t="inlineStr">
        <is>
          <t>2</t>
        </is>
      </c>
      <c r="Z42" s="69" t="inlineStr">
        <is>
          <t>yes</t>
        </is>
      </c>
      <c r="AA42" s="1" t="inlineStr">
        <is>
          <t>yes</t>
        </is>
      </c>
      <c r="AB42" s="1" t="inlineStr">
        <is>
          <t>yes</t>
        </is>
      </c>
      <c r="AC42" s="84" t="inlineStr">
        <is>
          <t>yes</t>
        </is>
      </c>
      <c r="AD42" s="1" t="inlineStr">
        <is>
          <t>proprietary</t>
        </is>
      </c>
      <c r="AE42" s="1" t="inlineStr">
        <is>
          <t>europe</t>
        </is>
      </c>
      <c r="AF42" s="71" t="inlineStr">
        <is>
          <t>high</t>
        </is>
      </c>
      <c r="AG42" s="71" t="inlineStr">
        <is>
          <t>high</t>
        </is>
      </c>
      <c r="AH42" s="1" t="n">
        <v>898</v>
      </c>
      <c r="AI42" s="1" t="n">
        <v>0.025</v>
      </c>
      <c r="AJ42" s="1" t="n">
        <v>22</v>
      </c>
      <c r="AK42" s="1" t="n">
        <v>876</v>
      </c>
      <c r="AL42" s="1" t="n">
        <v>0.86</v>
      </c>
      <c r="AM42" s="1" t="n">
        <v>0.99</v>
      </c>
      <c r="AN42" s="1" t="n">
        <v>19</v>
      </c>
      <c r="AO42" s="1" t="n">
        <v>3</v>
      </c>
      <c r="AP42" s="1" t="n">
        <v>867</v>
      </c>
      <c r="AQ42" s="1" t="n">
        <v>9</v>
      </c>
    </row>
    <row r="43" ht="16" customHeight="1" s="55">
      <c r="A43" s="2" t="inlineStr">
        <is>
          <t>van der Heijden et al. 2018</t>
        </is>
      </c>
      <c r="B43" s="1" t="inlineStr">
        <is>
          <t>Reader</t>
        </is>
      </c>
      <c r="C43" s="1" t="inlineStr">
        <is>
          <t>Expert 2 — EURODIAB RDR (reconstructed)</t>
        </is>
      </c>
      <c r="D43" s="84" t="inlineStr">
        <is>
          <t>retinaspecialist</t>
        </is>
      </c>
      <c r="E43" s="84" t="inlineStr">
        <is>
          <t>human_only</t>
        </is>
      </c>
      <c r="F43" s="1" t="inlineStr">
        <is>
          <t>original</t>
        </is>
      </c>
      <c r="G43" s="1" t="inlineStr">
        <is>
          <t>prospective</t>
        </is>
      </c>
      <c r="H43" s="84" t="inlineStr">
        <is>
          <t>cross-sectional</t>
        </is>
      </c>
      <c r="I43" s="84" t="inlineStr">
        <is>
          <t>no</t>
        </is>
      </c>
      <c r="J43" s="84" t="inlineStr">
        <is>
          <t>primary care</t>
        </is>
      </c>
      <c r="K43" s="1" t="inlineStr">
        <is>
          <t>high</t>
        </is>
      </c>
      <c r="L43" s="1" t="inlineStr">
        <is>
          <t>primary</t>
        </is>
      </c>
      <c r="M43" s="1" t="inlineStr">
        <is>
          <t>no</t>
        </is>
      </c>
      <c r="N43" s="1" t="inlineStr">
        <is>
          <t>rdr</t>
        </is>
      </c>
      <c r="O43" s="1" t="inlineStr">
        <is>
          <t>no</t>
        </is>
      </c>
      <c r="P43" s="1" t="inlineStr">
        <is>
          <t>non-mydriatic</t>
        </is>
      </c>
      <c r="Q43" s="1" t="inlineStr">
        <is>
          <t>desktop</t>
        </is>
      </c>
      <c r="R43" s="84" t="inlineStr">
        <is>
          <t>single</t>
        </is>
      </c>
      <c r="S43" s="84" t="inlineStr">
        <is>
          <t>vanderheijden_2018</t>
        </is>
      </c>
      <c r="T43" s="1" t="inlineStr">
        <is>
          <t>multiple</t>
        </is>
      </c>
      <c r="U43" s="84" t="inlineStr">
        <is>
          <t>hybrid</t>
        </is>
      </c>
      <c r="V43" s="1" t="inlineStr">
        <is>
          <t>expert panel</t>
        </is>
      </c>
      <c r="W43" s="1" t="inlineStr">
        <is>
          <t>yes</t>
        </is>
      </c>
      <c r="X43" s="1" t="inlineStr">
        <is>
          <t>fundus</t>
        </is>
      </c>
      <c r="Y43" s="1" t="inlineStr">
        <is>
          <t>2</t>
        </is>
      </c>
      <c r="Z43" s="69" t="inlineStr">
        <is>
          <t>yes</t>
        </is>
      </c>
      <c r="AA43" s="1" t="inlineStr">
        <is>
          <t>yes</t>
        </is>
      </c>
      <c r="AB43" s="1" t="inlineStr">
        <is>
          <t>yes</t>
        </is>
      </c>
      <c r="AC43" s="84" t="inlineStr">
        <is>
          <t>yes</t>
        </is>
      </c>
      <c r="AD43" s="1" t="inlineStr">
        <is>
          <t>proprietary</t>
        </is>
      </c>
      <c r="AE43" s="1" t="inlineStr">
        <is>
          <t>europe</t>
        </is>
      </c>
      <c r="AF43" s="71" t="inlineStr">
        <is>
          <t>high</t>
        </is>
      </c>
      <c r="AG43" s="71" t="inlineStr">
        <is>
          <t>high</t>
        </is>
      </c>
      <c r="AH43" s="1" t="n">
        <v>898</v>
      </c>
      <c r="AI43" s="1" t="n">
        <v>0.025</v>
      </c>
      <c r="AJ43" s="1" t="n">
        <v>22</v>
      </c>
      <c r="AK43" s="1" t="n">
        <v>876</v>
      </c>
      <c r="AL43" s="1" t="n">
        <v>0.59</v>
      </c>
      <c r="AM43" s="1" t="n">
        <v>0.99</v>
      </c>
      <c r="AN43" s="1" t="n">
        <v>13</v>
      </c>
      <c r="AO43" s="1" t="n">
        <v>9</v>
      </c>
      <c r="AP43" s="1" t="n">
        <v>867</v>
      </c>
      <c r="AQ43" s="1" t="n">
        <v>9</v>
      </c>
    </row>
    <row r="44" ht="16" customHeight="1" s="55">
      <c r="A44" s="2" t="inlineStr">
        <is>
          <t>van der Heijden et al. 2018</t>
        </is>
      </c>
      <c r="B44" s="1" t="inlineStr">
        <is>
          <t>Reader</t>
        </is>
      </c>
      <c r="C44" s="1" t="inlineStr">
        <is>
          <t>Expert 3 — EURODIAB RDR (reconstructed)</t>
        </is>
      </c>
      <c r="D44" s="84" t="inlineStr">
        <is>
          <t>retinaspecialist</t>
        </is>
      </c>
      <c r="E44" s="84" t="inlineStr">
        <is>
          <t>human_only</t>
        </is>
      </c>
      <c r="F44" s="1" t="inlineStr">
        <is>
          <t>original</t>
        </is>
      </c>
      <c r="G44" s="1" t="inlineStr">
        <is>
          <t>prospective</t>
        </is>
      </c>
      <c r="H44" s="84" t="inlineStr">
        <is>
          <t>cross-sectional</t>
        </is>
      </c>
      <c r="I44" s="84" t="inlineStr">
        <is>
          <t>no</t>
        </is>
      </c>
      <c r="J44" s="84" t="inlineStr">
        <is>
          <t>primary care</t>
        </is>
      </c>
      <c r="K44" s="1" t="inlineStr">
        <is>
          <t>high</t>
        </is>
      </c>
      <c r="L44" s="1" t="inlineStr">
        <is>
          <t>primary</t>
        </is>
      </c>
      <c r="M44" s="1" t="inlineStr">
        <is>
          <t>no</t>
        </is>
      </c>
      <c r="N44" s="1" t="inlineStr">
        <is>
          <t>rdr</t>
        </is>
      </c>
      <c r="O44" s="1" t="inlineStr">
        <is>
          <t>no</t>
        </is>
      </c>
      <c r="P44" s="1" t="inlineStr">
        <is>
          <t>non-mydriatic</t>
        </is>
      </c>
      <c r="Q44" s="1" t="inlineStr">
        <is>
          <t>desktop</t>
        </is>
      </c>
      <c r="R44" s="84" t="inlineStr">
        <is>
          <t>single</t>
        </is>
      </c>
      <c r="S44" s="84" t="inlineStr">
        <is>
          <t>vanderheijden_2018</t>
        </is>
      </c>
      <c r="T44" s="1" t="inlineStr">
        <is>
          <t>multiple</t>
        </is>
      </c>
      <c r="U44" s="84" t="inlineStr">
        <is>
          <t>hybrid</t>
        </is>
      </c>
      <c r="V44" s="1" t="inlineStr">
        <is>
          <t>expert panel</t>
        </is>
      </c>
      <c r="W44" s="1" t="inlineStr">
        <is>
          <t>yes</t>
        </is>
      </c>
      <c r="X44" s="1" t="inlineStr">
        <is>
          <t>fundus</t>
        </is>
      </c>
      <c r="Y44" s="1" t="inlineStr">
        <is>
          <t>2</t>
        </is>
      </c>
      <c r="Z44" s="69" t="inlineStr">
        <is>
          <t>yes</t>
        </is>
      </c>
      <c r="AA44" s="1" t="inlineStr">
        <is>
          <t>yes</t>
        </is>
      </c>
      <c r="AB44" s="1" t="inlineStr">
        <is>
          <t>yes</t>
        </is>
      </c>
      <c r="AC44" s="84" t="inlineStr">
        <is>
          <t>yes</t>
        </is>
      </c>
      <c r="AD44" s="1" t="inlineStr">
        <is>
          <t>proprietary</t>
        </is>
      </c>
      <c r="AE44" s="1" t="inlineStr">
        <is>
          <t>europe</t>
        </is>
      </c>
      <c r="AF44" s="71" t="inlineStr">
        <is>
          <t>high</t>
        </is>
      </c>
      <c r="AG44" s="71" t="inlineStr">
        <is>
          <t>high</t>
        </is>
      </c>
      <c r="AH44" s="1" t="n">
        <v>898</v>
      </c>
      <c r="AI44" s="1" t="n">
        <v>0.025</v>
      </c>
      <c r="AJ44" s="1" t="n">
        <v>22</v>
      </c>
      <c r="AK44" s="1" t="n">
        <v>876</v>
      </c>
      <c r="AL44" s="1" t="n">
        <v>0.86</v>
      </c>
      <c r="AM44" s="1" t="n">
        <v>0.99</v>
      </c>
      <c r="AN44" s="1" t="n">
        <v>19</v>
      </c>
      <c r="AO44" s="1" t="n">
        <v>3</v>
      </c>
      <c r="AP44" s="1" t="n">
        <v>867</v>
      </c>
      <c r="AQ44" s="1" t="n">
        <v>9</v>
      </c>
    </row>
    <row r="45" ht="16" customHeight="1" s="55">
      <c r="A45" s="2" t="inlineStr">
        <is>
          <t>van der Heijden et al. 2018</t>
        </is>
      </c>
      <c r="B45" s="1" t="inlineStr">
        <is>
          <t>Reader</t>
        </is>
      </c>
      <c r="C45" s="1" t="inlineStr">
        <is>
          <t>Expert 1 — EURODIAB VTDR (reconstructed)</t>
        </is>
      </c>
      <c r="D45" s="84" t="inlineStr">
        <is>
          <t>retinaspecialist</t>
        </is>
      </c>
      <c r="E45" s="84" t="inlineStr">
        <is>
          <t>human_only</t>
        </is>
      </c>
      <c r="F45" s="1" t="inlineStr">
        <is>
          <t>original</t>
        </is>
      </c>
      <c r="G45" s="1" t="inlineStr">
        <is>
          <t>prospective</t>
        </is>
      </c>
      <c r="H45" s="84" t="inlineStr">
        <is>
          <t>cross-sectional</t>
        </is>
      </c>
      <c r="I45" s="84" t="inlineStr">
        <is>
          <t>no</t>
        </is>
      </c>
      <c r="J45" s="84" t="inlineStr">
        <is>
          <t>primary care</t>
        </is>
      </c>
      <c r="K45" s="1" t="inlineStr">
        <is>
          <t>high</t>
        </is>
      </c>
      <c r="L45" s="1" t="inlineStr">
        <is>
          <t>primary</t>
        </is>
      </c>
      <c r="M45" s="1" t="inlineStr">
        <is>
          <t>no</t>
        </is>
      </c>
      <c r="N45" s="1" t="inlineStr">
        <is>
          <t>vtdr</t>
        </is>
      </c>
      <c r="O45" s="1" t="inlineStr">
        <is>
          <t>no</t>
        </is>
      </c>
      <c r="P45" s="1" t="inlineStr">
        <is>
          <t>non-mydriatic</t>
        </is>
      </c>
      <c r="Q45" s="1" t="inlineStr">
        <is>
          <t>desktop</t>
        </is>
      </c>
      <c r="R45" s="84" t="inlineStr">
        <is>
          <t>single</t>
        </is>
      </c>
      <c r="S45" s="84" t="inlineStr">
        <is>
          <t>vanderheijden_2018</t>
        </is>
      </c>
      <c r="T45" s="1" t="inlineStr">
        <is>
          <t>multiple</t>
        </is>
      </c>
      <c r="U45" s="84" t="inlineStr">
        <is>
          <t>hybrid</t>
        </is>
      </c>
      <c r="V45" s="1" t="inlineStr">
        <is>
          <t>expert panel</t>
        </is>
      </c>
      <c r="W45" s="1" t="inlineStr">
        <is>
          <t>yes</t>
        </is>
      </c>
      <c r="X45" s="1" t="inlineStr">
        <is>
          <t>fundus</t>
        </is>
      </c>
      <c r="Y45" s="1" t="inlineStr">
        <is>
          <t>2</t>
        </is>
      </c>
      <c r="Z45" s="69" t="inlineStr">
        <is>
          <t>yes</t>
        </is>
      </c>
      <c r="AA45" s="1" t="inlineStr">
        <is>
          <t>yes</t>
        </is>
      </c>
      <c r="AB45" s="1" t="inlineStr">
        <is>
          <t>yes</t>
        </is>
      </c>
      <c r="AC45" s="84" t="inlineStr">
        <is>
          <t>yes</t>
        </is>
      </c>
      <c r="AD45" s="1" t="inlineStr">
        <is>
          <t>proprietary</t>
        </is>
      </c>
      <c r="AE45" s="1" t="inlineStr">
        <is>
          <t>europe</t>
        </is>
      </c>
      <c r="AF45" s="71" t="inlineStr">
        <is>
          <t>high</t>
        </is>
      </c>
      <c r="AG45" s="71" t="inlineStr">
        <is>
          <t>high</t>
        </is>
      </c>
      <c r="AH45" s="1" t="n">
        <v>898</v>
      </c>
      <c r="AI45" s="1" t="n">
        <v>0.016</v>
      </c>
      <c r="AJ45" s="1" t="n">
        <v>14</v>
      </c>
      <c r="AK45" s="1" t="n">
        <v>884</v>
      </c>
      <c r="AL45" s="1" t="n">
        <v>0.62</v>
      </c>
      <c r="AM45" s="1" t="n">
        <v>1</v>
      </c>
      <c r="AN45" s="1" t="n">
        <v>9</v>
      </c>
      <c r="AO45" s="1" t="n">
        <v>5</v>
      </c>
      <c r="AP45" s="1" t="n">
        <v>884</v>
      </c>
      <c r="AQ45" s="1" t="n">
        <v>0</v>
      </c>
    </row>
    <row r="46" ht="16" customHeight="1" s="55">
      <c r="A46" s="2" t="inlineStr">
        <is>
          <t>van der Heijden et al. 2018</t>
        </is>
      </c>
      <c r="B46" s="1" t="inlineStr">
        <is>
          <t>Reader</t>
        </is>
      </c>
      <c r="C46" s="1" t="inlineStr">
        <is>
          <t>Expert 2 — EURODIAB VTDR (reconstructed)</t>
        </is>
      </c>
      <c r="D46" s="84" t="inlineStr">
        <is>
          <t>retinaspecialist</t>
        </is>
      </c>
      <c r="E46" s="84" t="inlineStr">
        <is>
          <t>human_only</t>
        </is>
      </c>
      <c r="F46" s="1" t="inlineStr">
        <is>
          <t>original</t>
        </is>
      </c>
      <c r="G46" s="1" t="inlineStr">
        <is>
          <t>prospective</t>
        </is>
      </c>
      <c r="H46" s="84" t="inlineStr">
        <is>
          <t>cross-sectional</t>
        </is>
      </c>
      <c r="I46" s="84" t="inlineStr">
        <is>
          <t>no</t>
        </is>
      </c>
      <c r="J46" s="84" t="inlineStr">
        <is>
          <t>primary care</t>
        </is>
      </c>
      <c r="K46" s="1" t="inlineStr">
        <is>
          <t>high</t>
        </is>
      </c>
      <c r="L46" s="1" t="inlineStr">
        <is>
          <t>primary</t>
        </is>
      </c>
      <c r="M46" s="1" t="inlineStr">
        <is>
          <t>no</t>
        </is>
      </c>
      <c r="N46" s="1" t="inlineStr">
        <is>
          <t>vtdr</t>
        </is>
      </c>
      <c r="O46" s="1" t="inlineStr">
        <is>
          <t>no</t>
        </is>
      </c>
      <c r="P46" s="1" t="inlineStr">
        <is>
          <t>non-mydriatic</t>
        </is>
      </c>
      <c r="Q46" s="1" t="inlineStr">
        <is>
          <t>desktop</t>
        </is>
      </c>
      <c r="R46" s="84" t="inlineStr">
        <is>
          <t>single</t>
        </is>
      </c>
      <c r="S46" s="84" t="inlineStr">
        <is>
          <t>vanderheijden_2018</t>
        </is>
      </c>
      <c r="T46" s="1" t="inlineStr">
        <is>
          <t>multiple</t>
        </is>
      </c>
      <c r="U46" s="84" t="inlineStr">
        <is>
          <t>hybrid</t>
        </is>
      </c>
      <c r="V46" s="1" t="inlineStr">
        <is>
          <t>expert panel</t>
        </is>
      </c>
      <c r="W46" s="1" t="inlineStr">
        <is>
          <t>yes</t>
        </is>
      </c>
      <c r="X46" s="1" t="inlineStr">
        <is>
          <t>fundus</t>
        </is>
      </c>
      <c r="Y46" s="1" t="inlineStr">
        <is>
          <t>2</t>
        </is>
      </c>
      <c r="Z46" s="69" t="inlineStr">
        <is>
          <t>yes</t>
        </is>
      </c>
      <c r="AA46" s="1" t="inlineStr">
        <is>
          <t>yes</t>
        </is>
      </c>
      <c r="AB46" s="1" t="inlineStr">
        <is>
          <t>yes</t>
        </is>
      </c>
      <c r="AC46" s="84" t="inlineStr">
        <is>
          <t>yes</t>
        </is>
      </c>
      <c r="AD46" s="1" t="inlineStr">
        <is>
          <t>proprietary</t>
        </is>
      </c>
      <c r="AE46" s="1" t="inlineStr">
        <is>
          <t>europe</t>
        </is>
      </c>
      <c r="AF46" s="71" t="inlineStr">
        <is>
          <t>high</t>
        </is>
      </c>
      <c r="AG46" s="71" t="inlineStr">
        <is>
          <t>high</t>
        </is>
      </c>
      <c r="AH46" s="1" t="n">
        <v>898</v>
      </c>
      <c r="AI46" s="1" t="n">
        <v>0.016</v>
      </c>
      <c r="AJ46" s="1" t="n">
        <v>14</v>
      </c>
      <c r="AK46" s="1" t="n">
        <v>884</v>
      </c>
      <c r="AL46" s="1" t="n">
        <v>0.64</v>
      </c>
      <c r="AM46" s="1" t="n">
        <v>0.99</v>
      </c>
      <c r="AN46" s="1" t="n">
        <v>9</v>
      </c>
      <c r="AO46" s="1" t="n">
        <v>5</v>
      </c>
      <c r="AP46" s="1" t="n">
        <v>875</v>
      </c>
      <c r="AQ46" s="1" t="n">
        <v>9</v>
      </c>
    </row>
    <row r="47" ht="16" customHeight="1" s="55">
      <c r="A47" s="2" t="inlineStr">
        <is>
          <t>van der Heijden et al. 2018</t>
        </is>
      </c>
      <c r="B47" s="1" t="inlineStr">
        <is>
          <t>Reader</t>
        </is>
      </c>
      <c r="C47" s="1" t="inlineStr">
        <is>
          <t>Expert 3 — EURODIAB VTDR (reconstructed)</t>
        </is>
      </c>
      <c r="D47" s="84" t="inlineStr">
        <is>
          <t>retinaspecialist</t>
        </is>
      </c>
      <c r="E47" s="84" t="inlineStr">
        <is>
          <t>human_only</t>
        </is>
      </c>
      <c r="F47" s="1" t="inlineStr">
        <is>
          <t>original</t>
        </is>
      </c>
      <c r="G47" s="1" t="inlineStr">
        <is>
          <t>prospective</t>
        </is>
      </c>
      <c r="H47" s="84" t="inlineStr">
        <is>
          <t>cross-sectional</t>
        </is>
      </c>
      <c r="I47" s="84" t="inlineStr">
        <is>
          <t>no</t>
        </is>
      </c>
      <c r="J47" s="84" t="inlineStr">
        <is>
          <t>primary care</t>
        </is>
      </c>
      <c r="K47" s="1" t="inlineStr">
        <is>
          <t>high</t>
        </is>
      </c>
      <c r="L47" s="1" t="inlineStr">
        <is>
          <t>primary</t>
        </is>
      </c>
      <c r="M47" s="1" t="inlineStr">
        <is>
          <t>no</t>
        </is>
      </c>
      <c r="N47" s="1" t="inlineStr">
        <is>
          <t>vtdr</t>
        </is>
      </c>
      <c r="O47" s="1" t="inlineStr">
        <is>
          <t>no</t>
        </is>
      </c>
      <c r="P47" s="1" t="inlineStr">
        <is>
          <t>non-mydriatic</t>
        </is>
      </c>
      <c r="Q47" s="1" t="inlineStr">
        <is>
          <t>desktop</t>
        </is>
      </c>
      <c r="R47" s="84" t="inlineStr">
        <is>
          <t>single</t>
        </is>
      </c>
      <c r="S47" s="84" t="inlineStr">
        <is>
          <t>vanderheijden_2018</t>
        </is>
      </c>
      <c r="T47" s="1" t="inlineStr">
        <is>
          <t>multiple</t>
        </is>
      </c>
      <c r="U47" s="84" t="inlineStr">
        <is>
          <t>hybrid</t>
        </is>
      </c>
      <c r="V47" s="1" t="inlineStr">
        <is>
          <t>expert panel</t>
        </is>
      </c>
      <c r="W47" s="1" t="inlineStr">
        <is>
          <t>yes</t>
        </is>
      </c>
      <c r="X47" s="1" t="inlineStr">
        <is>
          <t>fundus</t>
        </is>
      </c>
      <c r="Y47" s="1" t="inlineStr">
        <is>
          <t>2</t>
        </is>
      </c>
      <c r="Z47" s="69" t="inlineStr">
        <is>
          <t>yes</t>
        </is>
      </c>
      <c r="AA47" s="1" t="inlineStr">
        <is>
          <t>yes</t>
        </is>
      </c>
      <c r="AB47" s="1" t="inlineStr">
        <is>
          <t>yes</t>
        </is>
      </c>
      <c r="AC47" s="84" t="inlineStr">
        <is>
          <t>yes</t>
        </is>
      </c>
      <c r="AD47" s="1" t="inlineStr">
        <is>
          <t>proprietary</t>
        </is>
      </c>
      <c r="AE47" s="1" t="inlineStr">
        <is>
          <t>europe</t>
        </is>
      </c>
      <c r="AF47" s="71" t="inlineStr">
        <is>
          <t>high</t>
        </is>
      </c>
      <c r="AG47" s="71" t="inlineStr">
        <is>
          <t>high</t>
        </is>
      </c>
      <c r="AH47" s="1" t="n">
        <v>898</v>
      </c>
      <c r="AI47" s="1" t="n">
        <v>0.016</v>
      </c>
      <c r="AJ47" s="1" t="n">
        <v>14</v>
      </c>
      <c r="AK47" s="1" t="n">
        <v>884</v>
      </c>
      <c r="AL47" s="1" t="n">
        <v>0.93</v>
      </c>
      <c r="AM47" s="1" t="n">
        <v>0.99</v>
      </c>
      <c r="AN47" s="1" t="n">
        <v>13</v>
      </c>
      <c r="AO47" s="1" t="n">
        <v>1</v>
      </c>
      <c r="AP47" s="1" t="n">
        <v>875</v>
      </c>
      <c r="AQ47" s="1" t="n">
        <v>9</v>
      </c>
    </row>
    <row r="48" ht="16" customHeight="1" s="55">
      <c r="A48" s="2" t="inlineStr">
        <is>
          <t>van der Heijden et al. 2018</t>
        </is>
      </c>
      <c r="B48" s="1" t="inlineStr">
        <is>
          <t>Reader</t>
        </is>
      </c>
      <c r="C48" s="1" t="inlineStr">
        <is>
          <t>Expert 1 — ICDR RDR (reconstructed)</t>
        </is>
      </c>
      <c r="D48" s="84" t="inlineStr">
        <is>
          <t>retinaspecialist</t>
        </is>
      </c>
      <c r="E48" s="84" t="inlineStr">
        <is>
          <t>human_only</t>
        </is>
      </c>
      <c r="F48" s="1" t="inlineStr">
        <is>
          <t>original</t>
        </is>
      </c>
      <c r="G48" s="1" t="inlineStr">
        <is>
          <t>prospective</t>
        </is>
      </c>
      <c r="H48" s="84" t="inlineStr">
        <is>
          <t>cross-sectional</t>
        </is>
      </c>
      <c r="I48" s="84" t="inlineStr">
        <is>
          <t>no</t>
        </is>
      </c>
      <c r="J48" s="84" t="inlineStr">
        <is>
          <t>primary care</t>
        </is>
      </c>
      <c r="K48" s="1" t="inlineStr">
        <is>
          <t>high</t>
        </is>
      </c>
      <c r="L48" s="1" t="inlineStr">
        <is>
          <t>primary</t>
        </is>
      </c>
      <c r="M48" s="1" t="inlineStr">
        <is>
          <t>no</t>
        </is>
      </c>
      <c r="N48" s="1" t="inlineStr">
        <is>
          <t>rdr</t>
        </is>
      </c>
      <c r="O48" s="1" t="inlineStr">
        <is>
          <t>no</t>
        </is>
      </c>
      <c r="P48" s="1" t="inlineStr">
        <is>
          <t>non-mydriatic</t>
        </is>
      </c>
      <c r="Q48" s="1" t="inlineStr">
        <is>
          <t>desktop</t>
        </is>
      </c>
      <c r="R48" s="84" t="inlineStr">
        <is>
          <t>single</t>
        </is>
      </c>
      <c r="S48" s="84" t="inlineStr">
        <is>
          <t>vanderheijden_2018</t>
        </is>
      </c>
      <c r="T48" s="1" t="inlineStr">
        <is>
          <t>multiple</t>
        </is>
      </c>
      <c r="U48" s="84" t="inlineStr">
        <is>
          <t>hybrid</t>
        </is>
      </c>
      <c r="V48" s="1" t="inlineStr">
        <is>
          <t>expert panel</t>
        </is>
      </c>
      <c r="W48" s="1" t="inlineStr">
        <is>
          <t>yes</t>
        </is>
      </c>
      <c r="X48" s="1" t="inlineStr">
        <is>
          <t>fundus</t>
        </is>
      </c>
      <c r="Y48" s="1" t="inlineStr">
        <is>
          <t>2</t>
        </is>
      </c>
      <c r="Z48" s="69" t="inlineStr">
        <is>
          <t>yes</t>
        </is>
      </c>
      <c r="AA48" s="1" t="inlineStr">
        <is>
          <t>yes</t>
        </is>
      </c>
      <c r="AB48" s="1" t="inlineStr">
        <is>
          <t>yes</t>
        </is>
      </c>
      <c r="AC48" s="84" t="inlineStr">
        <is>
          <t>yes</t>
        </is>
      </c>
      <c r="AD48" s="1" t="inlineStr">
        <is>
          <t>proprietary</t>
        </is>
      </c>
      <c r="AE48" s="1" t="inlineStr">
        <is>
          <t>europe</t>
        </is>
      </c>
      <c r="AF48" s="71" t="inlineStr">
        <is>
          <t>high</t>
        </is>
      </c>
      <c r="AG48" s="71" t="inlineStr">
        <is>
          <t>high</t>
        </is>
      </c>
      <c r="AH48" s="1" t="n">
        <v>898</v>
      </c>
      <c r="AI48" s="1" t="n">
        <v>0.081</v>
      </c>
      <c r="AJ48" s="1" t="n">
        <v>73</v>
      </c>
      <c r="AK48" s="1" t="n">
        <v>825</v>
      </c>
      <c r="AL48" s="1" t="n">
        <v>0.6899999999999999</v>
      </c>
      <c r="AM48" s="1" t="n">
        <v>1</v>
      </c>
      <c r="AN48" s="1" t="n">
        <v>50</v>
      </c>
      <c r="AO48" s="1" t="n">
        <v>23</v>
      </c>
      <c r="AP48" s="1" t="n">
        <v>825</v>
      </c>
      <c r="AQ48" s="1" t="n">
        <v>0</v>
      </c>
    </row>
    <row r="49" ht="16" customHeight="1" s="55">
      <c r="A49" s="2" t="inlineStr">
        <is>
          <t>van der Heijden et al. 2018</t>
        </is>
      </c>
      <c r="B49" s="1" t="inlineStr">
        <is>
          <t>Reader</t>
        </is>
      </c>
      <c r="C49" s="1" t="inlineStr">
        <is>
          <t>Expert 2 — ICDR RDR (reconstructed)</t>
        </is>
      </c>
      <c r="D49" s="84" t="inlineStr">
        <is>
          <t>retinaspecialist</t>
        </is>
      </c>
      <c r="E49" s="84" t="inlineStr">
        <is>
          <t>human_only</t>
        </is>
      </c>
      <c r="F49" s="1" t="inlineStr">
        <is>
          <t>original</t>
        </is>
      </c>
      <c r="G49" s="1" t="inlineStr">
        <is>
          <t>prospective</t>
        </is>
      </c>
      <c r="H49" s="84" t="inlineStr">
        <is>
          <t>cross-sectional</t>
        </is>
      </c>
      <c r="I49" s="84" t="inlineStr">
        <is>
          <t>no</t>
        </is>
      </c>
      <c r="J49" s="84" t="inlineStr">
        <is>
          <t>primary care</t>
        </is>
      </c>
      <c r="K49" s="1" t="inlineStr">
        <is>
          <t>high</t>
        </is>
      </c>
      <c r="L49" s="1" t="inlineStr">
        <is>
          <t>primary</t>
        </is>
      </c>
      <c r="M49" s="1" t="inlineStr">
        <is>
          <t>no</t>
        </is>
      </c>
      <c r="N49" s="1" t="inlineStr">
        <is>
          <t>rdr</t>
        </is>
      </c>
      <c r="O49" s="1" t="inlineStr">
        <is>
          <t>no</t>
        </is>
      </c>
      <c r="P49" s="1" t="inlineStr">
        <is>
          <t>non-mydriatic</t>
        </is>
      </c>
      <c r="Q49" s="1" t="inlineStr">
        <is>
          <t>desktop</t>
        </is>
      </c>
      <c r="R49" s="84" t="inlineStr">
        <is>
          <t>single</t>
        </is>
      </c>
      <c r="S49" s="84" t="inlineStr">
        <is>
          <t>vanderheijden_2018</t>
        </is>
      </c>
      <c r="T49" s="1" t="inlineStr">
        <is>
          <t>multiple</t>
        </is>
      </c>
      <c r="U49" s="84" t="inlineStr">
        <is>
          <t>hybrid</t>
        </is>
      </c>
      <c r="V49" s="1" t="inlineStr">
        <is>
          <t>expert panel</t>
        </is>
      </c>
      <c r="W49" s="1" t="inlineStr">
        <is>
          <t>yes</t>
        </is>
      </c>
      <c r="X49" s="1" t="inlineStr">
        <is>
          <t>fundus</t>
        </is>
      </c>
      <c r="Y49" s="1" t="inlineStr">
        <is>
          <t>2</t>
        </is>
      </c>
      <c r="Z49" s="69" t="inlineStr">
        <is>
          <t>yes</t>
        </is>
      </c>
      <c r="AA49" s="1" t="inlineStr">
        <is>
          <t>yes</t>
        </is>
      </c>
      <c r="AB49" s="1" t="inlineStr">
        <is>
          <t>yes</t>
        </is>
      </c>
      <c r="AC49" s="84" t="inlineStr">
        <is>
          <t>yes</t>
        </is>
      </c>
      <c r="AD49" s="1" t="inlineStr">
        <is>
          <t>proprietary</t>
        </is>
      </c>
      <c r="AE49" s="1" t="inlineStr">
        <is>
          <t>europe</t>
        </is>
      </c>
      <c r="AF49" s="71" t="inlineStr">
        <is>
          <t>high</t>
        </is>
      </c>
      <c r="AG49" s="71" t="inlineStr">
        <is>
          <t>high</t>
        </is>
      </c>
      <c r="AH49" s="1" t="n">
        <v>898</v>
      </c>
      <c r="AI49" s="1" t="n">
        <v>0.081</v>
      </c>
      <c r="AJ49" s="1" t="n">
        <v>73</v>
      </c>
      <c r="AK49" s="1" t="n">
        <v>825</v>
      </c>
      <c r="AL49" s="1" t="n">
        <v>0.92</v>
      </c>
      <c r="AM49" s="1" t="n">
        <v>0.99</v>
      </c>
      <c r="AN49" s="1" t="n">
        <v>67</v>
      </c>
      <c r="AO49" s="1" t="n">
        <v>6</v>
      </c>
      <c r="AP49" s="1" t="n">
        <v>817</v>
      </c>
      <c r="AQ49" s="1" t="n">
        <v>8</v>
      </c>
    </row>
    <row r="50" ht="16" customHeight="1" s="55">
      <c r="A50" s="2" t="inlineStr">
        <is>
          <t>van der Heijden et al. 2018</t>
        </is>
      </c>
      <c r="B50" s="1" t="inlineStr">
        <is>
          <t>Reader</t>
        </is>
      </c>
      <c r="C50" s="1" t="inlineStr">
        <is>
          <t>Expert 3 — ICDR RDR (reconstructed)</t>
        </is>
      </c>
      <c r="D50" s="84" t="inlineStr">
        <is>
          <t>retinaspecialist</t>
        </is>
      </c>
      <c r="E50" s="84" t="inlineStr">
        <is>
          <t>human_only</t>
        </is>
      </c>
      <c r="F50" s="1" t="inlineStr">
        <is>
          <t>original</t>
        </is>
      </c>
      <c r="G50" s="1" t="inlineStr">
        <is>
          <t>prospective</t>
        </is>
      </c>
      <c r="H50" s="84" t="inlineStr">
        <is>
          <t>cross-sectional</t>
        </is>
      </c>
      <c r="I50" s="84" t="inlineStr">
        <is>
          <t>no</t>
        </is>
      </c>
      <c r="J50" s="84" t="inlineStr">
        <is>
          <t>primary care</t>
        </is>
      </c>
      <c r="K50" s="1" t="inlineStr">
        <is>
          <t>high</t>
        </is>
      </c>
      <c r="L50" s="1" t="inlineStr">
        <is>
          <t>primary</t>
        </is>
      </c>
      <c r="M50" s="1" t="inlineStr">
        <is>
          <t>no</t>
        </is>
      </c>
      <c r="N50" s="1" t="inlineStr">
        <is>
          <t>rdr</t>
        </is>
      </c>
      <c r="O50" s="1" t="inlineStr">
        <is>
          <t>no</t>
        </is>
      </c>
      <c r="P50" s="1" t="inlineStr">
        <is>
          <t>non-mydriatic</t>
        </is>
      </c>
      <c r="Q50" s="1" t="inlineStr">
        <is>
          <t>desktop</t>
        </is>
      </c>
      <c r="R50" s="84" t="inlineStr">
        <is>
          <t>single</t>
        </is>
      </c>
      <c r="S50" s="84" t="inlineStr">
        <is>
          <t>vanderheijden_2018</t>
        </is>
      </c>
      <c r="T50" s="1" t="inlineStr">
        <is>
          <t>multiple</t>
        </is>
      </c>
      <c r="U50" s="84" t="inlineStr">
        <is>
          <t>hybrid</t>
        </is>
      </c>
      <c r="V50" s="1" t="inlineStr">
        <is>
          <t>expert panel</t>
        </is>
      </c>
      <c r="W50" s="1" t="inlineStr">
        <is>
          <t>yes</t>
        </is>
      </c>
      <c r="X50" s="1" t="inlineStr">
        <is>
          <t>fundus</t>
        </is>
      </c>
      <c r="Y50" s="1" t="inlineStr">
        <is>
          <t>2</t>
        </is>
      </c>
      <c r="Z50" s="69" t="inlineStr">
        <is>
          <t>yes</t>
        </is>
      </c>
      <c r="AA50" s="1" t="inlineStr">
        <is>
          <t>yes</t>
        </is>
      </c>
      <c r="AB50" s="1" t="inlineStr">
        <is>
          <t>yes</t>
        </is>
      </c>
      <c r="AC50" s="84" t="inlineStr">
        <is>
          <t>yes</t>
        </is>
      </c>
      <c r="AD50" s="1" t="inlineStr">
        <is>
          <t>proprietary</t>
        </is>
      </c>
      <c r="AE50" s="1" t="inlineStr">
        <is>
          <t>europe</t>
        </is>
      </c>
      <c r="AF50" s="71" t="inlineStr">
        <is>
          <t>high</t>
        </is>
      </c>
      <c r="AG50" s="71" t="inlineStr">
        <is>
          <t>high</t>
        </is>
      </c>
      <c r="AH50" s="1" t="n">
        <v>898</v>
      </c>
      <c r="AI50" s="1" t="n">
        <v>0.081</v>
      </c>
      <c r="AJ50" s="1" t="n">
        <v>73</v>
      </c>
      <c r="AK50" s="1" t="n">
        <v>825</v>
      </c>
      <c r="AL50" s="1" t="n">
        <v>0.63</v>
      </c>
      <c r="AM50" s="1" t="n">
        <v>1</v>
      </c>
      <c r="AN50" s="1" t="n">
        <v>46</v>
      </c>
      <c r="AO50" s="1" t="n">
        <v>27</v>
      </c>
      <c r="AP50" s="1" t="n">
        <v>825</v>
      </c>
      <c r="AQ50" s="1" t="n">
        <v>0</v>
      </c>
    </row>
    <row r="51" ht="16" customHeight="1" s="55">
      <c r="A51" s="2" t="inlineStr">
        <is>
          <t>van der Heijden et al. 2018</t>
        </is>
      </c>
      <c r="B51" s="1" t="inlineStr">
        <is>
          <t>Reader</t>
        </is>
      </c>
      <c r="C51" s="1" t="inlineStr">
        <is>
          <t>Expert 1 — ICDR VTDR (reconstructed)</t>
        </is>
      </c>
      <c r="D51" s="84" t="inlineStr">
        <is>
          <t>retinaspecialist</t>
        </is>
      </c>
      <c r="E51" s="84" t="inlineStr">
        <is>
          <t>human_only</t>
        </is>
      </c>
      <c r="F51" s="1" t="inlineStr">
        <is>
          <t>original</t>
        </is>
      </c>
      <c r="G51" s="1" t="inlineStr">
        <is>
          <t>prospective</t>
        </is>
      </c>
      <c r="H51" s="84" t="inlineStr">
        <is>
          <t>cross-sectional</t>
        </is>
      </c>
      <c r="I51" s="84" t="inlineStr">
        <is>
          <t>no</t>
        </is>
      </c>
      <c r="J51" s="84" t="inlineStr">
        <is>
          <t>primary care</t>
        </is>
      </c>
      <c r="K51" s="1" t="inlineStr">
        <is>
          <t>high</t>
        </is>
      </c>
      <c r="L51" s="1" t="inlineStr">
        <is>
          <t>primary</t>
        </is>
      </c>
      <c r="M51" s="1" t="inlineStr">
        <is>
          <t>no</t>
        </is>
      </c>
      <c r="N51" s="1" t="inlineStr">
        <is>
          <t>vtdr</t>
        </is>
      </c>
      <c r="O51" s="1" t="inlineStr">
        <is>
          <t>no</t>
        </is>
      </c>
      <c r="P51" s="1" t="inlineStr">
        <is>
          <t>non-mydriatic</t>
        </is>
      </c>
      <c r="Q51" s="1" t="inlineStr">
        <is>
          <t>desktop</t>
        </is>
      </c>
      <c r="R51" s="84" t="inlineStr">
        <is>
          <t>single</t>
        </is>
      </c>
      <c r="S51" s="84" t="inlineStr">
        <is>
          <t>vanderheijden_2018</t>
        </is>
      </c>
      <c r="T51" s="1" t="inlineStr">
        <is>
          <t>multiple</t>
        </is>
      </c>
      <c r="U51" s="84" t="inlineStr">
        <is>
          <t>hybrid</t>
        </is>
      </c>
      <c r="V51" s="1" t="inlineStr">
        <is>
          <t>expert panel</t>
        </is>
      </c>
      <c r="W51" s="1" t="inlineStr">
        <is>
          <t>yes</t>
        </is>
      </c>
      <c r="X51" s="1" t="inlineStr">
        <is>
          <t>fundus</t>
        </is>
      </c>
      <c r="Y51" s="1" t="inlineStr">
        <is>
          <t>2</t>
        </is>
      </c>
      <c r="Z51" s="69" t="inlineStr">
        <is>
          <t>yes</t>
        </is>
      </c>
      <c r="AA51" s="1" t="inlineStr">
        <is>
          <t>yes</t>
        </is>
      </c>
      <c r="AB51" s="1" t="inlineStr">
        <is>
          <t>yes</t>
        </is>
      </c>
      <c r="AC51" s="84" t="inlineStr">
        <is>
          <t>yes</t>
        </is>
      </c>
      <c r="AD51" s="1" t="inlineStr">
        <is>
          <t>proprietary</t>
        </is>
      </c>
      <c r="AE51" s="1" t="inlineStr">
        <is>
          <t>europe</t>
        </is>
      </c>
      <c r="AF51" s="71" t="inlineStr">
        <is>
          <t>high</t>
        </is>
      </c>
      <c r="AG51" s="71" t="inlineStr">
        <is>
          <t>high</t>
        </is>
      </c>
      <c r="AH51" s="1" t="n">
        <v>898</v>
      </c>
      <c r="AI51" s="1" t="n">
        <v>0.015</v>
      </c>
      <c r="AJ51" s="1" t="n">
        <v>13</v>
      </c>
      <c r="AK51" s="1" t="n">
        <v>885</v>
      </c>
      <c r="AL51" s="1" t="n">
        <v>0.58</v>
      </c>
      <c r="AM51" s="1" t="n">
        <v>1</v>
      </c>
      <c r="AN51" s="1" t="n">
        <v>8</v>
      </c>
      <c r="AO51" s="1" t="n">
        <v>5</v>
      </c>
      <c r="AP51" s="1" t="n">
        <v>885</v>
      </c>
      <c r="AQ51" s="1" t="n">
        <v>0</v>
      </c>
    </row>
    <row r="52" ht="16" customHeight="1" s="55">
      <c r="A52" s="2" t="inlineStr">
        <is>
          <t>van der Heijden et al. 2018</t>
        </is>
      </c>
      <c r="B52" s="1" t="inlineStr">
        <is>
          <t>Reader</t>
        </is>
      </c>
      <c r="C52" s="1" t="inlineStr">
        <is>
          <t>Expert 2 — ICDR VTDR (reconstructed)</t>
        </is>
      </c>
      <c r="D52" s="84" t="inlineStr">
        <is>
          <t>retinaspecialist</t>
        </is>
      </c>
      <c r="E52" s="84" t="inlineStr">
        <is>
          <t>human_only</t>
        </is>
      </c>
      <c r="F52" s="1" t="inlineStr">
        <is>
          <t>original</t>
        </is>
      </c>
      <c r="G52" s="1" t="inlineStr">
        <is>
          <t>prospective</t>
        </is>
      </c>
      <c r="H52" s="84" t="inlineStr">
        <is>
          <t>cross-sectional</t>
        </is>
      </c>
      <c r="I52" s="84" t="inlineStr">
        <is>
          <t>no</t>
        </is>
      </c>
      <c r="J52" s="84" t="inlineStr">
        <is>
          <t>primary care</t>
        </is>
      </c>
      <c r="K52" s="1" t="inlineStr">
        <is>
          <t>high</t>
        </is>
      </c>
      <c r="L52" s="1" t="inlineStr">
        <is>
          <t>primary</t>
        </is>
      </c>
      <c r="M52" s="1" t="inlineStr">
        <is>
          <t>no</t>
        </is>
      </c>
      <c r="N52" s="1" t="inlineStr">
        <is>
          <t>vtdr</t>
        </is>
      </c>
      <c r="O52" s="1" t="inlineStr">
        <is>
          <t>no</t>
        </is>
      </c>
      <c r="P52" s="1" t="inlineStr">
        <is>
          <t>non-mydriatic</t>
        </is>
      </c>
      <c r="Q52" s="1" t="inlineStr">
        <is>
          <t>desktop</t>
        </is>
      </c>
      <c r="R52" s="84" t="inlineStr">
        <is>
          <t>single</t>
        </is>
      </c>
      <c r="S52" s="84" t="inlineStr">
        <is>
          <t>vanderheijden_2018</t>
        </is>
      </c>
      <c r="T52" s="1" t="inlineStr">
        <is>
          <t>multiple</t>
        </is>
      </c>
      <c r="U52" s="84" t="inlineStr">
        <is>
          <t>hybrid</t>
        </is>
      </c>
      <c r="V52" s="1" t="inlineStr">
        <is>
          <t>expert panel</t>
        </is>
      </c>
      <c r="W52" s="1" t="inlineStr">
        <is>
          <t>yes</t>
        </is>
      </c>
      <c r="X52" s="1" t="inlineStr">
        <is>
          <t>fundus</t>
        </is>
      </c>
      <c r="Y52" s="1" t="inlineStr">
        <is>
          <t>2</t>
        </is>
      </c>
      <c r="Z52" s="69" t="inlineStr">
        <is>
          <t>yes</t>
        </is>
      </c>
      <c r="AA52" s="1" t="inlineStr">
        <is>
          <t>yes</t>
        </is>
      </c>
      <c r="AB52" s="1" t="inlineStr">
        <is>
          <t>yes</t>
        </is>
      </c>
      <c r="AC52" s="84" t="inlineStr">
        <is>
          <t>yes</t>
        </is>
      </c>
      <c r="AD52" s="1" t="inlineStr">
        <is>
          <t>proprietary</t>
        </is>
      </c>
      <c r="AE52" s="1" t="inlineStr">
        <is>
          <t>europe</t>
        </is>
      </c>
      <c r="AF52" s="71" t="inlineStr">
        <is>
          <t>high</t>
        </is>
      </c>
      <c r="AG52" s="71" t="inlineStr">
        <is>
          <t>high</t>
        </is>
      </c>
      <c r="AH52" s="1" t="n">
        <v>898</v>
      </c>
      <c r="AI52" s="1" t="n">
        <v>0.015</v>
      </c>
      <c r="AJ52" s="1" t="n">
        <v>13</v>
      </c>
      <c r="AK52" s="1" t="n">
        <v>885</v>
      </c>
      <c r="AL52" s="1" t="n">
        <v>0.62</v>
      </c>
      <c r="AM52" s="1" t="n">
        <v>1</v>
      </c>
      <c r="AN52" s="1" t="n">
        <v>8</v>
      </c>
      <c r="AO52" s="1" t="n">
        <v>5</v>
      </c>
      <c r="AP52" s="1" t="n">
        <v>885</v>
      </c>
      <c r="AQ52" s="1" t="n">
        <v>0</v>
      </c>
    </row>
    <row r="53" ht="16" customHeight="1" s="55">
      <c r="A53" s="2" t="inlineStr">
        <is>
          <t>van der Heijden et al. 2018</t>
        </is>
      </c>
      <c r="B53" s="1" t="inlineStr">
        <is>
          <t>Reader</t>
        </is>
      </c>
      <c r="C53" s="1" t="inlineStr">
        <is>
          <t>Expert 3 — ICDR VTDR (reconstructed)</t>
        </is>
      </c>
      <c r="D53" s="84" t="inlineStr">
        <is>
          <t>retinaspecialist</t>
        </is>
      </c>
      <c r="E53" s="84" t="inlineStr">
        <is>
          <t>human_only</t>
        </is>
      </c>
      <c r="F53" s="1" t="inlineStr">
        <is>
          <t>original</t>
        </is>
      </c>
      <c r="G53" s="1" t="inlineStr">
        <is>
          <t>prospective</t>
        </is>
      </c>
      <c r="H53" s="84" t="inlineStr">
        <is>
          <t>cross-sectional</t>
        </is>
      </c>
      <c r="I53" s="84" t="inlineStr">
        <is>
          <t>no</t>
        </is>
      </c>
      <c r="J53" s="84" t="inlineStr">
        <is>
          <t>primary care</t>
        </is>
      </c>
      <c r="K53" s="1" t="inlineStr">
        <is>
          <t>high</t>
        </is>
      </c>
      <c r="L53" s="1" t="inlineStr">
        <is>
          <t>primary</t>
        </is>
      </c>
      <c r="M53" s="1" t="inlineStr">
        <is>
          <t>no</t>
        </is>
      </c>
      <c r="N53" s="1" t="inlineStr">
        <is>
          <t>vtdr</t>
        </is>
      </c>
      <c r="O53" s="1" t="inlineStr">
        <is>
          <t>no</t>
        </is>
      </c>
      <c r="P53" s="1" t="inlineStr">
        <is>
          <t>non-mydriatic</t>
        </is>
      </c>
      <c r="Q53" s="1" t="inlineStr">
        <is>
          <t>desktop</t>
        </is>
      </c>
      <c r="R53" s="84" t="inlineStr">
        <is>
          <t>single</t>
        </is>
      </c>
      <c r="S53" s="84" t="inlineStr">
        <is>
          <t>vanderheijden_2018</t>
        </is>
      </c>
      <c r="T53" s="1" t="inlineStr">
        <is>
          <t>multiple</t>
        </is>
      </c>
      <c r="U53" s="84" t="inlineStr">
        <is>
          <t>hybrid</t>
        </is>
      </c>
      <c r="V53" s="1" t="inlineStr">
        <is>
          <t>expert panel</t>
        </is>
      </c>
      <c r="W53" s="1" t="inlineStr">
        <is>
          <t>yes</t>
        </is>
      </c>
      <c r="X53" s="1" t="inlineStr">
        <is>
          <t>fundus</t>
        </is>
      </c>
      <c r="Y53" s="1" t="inlineStr">
        <is>
          <t>2</t>
        </is>
      </c>
      <c r="Z53" s="69" t="inlineStr">
        <is>
          <t>yes</t>
        </is>
      </c>
      <c r="AA53" s="1" t="inlineStr">
        <is>
          <t>yes</t>
        </is>
      </c>
      <c r="AB53" s="1" t="inlineStr">
        <is>
          <t>yes</t>
        </is>
      </c>
      <c r="AC53" s="84" t="inlineStr">
        <is>
          <t>yes</t>
        </is>
      </c>
      <c r="AD53" s="1" t="inlineStr">
        <is>
          <t>proprietary</t>
        </is>
      </c>
      <c r="AE53" s="1" t="inlineStr">
        <is>
          <t>europe</t>
        </is>
      </c>
      <c r="AF53" s="71" t="inlineStr">
        <is>
          <t>high</t>
        </is>
      </c>
      <c r="AG53" s="71" t="inlineStr">
        <is>
          <t>high</t>
        </is>
      </c>
      <c r="AH53" s="1" t="n">
        <v>898</v>
      </c>
      <c r="AI53" s="1" t="n">
        <v>0.015</v>
      </c>
      <c r="AJ53" s="1" t="n">
        <v>13</v>
      </c>
      <c r="AK53" s="1" t="n">
        <v>885</v>
      </c>
      <c r="AL53" s="1" t="n">
        <v>1</v>
      </c>
      <c r="AM53" s="1" t="n">
        <v>0.99</v>
      </c>
      <c r="AN53" s="1" t="n">
        <v>13</v>
      </c>
      <c r="AO53" s="1" t="n">
        <v>0</v>
      </c>
      <c r="AP53" s="1" t="n">
        <v>876</v>
      </c>
      <c r="AQ53" s="1" t="n">
        <v>9</v>
      </c>
    </row>
    <row r="54">
      <c r="A54" s="84" t="inlineStr">
        <is>
          <t>Lee et al. 2021</t>
        </is>
      </c>
      <c r="D54" s="84" t="inlineStr">
        <is>
          <t>trainedgrader</t>
        </is>
      </c>
      <c r="E54" s="84" t="inlineStr">
        <is>
          <t>human_only</t>
        </is>
      </c>
      <c r="H54" s="84" t="inlineStr">
        <is>
          <t>cross-sectional</t>
        </is>
      </c>
      <c r="K54" s="84" t="inlineStr">
        <is>
          <t>high</t>
        </is>
      </c>
      <c r="N54" s="84" t="inlineStr">
        <is>
          <t>any dr</t>
        </is>
      </c>
      <c r="Q54" s="84" t="inlineStr">
        <is>
          <t>desktop</t>
        </is>
      </c>
      <c r="R54" s="84" t="inlineStr">
        <is>
          <t>single</t>
        </is>
      </c>
      <c r="S54" s="84" t="inlineStr">
        <is>
          <t>lee_2021</t>
        </is>
      </c>
      <c r="V54" s="84" t="inlineStr">
        <is>
          <t>arbitrated panel</t>
        </is>
      </c>
      <c r="AE54" s="84" t="inlineStr">
        <is>
          <t>america</t>
        </is>
      </c>
      <c r="AH54" s="84" t="n">
        <v>735</v>
      </c>
      <c r="AJ54" s="84" t="n">
        <v>367</v>
      </c>
      <c r="AK54" s="84" t="n">
        <v>368</v>
      </c>
      <c r="AN54" s="84" t="n">
        <v>302</v>
      </c>
      <c r="AO54" s="84" t="n">
        <v>65</v>
      </c>
      <c r="AP54" s="84" t="n">
        <v>310</v>
      </c>
      <c r="AQ54" s="84" t="n">
        <v>58</v>
      </c>
    </row>
    <row r="55">
      <c r="A55" s="84" t="inlineStr">
        <is>
          <t>Lee et al. 2021</t>
        </is>
      </c>
      <c r="E55" s="84" t="inlineStr">
        <is>
          <t>ai_only</t>
        </is>
      </c>
      <c r="H55" s="84" t="inlineStr">
        <is>
          <t>cross-sectional</t>
        </is>
      </c>
      <c r="K55" s="84" t="inlineStr">
        <is>
          <t>high</t>
        </is>
      </c>
      <c r="N55" s="84" t="inlineStr">
        <is>
          <t>any dr</t>
        </is>
      </c>
      <c r="Q55" s="84" t="inlineStr">
        <is>
          <t>desktop</t>
        </is>
      </c>
      <c r="R55" s="84" t="inlineStr">
        <is>
          <t>single</t>
        </is>
      </c>
      <c r="S55" s="84" t="inlineStr">
        <is>
          <t>lee_2021</t>
        </is>
      </c>
      <c r="V55" s="84" t="inlineStr">
        <is>
          <t>arbitrated panel</t>
        </is>
      </c>
      <c r="AE55" s="84" t="inlineStr">
        <is>
          <t>america</t>
        </is>
      </c>
      <c r="AH55" s="84" t="n">
        <v>735</v>
      </c>
      <c r="AJ55" s="84" t="n">
        <v>367</v>
      </c>
      <c r="AK55" s="84" t="n">
        <v>368</v>
      </c>
      <c r="AN55" s="84" t="n">
        <v>295</v>
      </c>
      <c r="AO55" s="84" t="n">
        <v>72</v>
      </c>
      <c r="AP55" s="84" t="n">
        <v>299</v>
      </c>
      <c r="AQ55" s="84" t="n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Q31" sqref="AQ31"/>
    </sheetView>
  </sheetViews>
  <sheetFormatPr baseColWidth="10" defaultRowHeight="15"/>
  <cols>
    <col width="26" customWidth="1" style="20" min="1" max="1"/>
    <col width="18" customWidth="1" style="55" min="2" max="2"/>
    <col width="37.5" customWidth="1" style="55" min="3" max="3"/>
  </cols>
  <sheetData>
    <row r="1" ht="16" customFormat="1" customHeight="1" s="20">
      <c r="A1" s="88" t="inlineStr">
        <is>
          <t>authoryr</t>
        </is>
      </c>
      <c r="B1" s="88" t="inlineStr">
        <is>
          <t>idx</t>
        </is>
      </c>
      <c r="C1" s="88" t="inlineStr">
        <is>
          <t>index</t>
        </is>
      </c>
      <c r="D1" s="84" t="inlineStr">
        <is>
          <t>readerexpertise</t>
        </is>
      </c>
      <c r="E1" s="84" t="inlineStr">
        <is>
          <t>test</t>
        </is>
      </c>
      <c r="F1" s="88" t="inlineStr">
        <is>
          <t>article</t>
        </is>
      </c>
      <c r="G1" s="88" t="inlineStr">
        <is>
          <t>study</t>
        </is>
      </c>
      <c r="H1" s="84" t="inlineStr">
        <is>
          <t>study_design</t>
        </is>
      </c>
      <c r="I1" s="84" t="inlineStr">
        <is>
          <t>multicenter</t>
        </is>
      </c>
      <c r="J1" s="84" t="inlineStr">
        <is>
          <t>source</t>
        </is>
      </c>
      <c r="K1" s="88" t="inlineStr">
        <is>
          <t>economic</t>
        </is>
      </c>
      <c r="L1" s="88" t="inlineStr">
        <is>
          <t>healthcare</t>
        </is>
      </c>
      <c r="M1" s="88" t="inlineStr">
        <is>
          <t>external</t>
        </is>
      </c>
      <c r="N1" s="88" t="inlineStr">
        <is>
          <t>dr</t>
        </is>
      </c>
      <c r="O1" s="88" t="inlineStr">
        <is>
          <t>othereyetarget</t>
        </is>
      </c>
      <c r="P1" s="88" t="inlineStr">
        <is>
          <t>pupil</t>
        </is>
      </c>
      <c r="Q1" s="88" t="inlineStr">
        <is>
          <t>ctype</t>
        </is>
      </c>
      <c r="R1" s="84" t="inlineStr">
        <is>
          <t>camera</t>
        </is>
      </c>
      <c r="S1" s="84" t="inlineStr">
        <is>
          <t>dataset_id</t>
        </is>
      </c>
      <c r="T1" s="88" t="inlineStr">
        <is>
          <t>criteria</t>
        </is>
      </c>
      <c r="U1" s="84" t="inlineStr">
        <is>
          <t>analysis_type</t>
        </is>
      </c>
      <c r="V1" s="88" t="inlineStr">
        <is>
          <t>rstandard</t>
        </is>
      </c>
      <c r="W1" s="88" t="inlineStr">
        <is>
          <t>disagree</t>
        </is>
      </c>
      <c r="X1" s="88" t="inlineStr">
        <is>
          <t>rimage</t>
        </is>
      </c>
      <c r="Y1" s="88" t="inlineStr">
        <is>
          <t>field</t>
        </is>
      </c>
      <c r="Z1" s="88" t="inlineStr">
        <is>
          <t>vendor</t>
        </is>
      </c>
      <c r="AA1" s="88" t="inlineStr">
        <is>
          <t>commercial</t>
        </is>
      </c>
      <c r="AB1" s="88" t="inlineStr">
        <is>
          <t>certified</t>
        </is>
      </c>
      <c r="AC1" s="84" t="inlineStr">
        <is>
          <t>quality_check</t>
        </is>
      </c>
      <c r="AD1" s="88" t="inlineStr">
        <is>
          <t>architecture</t>
        </is>
      </c>
      <c r="AE1" s="88" t="inlineStr">
        <is>
          <t>region</t>
        </is>
      </c>
      <c r="AF1" s="88" t="inlineStr">
        <is>
          <t>aigradable</t>
        </is>
      </c>
      <c r="AG1" s="88" t="inlineStr">
        <is>
          <t>hgradable</t>
        </is>
      </c>
      <c r="AH1" s="88" t="inlineStr">
        <is>
          <t>total_eye1</t>
        </is>
      </c>
      <c r="AI1" s="103" t="inlineStr">
        <is>
          <t>prevalence</t>
        </is>
      </c>
      <c r="AJ1" s="103" t="inlineStr">
        <is>
          <t>positive1</t>
        </is>
      </c>
      <c r="AK1" s="103" t="inlineStr">
        <is>
          <t>negative1</t>
        </is>
      </c>
      <c r="AL1" s="103" t="inlineStr">
        <is>
          <t>sensitivity1</t>
        </is>
      </c>
      <c r="AM1" s="103" t="inlineStr">
        <is>
          <t>specificity1</t>
        </is>
      </c>
      <c r="AN1" s="88" t="inlineStr">
        <is>
          <t>tp1</t>
        </is>
      </c>
      <c r="AO1" s="88" t="inlineStr">
        <is>
          <t>fn1</t>
        </is>
      </c>
      <c r="AP1" s="88" t="inlineStr">
        <is>
          <t>tn1</t>
        </is>
      </c>
      <c r="AQ1" s="88" t="inlineStr">
        <is>
          <t>fp1</t>
        </is>
      </c>
    </row>
    <row r="2" ht="16" customHeight="1" s="55">
      <c r="A2" s="88" t="inlineStr">
        <is>
          <t>Similié et al. 2025</t>
        </is>
      </c>
      <c r="B2" s="86" t="inlineStr">
        <is>
          <t>Reader</t>
        </is>
      </c>
      <c r="C2" s="86" t="inlineStr">
        <is>
          <t>Certified human grader alone (Model 1)</t>
        </is>
      </c>
      <c r="D2" s="84" t="inlineStr">
        <is>
          <t>trainedgrader</t>
        </is>
      </c>
      <c r="E2" s="84" t="inlineStr">
        <is>
          <t>human_only</t>
        </is>
      </c>
      <c r="F2" s="86" t="inlineStr">
        <is>
          <t>original</t>
        </is>
      </c>
      <c r="G2" s="86" t="inlineStr">
        <is>
          <t>retrospective</t>
        </is>
      </c>
      <c r="H2" s="84" t="inlineStr">
        <is>
          <t>cross-sectional</t>
        </is>
      </c>
      <c r="I2" s="84" t="inlineStr">
        <is>
          <t>no</t>
        </is>
      </c>
      <c r="J2" s="84" t="inlineStr">
        <is>
          <t>DR screening programme</t>
        </is>
      </c>
      <c r="K2" s="86" t="inlineStr">
        <is>
          <t>high</t>
        </is>
      </c>
      <c r="L2" s="86" t="inlineStr">
        <is>
          <t>primary</t>
        </is>
      </c>
      <c r="M2" s="86" t="inlineStr">
        <is>
          <t>no</t>
        </is>
      </c>
      <c r="N2" s="86" t="inlineStr">
        <is>
          <t>any dr</t>
        </is>
      </c>
      <c r="O2" s="86" t="inlineStr">
        <is>
          <t>no</t>
        </is>
      </c>
      <c r="P2" s="86" t="inlineStr">
        <is>
          <t>mydriatic</t>
        </is>
      </c>
      <c r="Q2" s="86" t="inlineStr">
        <is>
          <t>desktop</t>
        </is>
      </c>
      <c r="R2" s="84" t="inlineStr">
        <is>
          <t>single</t>
        </is>
      </c>
      <c r="S2" s="84" t="inlineStr">
        <is>
          <t>similie_2025</t>
        </is>
      </c>
      <c r="T2" s="86" t="inlineStr">
        <is>
          <t>icdr</t>
        </is>
      </c>
      <c r="U2" s="84" t="inlineStr">
        <is>
          <t>PP</t>
        </is>
      </c>
      <c r="V2" s="86" t="inlineStr">
        <is>
          <t>reading center</t>
        </is>
      </c>
      <c r="W2" s="56" t="inlineStr">
        <is>
          <t>no</t>
        </is>
      </c>
      <c r="X2" s="86" t="inlineStr">
        <is>
          <t>fundus</t>
        </is>
      </c>
      <c r="Y2" s="86" t="inlineStr">
        <is>
          <t>&gt;2</t>
        </is>
      </c>
      <c r="Z2" s="86" t="inlineStr">
        <is>
          <t>no</t>
        </is>
      </c>
      <c r="AA2" s="86" t="inlineStr">
        <is>
          <t>no</t>
        </is>
      </c>
      <c r="AB2" s="86" t="inlineStr">
        <is>
          <t>no</t>
        </is>
      </c>
      <c r="AC2" s="84" t="inlineStr">
        <is>
          <t>no</t>
        </is>
      </c>
      <c r="AD2" s="86" t="inlineStr">
        <is>
          <t>Inception</t>
        </is>
      </c>
      <c r="AE2" s="86" t="inlineStr">
        <is>
          <t>europe</t>
        </is>
      </c>
      <c r="AF2" s="56" t="inlineStr">
        <is>
          <t>high</t>
        </is>
      </c>
      <c r="AG2" s="56" t="inlineStr">
        <is>
          <t>high</t>
        </is>
      </c>
      <c r="AH2" s="86" t="n">
        <v>500</v>
      </c>
      <c r="AI2" s="86" t="n">
        <v>0.806</v>
      </c>
      <c r="AJ2" s="86" t="n">
        <v>403</v>
      </c>
      <c r="AK2" s="86" t="n">
        <v>97</v>
      </c>
      <c r="AL2" s="86" t="n">
        <v>0.95</v>
      </c>
      <c r="AM2" s="86" t="n">
        <v>0.825</v>
      </c>
      <c r="AN2" s="86" t="n">
        <v>383</v>
      </c>
      <c r="AO2" s="86" t="n">
        <v>20</v>
      </c>
      <c r="AP2" s="86" t="n">
        <v>80</v>
      </c>
      <c r="AQ2" s="86" t="n">
        <v>17</v>
      </c>
    </row>
    <row r="3" ht="16" customHeight="1" s="55">
      <c r="A3" s="88" t="inlineStr">
        <is>
          <t>Similié et al. 2025</t>
        </is>
      </c>
      <c r="B3" s="86" t="inlineStr">
        <is>
          <t>DL_assisted_reader</t>
        </is>
      </c>
      <c r="C3" s="86" t="inlineStr">
        <is>
          <t>Same grader + DL assistance (Model 2)</t>
        </is>
      </c>
      <c r="D3" s="84" t="inlineStr">
        <is>
          <t>trainedgrader</t>
        </is>
      </c>
      <c r="E3" s="84" t="inlineStr">
        <is>
          <t>human_with_ai</t>
        </is>
      </c>
      <c r="F3" s="86" t="inlineStr">
        <is>
          <t>original</t>
        </is>
      </c>
      <c r="G3" s="86" t="inlineStr">
        <is>
          <t>retrospective</t>
        </is>
      </c>
      <c r="H3" s="84" t="inlineStr">
        <is>
          <t>cross-sectional</t>
        </is>
      </c>
      <c r="I3" s="84" t="inlineStr">
        <is>
          <t>no</t>
        </is>
      </c>
      <c r="J3" s="84" t="inlineStr">
        <is>
          <t>DR screening programme</t>
        </is>
      </c>
      <c r="K3" s="86" t="inlineStr">
        <is>
          <t>high</t>
        </is>
      </c>
      <c r="L3" s="86" t="inlineStr">
        <is>
          <t>primary</t>
        </is>
      </c>
      <c r="M3" s="86" t="inlineStr">
        <is>
          <t>no</t>
        </is>
      </c>
      <c r="N3" s="86" t="inlineStr">
        <is>
          <t>any dr</t>
        </is>
      </c>
      <c r="O3" s="86" t="inlineStr">
        <is>
          <t>no</t>
        </is>
      </c>
      <c r="P3" s="86" t="inlineStr">
        <is>
          <t>mydriatic</t>
        </is>
      </c>
      <c r="Q3" s="86" t="inlineStr">
        <is>
          <t>desktop</t>
        </is>
      </c>
      <c r="R3" s="84" t="inlineStr">
        <is>
          <t>single</t>
        </is>
      </c>
      <c r="S3" s="84" t="inlineStr">
        <is>
          <t>similie_2025</t>
        </is>
      </c>
      <c r="T3" s="86" t="inlineStr">
        <is>
          <t>icdr</t>
        </is>
      </c>
      <c r="U3" s="84" t="inlineStr">
        <is>
          <t>PP</t>
        </is>
      </c>
      <c r="V3" s="86" t="inlineStr">
        <is>
          <t>reading center</t>
        </is>
      </c>
      <c r="W3" s="56" t="inlineStr">
        <is>
          <t>no</t>
        </is>
      </c>
      <c r="X3" s="86" t="inlineStr">
        <is>
          <t>fundus</t>
        </is>
      </c>
      <c r="Y3" s="86" t="inlineStr">
        <is>
          <t>&gt;2</t>
        </is>
      </c>
      <c r="Z3" s="86" t="inlineStr">
        <is>
          <t>no</t>
        </is>
      </c>
      <c r="AA3" s="86" t="inlineStr">
        <is>
          <t>no</t>
        </is>
      </c>
      <c r="AB3" s="86" t="inlineStr">
        <is>
          <t>no</t>
        </is>
      </c>
      <c r="AC3" s="84" t="inlineStr">
        <is>
          <t>no</t>
        </is>
      </c>
      <c r="AD3" s="86" t="inlineStr">
        <is>
          <t>Inception</t>
        </is>
      </c>
      <c r="AE3" s="86" t="inlineStr">
        <is>
          <t>europe</t>
        </is>
      </c>
      <c r="AF3" s="56" t="inlineStr">
        <is>
          <t>high</t>
        </is>
      </c>
      <c r="AG3" s="56" t="inlineStr">
        <is>
          <t>high</t>
        </is>
      </c>
      <c r="AH3" s="86" t="n">
        <v>500</v>
      </c>
      <c r="AI3" s="86" t="n">
        <v>0.806</v>
      </c>
      <c r="AJ3" s="86" t="n">
        <v>403</v>
      </c>
      <c r="AK3" s="86" t="n">
        <v>97</v>
      </c>
      <c r="AL3" s="86" t="n">
        <v>0.9399999999999999</v>
      </c>
      <c r="AM3" s="86" t="n">
        <v>0.835</v>
      </c>
      <c r="AN3" s="86" t="n">
        <v>379</v>
      </c>
      <c r="AO3" s="86" t="n">
        <v>24</v>
      </c>
      <c r="AP3" s="86" t="n">
        <v>81</v>
      </c>
      <c r="AQ3" s="86" t="n">
        <v>16</v>
      </c>
    </row>
    <row r="4" ht="16" customHeight="1" s="55">
      <c r="A4" s="88" t="inlineStr">
        <is>
          <t>Similié et al. 2025</t>
        </is>
      </c>
      <c r="B4" s="86" t="inlineStr">
        <is>
          <t>DL</t>
        </is>
      </c>
      <c r="C4" s="86" t="inlineStr">
        <is>
          <t>Autonomous DL algorithm (Model 3)</t>
        </is>
      </c>
      <c r="D4" s="84" t="inlineStr">
        <is>
          <t>NR</t>
        </is>
      </c>
      <c r="E4" s="84" t="inlineStr">
        <is>
          <t>ai_only</t>
        </is>
      </c>
      <c r="F4" s="86" t="inlineStr">
        <is>
          <t>original</t>
        </is>
      </c>
      <c r="G4" s="86" t="inlineStr">
        <is>
          <t>retrospective</t>
        </is>
      </c>
      <c r="H4" s="84" t="inlineStr">
        <is>
          <t>cross-sectional</t>
        </is>
      </c>
      <c r="I4" s="84" t="inlineStr">
        <is>
          <t>no</t>
        </is>
      </c>
      <c r="J4" s="84" t="inlineStr">
        <is>
          <t>DR screening programme</t>
        </is>
      </c>
      <c r="K4" s="86" t="inlineStr">
        <is>
          <t>high</t>
        </is>
      </c>
      <c r="L4" s="86" t="inlineStr">
        <is>
          <t>primary</t>
        </is>
      </c>
      <c r="M4" s="86" t="inlineStr">
        <is>
          <t>no</t>
        </is>
      </c>
      <c r="N4" s="86" t="inlineStr">
        <is>
          <t>any dr</t>
        </is>
      </c>
      <c r="O4" s="86" t="inlineStr">
        <is>
          <t>no</t>
        </is>
      </c>
      <c r="P4" s="86" t="inlineStr">
        <is>
          <t>mydriatic</t>
        </is>
      </c>
      <c r="Q4" s="86" t="inlineStr">
        <is>
          <t>desktop</t>
        </is>
      </c>
      <c r="R4" s="84" t="inlineStr">
        <is>
          <t>single</t>
        </is>
      </c>
      <c r="S4" s="84" t="inlineStr">
        <is>
          <t>similie_2025</t>
        </is>
      </c>
      <c r="T4" s="86" t="inlineStr">
        <is>
          <t>icdr</t>
        </is>
      </c>
      <c r="U4" s="84" t="inlineStr">
        <is>
          <t>PP</t>
        </is>
      </c>
      <c r="V4" s="86" t="inlineStr">
        <is>
          <t>reading center</t>
        </is>
      </c>
      <c r="W4" s="56" t="inlineStr">
        <is>
          <t>no</t>
        </is>
      </c>
      <c r="X4" s="86" t="inlineStr">
        <is>
          <t>fundus</t>
        </is>
      </c>
      <c r="Y4" s="86" t="inlineStr">
        <is>
          <t>&gt;2</t>
        </is>
      </c>
      <c r="Z4" s="86" t="inlineStr">
        <is>
          <t>no</t>
        </is>
      </c>
      <c r="AA4" s="86" t="inlineStr">
        <is>
          <t>no</t>
        </is>
      </c>
      <c r="AB4" s="86" t="inlineStr">
        <is>
          <t>no</t>
        </is>
      </c>
      <c r="AC4" s="84" t="inlineStr">
        <is>
          <t>no</t>
        </is>
      </c>
      <c r="AD4" s="86" t="inlineStr">
        <is>
          <t>Inception</t>
        </is>
      </c>
      <c r="AE4" s="86" t="inlineStr">
        <is>
          <t>europe</t>
        </is>
      </c>
      <c r="AF4" s="56" t="inlineStr">
        <is>
          <t>high</t>
        </is>
      </c>
      <c r="AG4" s="56" t="inlineStr">
        <is>
          <t>high</t>
        </is>
      </c>
      <c r="AH4" s="86" t="n">
        <v>500</v>
      </c>
      <c r="AI4" s="86" t="n">
        <v>0.806</v>
      </c>
      <c r="AJ4" s="86" t="n">
        <v>403</v>
      </c>
      <c r="AK4" s="86" t="n">
        <v>97</v>
      </c>
      <c r="AL4" s="86" t="n">
        <v>0.784</v>
      </c>
      <c r="AM4" s="86" t="n">
        <v>0.8139999999999999</v>
      </c>
      <c r="AN4" s="86" t="n">
        <v>316</v>
      </c>
      <c r="AO4" s="86" t="n">
        <v>87</v>
      </c>
      <c r="AP4" s="86" t="n">
        <v>79</v>
      </c>
      <c r="AQ4" s="86" t="n">
        <v>18</v>
      </c>
    </row>
    <row r="5" ht="16" customHeight="1" s="55">
      <c r="A5" s="88" t="inlineStr">
        <is>
          <t>Zhao et al. 2025</t>
        </is>
      </c>
      <c r="B5" s="86" t="inlineStr">
        <is>
          <t>DL</t>
        </is>
      </c>
      <c r="C5" s="86" t="inlineStr">
        <is>
          <t>WARM model</t>
        </is>
      </c>
      <c r="D5" s="84" t="inlineStr">
        <is>
          <t>NR</t>
        </is>
      </c>
      <c r="E5" s="84" t="inlineStr">
        <is>
          <t>ai_only</t>
        </is>
      </c>
      <c r="F5" s="86" t="inlineStr">
        <is>
          <t>original</t>
        </is>
      </c>
      <c r="G5" s="86" t="inlineStr">
        <is>
          <t>prospective</t>
        </is>
      </c>
      <c r="H5" s="84" t="inlineStr">
        <is>
          <t>cross-sectional</t>
        </is>
      </c>
      <c r="I5" s="84" t="inlineStr">
        <is>
          <t>yes</t>
        </is>
      </c>
      <c r="J5" s="84" t="inlineStr">
        <is>
          <t>tertiary hospitals</t>
        </is>
      </c>
      <c r="K5" s="86" t="inlineStr">
        <is>
          <t>middle</t>
        </is>
      </c>
      <c r="L5" s="86" t="inlineStr">
        <is>
          <t>tertiary</t>
        </is>
      </c>
      <c r="M5" s="86" t="inlineStr">
        <is>
          <t>yes</t>
        </is>
      </c>
      <c r="N5" s="86" t="inlineStr">
        <is>
          <t>any dr</t>
        </is>
      </c>
      <c r="O5" s="86" t="inlineStr">
        <is>
          <t>yes</t>
        </is>
      </c>
      <c r="P5" s="86" t="inlineStr">
        <is>
          <t>non-mydriatic</t>
        </is>
      </c>
      <c r="Q5" s="86" t="inlineStr">
        <is>
          <t>desktop</t>
        </is>
      </c>
      <c r="R5" s="84" t="inlineStr">
        <is>
          <t>single</t>
        </is>
      </c>
      <c r="S5" s="84" t="inlineStr">
        <is>
          <t>zhao_2025</t>
        </is>
      </c>
      <c r="T5" s="86" t="inlineStr">
        <is>
          <t>icdr</t>
        </is>
      </c>
      <c r="U5" s="84" t="inlineStr">
        <is>
          <t>PP</t>
        </is>
      </c>
      <c r="V5" s="86" t="inlineStr">
        <is>
          <t>expert panel</t>
        </is>
      </c>
      <c r="W5" s="56" t="inlineStr">
        <is>
          <t>yes</t>
        </is>
      </c>
      <c r="X5" s="86" t="inlineStr">
        <is>
          <t>fundus</t>
        </is>
      </c>
      <c r="Y5" s="86" t="inlineStr">
        <is>
          <t>&gt;2</t>
        </is>
      </c>
      <c r="Z5" s="86" t="inlineStr">
        <is>
          <t>no</t>
        </is>
      </c>
      <c r="AA5" s="58" t="inlineStr">
        <is>
          <t>yes</t>
        </is>
      </c>
      <c r="AB5" s="58" t="inlineStr">
        <is>
          <t>yes</t>
        </is>
      </c>
      <c r="AC5" s="84" t="inlineStr">
        <is>
          <t>yes</t>
        </is>
      </c>
      <c r="AD5" s="86" t="inlineStr">
        <is>
          <t>Transformer</t>
        </is>
      </c>
      <c r="AE5" s="86" t="inlineStr">
        <is>
          <t>asia</t>
        </is>
      </c>
      <c r="AF5" s="56" t="inlineStr">
        <is>
          <t>high</t>
        </is>
      </c>
      <c r="AG5" s="56" t="inlineStr">
        <is>
          <t>high</t>
        </is>
      </c>
      <c r="AH5" s="86" t="n">
        <v>8808</v>
      </c>
      <c r="AI5" s="86" t="n">
        <v>0.07199999999999999</v>
      </c>
      <c r="AJ5" s="86" t="n">
        <v>631</v>
      </c>
      <c r="AK5" s="86" t="n">
        <v>8177</v>
      </c>
      <c r="AL5" s="86" t="n">
        <v>0.956</v>
      </c>
      <c r="AM5" s="86" t="n">
        <v>0.962</v>
      </c>
      <c r="AN5" s="86" t="n">
        <v>603</v>
      </c>
      <c r="AO5" s="86" t="n">
        <v>28</v>
      </c>
      <c r="AP5" s="86" t="n">
        <v>7865</v>
      </c>
      <c r="AQ5" s="86" t="n">
        <v>312</v>
      </c>
    </row>
    <row r="6" ht="16" customHeight="1" s="55">
      <c r="A6" s="88" t="inlineStr">
        <is>
          <t>Zhao et al. 2025</t>
        </is>
      </c>
      <c r="B6" s="86" t="inlineStr">
        <is>
          <t>DL</t>
        </is>
      </c>
      <c r="C6" s="86" t="inlineStr">
        <is>
          <t>BASE model</t>
        </is>
      </c>
      <c r="D6" s="84" t="inlineStr">
        <is>
          <t>NR</t>
        </is>
      </c>
      <c r="E6" s="84" t="inlineStr">
        <is>
          <t>ai_only</t>
        </is>
      </c>
      <c r="F6" s="86" t="inlineStr">
        <is>
          <t>original</t>
        </is>
      </c>
      <c r="G6" s="86" t="inlineStr">
        <is>
          <t>prospective</t>
        </is>
      </c>
      <c r="H6" s="84" t="inlineStr">
        <is>
          <t>cross-sectional</t>
        </is>
      </c>
      <c r="I6" s="84" t="inlineStr">
        <is>
          <t>yes</t>
        </is>
      </c>
      <c r="J6" s="84" t="inlineStr">
        <is>
          <t>tertiary hospitals</t>
        </is>
      </c>
      <c r="K6" s="86" t="inlineStr">
        <is>
          <t>middle</t>
        </is>
      </c>
      <c r="L6" s="86" t="inlineStr">
        <is>
          <t>tertiary</t>
        </is>
      </c>
      <c r="M6" s="86" t="inlineStr">
        <is>
          <t>yes</t>
        </is>
      </c>
      <c r="N6" s="86" t="inlineStr">
        <is>
          <t>any dr</t>
        </is>
      </c>
      <c r="O6" s="86" t="inlineStr">
        <is>
          <t>yes</t>
        </is>
      </c>
      <c r="P6" s="86" t="inlineStr">
        <is>
          <t>non-mydriatic</t>
        </is>
      </c>
      <c r="Q6" s="86" t="inlineStr">
        <is>
          <t>desktop</t>
        </is>
      </c>
      <c r="R6" s="84" t="inlineStr">
        <is>
          <t>single</t>
        </is>
      </c>
      <c r="S6" s="84" t="inlineStr">
        <is>
          <t>zhao_2025</t>
        </is>
      </c>
      <c r="T6" s="86" t="inlineStr">
        <is>
          <t>icdr</t>
        </is>
      </c>
      <c r="U6" s="84" t="inlineStr">
        <is>
          <t>PP</t>
        </is>
      </c>
      <c r="V6" s="86" t="inlineStr">
        <is>
          <t>expert panel</t>
        </is>
      </c>
      <c r="W6" s="56" t="inlineStr">
        <is>
          <t>yes</t>
        </is>
      </c>
      <c r="X6" s="86" t="inlineStr">
        <is>
          <t>fundus</t>
        </is>
      </c>
      <c r="Y6" s="86" t="inlineStr">
        <is>
          <t>&gt;2</t>
        </is>
      </c>
      <c r="Z6" s="86" t="inlineStr">
        <is>
          <t>no</t>
        </is>
      </c>
      <c r="AA6" s="58" t="inlineStr">
        <is>
          <t>yes</t>
        </is>
      </c>
      <c r="AB6" s="58" t="inlineStr">
        <is>
          <t>yes</t>
        </is>
      </c>
      <c r="AC6" s="84" t="inlineStr">
        <is>
          <t>yes</t>
        </is>
      </c>
      <c r="AD6" s="86" t="inlineStr">
        <is>
          <t>Transformer</t>
        </is>
      </c>
      <c r="AE6" s="86" t="inlineStr">
        <is>
          <t>asia</t>
        </is>
      </c>
      <c r="AF6" s="56" t="inlineStr">
        <is>
          <t>high</t>
        </is>
      </c>
      <c r="AG6" s="56" t="inlineStr">
        <is>
          <t>high</t>
        </is>
      </c>
      <c r="AH6" s="86" t="n">
        <v>8808</v>
      </c>
      <c r="AI6" s="86" t="n">
        <v>0.07199999999999999</v>
      </c>
      <c r="AJ6" s="86" t="n">
        <v>631</v>
      </c>
      <c r="AK6" s="86" t="n">
        <v>8177</v>
      </c>
      <c r="AL6" s="86" t="n">
        <v>0.945</v>
      </c>
      <c r="AM6" s="86" t="n">
        <v>0.968</v>
      </c>
      <c r="AN6" s="86" t="n">
        <v>596</v>
      </c>
      <c r="AO6" s="86" t="n">
        <v>35</v>
      </c>
      <c r="AP6" s="86" t="n">
        <v>7915</v>
      </c>
      <c r="AQ6" s="86" t="n">
        <v>262</v>
      </c>
    </row>
    <row r="7" ht="16" customHeight="1" s="55">
      <c r="A7" s="88" t="inlineStr">
        <is>
          <t>Zhao et al. 2025</t>
        </is>
      </c>
      <c r="B7" s="86" t="inlineStr">
        <is>
          <t>DL</t>
        </is>
      </c>
      <c r="C7" s="86" t="inlineStr">
        <is>
          <t>WARM-PPR model</t>
        </is>
      </c>
      <c r="D7" s="84" t="inlineStr">
        <is>
          <t>NR</t>
        </is>
      </c>
      <c r="E7" s="84" t="inlineStr">
        <is>
          <t>ai_only</t>
        </is>
      </c>
      <c r="F7" s="86" t="inlineStr">
        <is>
          <t>original</t>
        </is>
      </c>
      <c r="G7" s="86" t="inlineStr">
        <is>
          <t>prospective</t>
        </is>
      </c>
      <c r="H7" s="84" t="inlineStr">
        <is>
          <t>cross-sectional</t>
        </is>
      </c>
      <c r="I7" s="84" t="inlineStr">
        <is>
          <t>yes</t>
        </is>
      </c>
      <c r="J7" s="84" t="inlineStr">
        <is>
          <t>tertiary hospitals</t>
        </is>
      </c>
      <c r="K7" s="86" t="inlineStr">
        <is>
          <t>middle</t>
        </is>
      </c>
      <c r="L7" s="86" t="inlineStr">
        <is>
          <t>tertiary</t>
        </is>
      </c>
      <c r="M7" s="86" t="inlineStr">
        <is>
          <t>yes</t>
        </is>
      </c>
      <c r="N7" s="86" t="inlineStr">
        <is>
          <t>any dr</t>
        </is>
      </c>
      <c r="O7" s="86" t="inlineStr">
        <is>
          <t>yes</t>
        </is>
      </c>
      <c r="P7" s="86" t="inlineStr">
        <is>
          <t>non-mydriatic</t>
        </is>
      </c>
      <c r="Q7" s="86" t="inlineStr">
        <is>
          <t>desktop</t>
        </is>
      </c>
      <c r="R7" s="84" t="inlineStr">
        <is>
          <t>single</t>
        </is>
      </c>
      <c r="S7" s="84" t="inlineStr">
        <is>
          <t>zhao_2025</t>
        </is>
      </c>
      <c r="T7" s="86" t="inlineStr">
        <is>
          <t>icdr</t>
        </is>
      </c>
      <c r="U7" s="84" t="inlineStr">
        <is>
          <t>PP</t>
        </is>
      </c>
      <c r="V7" s="86" t="inlineStr">
        <is>
          <t>expert panel</t>
        </is>
      </c>
      <c r="W7" s="56" t="inlineStr">
        <is>
          <t>yes</t>
        </is>
      </c>
      <c r="X7" s="86" t="inlineStr">
        <is>
          <t>fundus</t>
        </is>
      </c>
      <c r="Y7" s="86" t="inlineStr">
        <is>
          <t>&gt;2</t>
        </is>
      </c>
      <c r="Z7" s="86" t="inlineStr">
        <is>
          <t>no</t>
        </is>
      </c>
      <c r="AA7" s="58" t="inlineStr">
        <is>
          <t>yes</t>
        </is>
      </c>
      <c r="AB7" s="58" t="inlineStr">
        <is>
          <t>yes</t>
        </is>
      </c>
      <c r="AC7" s="84" t="inlineStr">
        <is>
          <t>yes</t>
        </is>
      </c>
      <c r="AD7" s="86" t="inlineStr">
        <is>
          <t>AI-assisted</t>
        </is>
      </c>
      <c r="AE7" s="86" t="inlineStr">
        <is>
          <t>asia</t>
        </is>
      </c>
      <c r="AF7" s="56" t="inlineStr">
        <is>
          <t>high</t>
        </is>
      </c>
      <c r="AG7" s="56" t="inlineStr">
        <is>
          <t>high</t>
        </is>
      </c>
      <c r="AH7" s="86" t="n">
        <v>8808</v>
      </c>
      <c r="AI7" s="86" t="n">
        <v>0.07199999999999999</v>
      </c>
      <c r="AJ7" s="86" t="n">
        <v>631</v>
      </c>
      <c r="AK7" s="86" t="n">
        <v>8177</v>
      </c>
      <c r="AL7" s="86" t="n">
        <v>0.9350000000000001</v>
      </c>
      <c r="AM7" s="86" t="n">
        <v>0.959</v>
      </c>
      <c r="AN7" s="86" t="n">
        <v>590</v>
      </c>
      <c r="AO7" s="86" t="n">
        <v>41</v>
      </c>
      <c r="AP7" s="86" t="n">
        <v>7841</v>
      </c>
      <c r="AQ7" s="86" t="n">
        <v>336</v>
      </c>
    </row>
    <row r="8" ht="16" customHeight="1" s="55">
      <c r="A8" s="88" t="inlineStr">
        <is>
          <t>Zhao et al. 2025</t>
        </is>
      </c>
      <c r="B8" s="86" t="inlineStr">
        <is>
          <t>Reader</t>
        </is>
      </c>
      <c r="C8" s="86" t="inlineStr">
        <is>
          <t>JUNIOR ophthalmologists</t>
        </is>
      </c>
      <c r="D8" s="84" t="inlineStr">
        <is>
          <t>ophthalmologist</t>
        </is>
      </c>
      <c r="E8" s="84" t="inlineStr">
        <is>
          <t>human_only</t>
        </is>
      </c>
      <c r="F8" s="86" t="inlineStr">
        <is>
          <t>original</t>
        </is>
      </c>
      <c r="G8" s="86" t="inlineStr">
        <is>
          <t>prospective</t>
        </is>
      </c>
      <c r="H8" s="84" t="inlineStr">
        <is>
          <t>cross-sectional</t>
        </is>
      </c>
      <c r="I8" s="84" t="inlineStr">
        <is>
          <t>yes</t>
        </is>
      </c>
      <c r="J8" s="84" t="inlineStr">
        <is>
          <t>tertiary hospitals</t>
        </is>
      </c>
      <c r="K8" s="86" t="inlineStr">
        <is>
          <t>middle</t>
        </is>
      </c>
      <c r="L8" s="86" t="inlineStr">
        <is>
          <t>tertiary</t>
        </is>
      </c>
      <c r="M8" s="86" t="inlineStr">
        <is>
          <t>yes</t>
        </is>
      </c>
      <c r="N8" s="86" t="inlineStr">
        <is>
          <t>any dr</t>
        </is>
      </c>
      <c r="O8" s="86" t="inlineStr">
        <is>
          <t>yes</t>
        </is>
      </c>
      <c r="P8" s="86" t="inlineStr">
        <is>
          <t>non-mydriatic</t>
        </is>
      </c>
      <c r="Q8" s="86" t="inlineStr">
        <is>
          <t>desktop</t>
        </is>
      </c>
      <c r="R8" s="84" t="inlineStr">
        <is>
          <t>single</t>
        </is>
      </c>
      <c r="S8" s="84" t="inlineStr">
        <is>
          <t>zhao_2025</t>
        </is>
      </c>
      <c r="T8" s="86" t="inlineStr">
        <is>
          <t>icdr</t>
        </is>
      </c>
      <c r="U8" s="84" t="inlineStr">
        <is>
          <t>PP</t>
        </is>
      </c>
      <c r="V8" s="86" t="inlineStr">
        <is>
          <t>expert panel</t>
        </is>
      </c>
      <c r="W8" s="56" t="inlineStr">
        <is>
          <t>yes</t>
        </is>
      </c>
      <c r="X8" s="86" t="inlineStr">
        <is>
          <t>fundus</t>
        </is>
      </c>
      <c r="Y8" s="86" t="inlineStr">
        <is>
          <t>&gt;2</t>
        </is>
      </c>
      <c r="Z8" s="58" t="inlineStr">
        <is>
          <t>no</t>
        </is>
      </c>
      <c r="AA8" s="58" t="inlineStr">
        <is>
          <t>yes</t>
        </is>
      </c>
      <c r="AB8" s="58" t="inlineStr">
        <is>
          <t>yes</t>
        </is>
      </c>
      <c r="AC8" s="84" t="inlineStr">
        <is>
          <t>yes</t>
        </is>
      </c>
      <c r="AD8" s="86" t="inlineStr">
        <is>
          <t>NR</t>
        </is>
      </c>
      <c r="AE8" s="86" t="inlineStr">
        <is>
          <t>asia</t>
        </is>
      </c>
      <c r="AF8" s="56" t="inlineStr">
        <is>
          <t>high</t>
        </is>
      </c>
      <c r="AG8" s="56" t="inlineStr">
        <is>
          <t>high</t>
        </is>
      </c>
      <c r="AH8" s="86" t="n">
        <v>8808</v>
      </c>
      <c r="AI8" s="86" t="n">
        <v>0.07199999999999999</v>
      </c>
      <c r="AJ8" s="86" t="n">
        <v>631</v>
      </c>
      <c r="AK8" s="86" t="n">
        <v>8177</v>
      </c>
      <c r="AL8" s="86" t="n">
        <v>0.83</v>
      </c>
      <c r="AM8" s="86" t="n">
        <v>0.993</v>
      </c>
      <c r="AN8" s="86" t="n">
        <v>524</v>
      </c>
      <c r="AO8" s="86" t="n">
        <v>107</v>
      </c>
      <c r="AP8" s="86" t="n">
        <v>8117</v>
      </c>
      <c r="AQ8" s="86" t="n">
        <v>60</v>
      </c>
    </row>
    <row r="9" ht="16" customHeight="1" s="55">
      <c r="A9" s="88" t="inlineStr">
        <is>
          <t>Zhao et al. 2025</t>
        </is>
      </c>
      <c r="B9" s="86" t="inlineStr">
        <is>
          <t>DL</t>
        </is>
      </c>
      <c r="C9" s="86" t="inlineStr">
        <is>
          <t>WARM model</t>
        </is>
      </c>
      <c r="D9" s="84" t="inlineStr">
        <is>
          <t>NR</t>
        </is>
      </c>
      <c r="E9" s="84" t="inlineStr">
        <is>
          <t>ai_only</t>
        </is>
      </c>
      <c r="F9" s="86" t="inlineStr">
        <is>
          <t>original</t>
        </is>
      </c>
      <c r="G9" s="86" t="inlineStr">
        <is>
          <t>prospective</t>
        </is>
      </c>
      <c r="H9" s="84" t="inlineStr">
        <is>
          <t>cross-sectional</t>
        </is>
      </c>
      <c r="I9" s="84" t="inlineStr">
        <is>
          <t>yes</t>
        </is>
      </c>
      <c r="J9" s="84" t="inlineStr">
        <is>
          <t>tertiary hospitals</t>
        </is>
      </c>
      <c r="K9" s="86" t="inlineStr">
        <is>
          <t>middle</t>
        </is>
      </c>
      <c r="L9" s="86" t="inlineStr">
        <is>
          <t>tertiary</t>
        </is>
      </c>
      <c r="M9" s="86" t="inlineStr">
        <is>
          <t>yes</t>
        </is>
      </c>
      <c r="N9" s="86" t="inlineStr">
        <is>
          <t>any dr</t>
        </is>
      </c>
      <c r="O9" s="86" t="inlineStr">
        <is>
          <t>yes</t>
        </is>
      </c>
      <c r="P9" s="86" t="inlineStr">
        <is>
          <t>non-mydriatic</t>
        </is>
      </c>
      <c r="Q9" s="86" t="inlineStr">
        <is>
          <t>desktop</t>
        </is>
      </c>
      <c r="R9" s="84" t="inlineStr">
        <is>
          <t>single</t>
        </is>
      </c>
      <c r="S9" s="84" t="inlineStr">
        <is>
          <t>zhao_2025</t>
        </is>
      </c>
      <c r="T9" s="86" t="inlineStr">
        <is>
          <t>icdr</t>
        </is>
      </c>
      <c r="U9" s="84" t="inlineStr">
        <is>
          <t>PP</t>
        </is>
      </c>
      <c r="V9" s="86" t="inlineStr">
        <is>
          <t>expert panel</t>
        </is>
      </c>
      <c r="W9" s="56" t="inlineStr">
        <is>
          <t>yes</t>
        </is>
      </c>
      <c r="X9" s="86" t="inlineStr">
        <is>
          <t>fundus</t>
        </is>
      </c>
      <c r="Y9" s="86" t="inlineStr">
        <is>
          <t>&gt;2</t>
        </is>
      </c>
      <c r="Z9" s="86" t="inlineStr">
        <is>
          <t>no</t>
        </is>
      </c>
      <c r="AA9" s="58" t="inlineStr">
        <is>
          <t>yes</t>
        </is>
      </c>
      <c r="AB9" s="58" t="inlineStr">
        <is>
          <t>yes</t>
        </is>
      </c>
      <c r="AC9" s="84" t="inlineStr">
        <is>
          <t>yes</t>
        </is>
      </c>
      <c r="AD9" s="86" t="inlineStr">
        <is>
          <t>Transformer</t>
        </is>
      </c>
      <c r="AE9" s="86" t="inlineStr">
        <is>
          <t>asia</t>
        </is>
      </c>
      <c r="AF9" s="56" t="inlineStr">
        <is>
          <t>high</t>
        </is>
      </c>
      <c r="AG9" s="56" t="inlineStr">
        <is>
          <t>high</t>
        </is>
      </c>
      <c r="AH9" s="86" t="n">
        <v>15436</v>
      </c>
      <c r="AI9" s="86" t="n">
        <v>0.148</v>
      </c>
      <c r="AJ9" s="86" t="n">
        <v>2288</v>
      </c>
      <c r="AK9" s="86" t="n">
        <v>13148</v>
      </c>
      <c r="AL9" s="86" t="n">
        <v>0.909</v>
      </c>
      <c r="AM9" s="86" t="n">
        <v>0.977</v>
      </c>
      <c r="AN9" s="86" t="n">
        <v>2080</v>
      </c>
      <c r="AO9" s="86" t="n">
        <v>208</v>
      </c>
      <c r="AP9" s="86" t="n">
        <v>12843</v>
      </c>
      <c r="AQ9" s="86" t="n">
        <v>305</v>
      </c>
    </row>
    <row r="10" ht="16" customHeight="1" s="55">
      <c r="A10" s="88" t="inlineStr">
        <is>
          <t>Zhao et al. 2025</t>
        </is>
      </c>
      <c r="B10" s="86" t="inlineStr">
        <is>
          <t>DL</t>
        </is>
      </c>
      <c r="C10" s="86" t="inlineStr">
        <is>
          <t>BASE model</t>
        </is>
      </c>
      <c r="D10" s="84" t="inlineStr">
        <is>
          <t>NR</t>
        </is>
      </c>
      <c r="E10" s="84" t="inlineStr">
        <is>
          <t>ai_only</t>
        </is>
      </c>
      <c r="F10" s="86" t="inlineStr">
        <is>
          <t>original</t>
        </is>
      </c>
      <c r="G10" s="86" t="inlineStr">
        <is>
          <t>prospective</t>
        </is>
      </c>
      <c r="H10" s="84" t="inlineStr">
        <is>
          <t>cross-sectional</t>
        </is>
      </c>
      <c r="I10" s="84" t="inlineStr">
        <is>
          <t>yes</t>
        </is>
      </c>
      <c r="J10" s="84" t="inlineStr">
        <is>
          <t>tertiary hospitals</t>
        </is>
      </c>
      <c r="K10" s="86" t="inlineStr">
        <is>
          <t>middle</t>
        </is>
      </c>
      <c r="L10" s="86" t="inlineStr">
        <is>
          <t>tertiary</t>
        </is>
      </c>
      <c r="M10" s="86" t="inlineStr">
        <is>
          <t>yes</t>
        </is>
      </c>
      <c r="N10" s="86" t="inlineStr">
        <is>
          <t>any dr</t>
        </is>
      </c>
      <c r="O10" s="86" t="inlineStr">
        <is>
          <t>yes</t>
        </is>
      </c>
      <c r="P10" s="86" t="inlineStr">
        <is>
          <t>non-mydriatic</t>
        </is>
      </c>
      <c r="Q10" s="86" t="inlineStr">
        <is>
          <t>desktop</t>
        </is>
      </c>
      <c r="R10" s="84" t="inlineStr">
        <is>
          <t>single</t>
        </is>
      </c>
      <c r="S10" s="84" t="inlineStr">
        <is>
          <t>zhao_2025</t>
        </is>
      </c>
      <c r="T10" s="86" t="inlineStr">
        <is>
          <t>icdr</t>
        </is>
      </c>
      <c r="U10" s="84" t="inlineStr">
        <is>
          <t>PP</t>
        </is>
      </c>
      <c r="V10" s="86" t="inlineStr">
        <is>
          <t>expert panel</t>
        </is>
      </c>
      <c r="W10" s="56" t="inlineStr">
        <is>
          <t>yes</t>
        </is>
      </c>
      <c r="X10" s="86" t="inlineStr">
        <is>
          <t>fundus</t>
        </is>
      </c>
      <c r="Y10" s="86" t="inlineStr">
        <is>
          <t>&gt;2</t>
        </is>
      </c>
      <c r="Z10" s="86" t="inlineStr">
        <is>
          <t>no</t>
        </is>
      </c>
      <c r="AA10" s="58" t="inlineStr">
        <is>
          <t>yes</t>
        </is>
      </c>
      <c r="AB10" s="58" t="inlineStr">
        <is>
          <t>yes</t>
        </is>
      </c>
      <c r="AC10" s="84" t="inlineStr">
        <is>
          <t>yes</t>
        </is>
      </c>
      <c r="AD10" s="86" t="inlineStr">
        <is>
          <t>Transformer</t>
        </is>
      </c>
      <c r="AE10" s="86" t="inlineStr">
        <is>
          <t>asia</t>
        </is>
      </c>
      <c r="AF10" s="56" t="inlineStr">
        <is>
          <t>high</t>
        </is>
      </c>
      <c r="AG10" s="56" t="inlineStr">
        <is>
          <t>high</t>
        </is>
      </c>
      <c r="AH10" s="86" t="n">
        <v>15436</v>
      </c>
      <c r="AI10" s="86" t="n">
        <v>0.148</v>
      </c>
      <c r="AJ10" s="86" t="n">
        <v>2288</v>
      </c>
      <c r="AK10" s="86" t="n">
        <v>13148</v>
      </c>
      <c r="AL10" s="86" t="n">
        <v>0.866</v>
      </c>
      <c r="AM10" s="86" t="n">
        <v>0.978</v>
      </c>
      <c r="AN10" s="86" t="n">
        <v>1981</v>
      </c>
      <c r="AO10" s="86" t="n">
        <v>307</v>
      </c>
      <c r="AP10" s="86" t="n">
        <v>12860</v>
      </c>
      <c r="AQ10" s="86" t="n">
        <v>288</v>
      </c>
    </row>
    <row r="11" ht="16" customHeight="1" s="55">
      <c r="A11" s="88" t="inlineStr">
        <is>
          <t>Zhao et al. 2025</t>
        </is>
      </c>
      <c r="B11" s="86" t="inlineStr">
        <is>
          <t>DL</t>
        </is>
      </c>
      <c r="C11" s="86" t="inlineStr">
        <is>
          <t>WARM-PPR model</t>
        </is>
      </c>
      <c r="D11" s="84" t="inlineStr">
        <is>
          <t>NR</t>
        </is>
      </c>
      <c r="E11" s="84" t="inlineStr">
        <is>
          <t>ai_only</t>
        </is>
      </c>
      <c r="F11" s="86" t="inlineStr">
        <is>
          <t>original</t>
        </is>
      </c>
      <c r="G11" s="86" t="inlineStr">
        <is>
          <t>prospective</t>
        </is>
      </c>
      <c r="H11" s="84" t="inlineStr">
        <is>
          <t>cross-sectional</t>
        </is>
      </c>
      <c r="I11" s="84" t="inlineStr">
        <is>
          <t>yes</t>
        </is>
      </c>
      <c r="J11" s="84" t="inlineStr">
        <is>
          <t>tertiary hospitals</t>
        </is>
      </c>
      <c r="K11" s="86" t="inlineStr">
        <is>
          <t>middle</t>
        </is>
      </c>
      <c r="L11" s="86" t="inlineStr">
        <is>
          <t>tertiary</t>
        </is>
      </c>
      <c r="M11" s="86" t="inlineStr">
        <is>
          <t>yes</t>
        </is>
      </c>
      <c r="N11" s="86" t="inlineStr">
        <is>
          <t>any dr</t>
        </is>
      </c>
      <c r="O11" s="86" t="inlineStr">
        <is>
          <t>yes</t>
        </is>
      </c>
      <c r="P11" s="86" t="inlineStr">
        <is>
          <t>non-mydriatic</t>
        </is>
      </c>
      <c r="Q11" s="86" t="inlineStr">
        <is>
          <t>desktop</t>
        </is>
      </c>
      <c r="R11" s="84" t="inlineStr">
        <is>
          <t>single</t>
        </is>
      </c>
      <c r="S11" s="84" t="inlineStr">
        <is>
          <t>zhao_2025</t>
        </is>
      </c>
      <c r="T11" s="86" t="inlineStr">
        <is>
          <t>icdr</t>
        </is>
      </c>
      <c r="U11" s="84" t="inlineStr">
        <is>
          <t>PP</t>
        </is>
      </c>
      <c r="V11" s="86" t="inlineStr">
        <is>
          <t>expert panel</t>
        </is>
      </c>
      <c r="W11" s="56" t="inlineStr">
        <is>
          <t>yes</t>
        </is>
      </c>
      <c r="X11" s="86" t="inlineStr">
        <is>
          <t>fundus</t>
        </is>
      </c>
      <c r="Y11" s="86" t="inlineStr">
        <is>
          <t>&gt;2</t>
        </is>
      </c>
      <c r="Z11" s="86" t="inlineStr">
        <is>
          <t>no</t>
        </is>
      </c>
      <c r="AA11" s="58" t="inlineStr">
        <is>
          <t>yes</t>
        </is>
      </c>
      <c r="AB11" s="58" t="inlineStr">
        <is>
          <t>yes</t>
        </is>
      </c>
      <c r="AC11" s="84" t="inlineStr">
        <is>
          <t>yes</t>
        </is>
      </c>
      <c r="AD11" s="86" t="inlineStr">
        <is>
          <t>AI-assisted</t>
        </is>
      </c>
      <c r="AE11" s="86" t="inlineStr">
        <is>
          <t>asia</t>
        </is>
      </c>
      <c r="AF11" s="56" t="inlineStr">
        <is>
          <t>high</t>
        </is>
      </c>
      <c r="AG11" s="56" t="inlineStr">
        <is>
          <t>high</t>
        </is>
      </c>
      <c r="AH11" s="86" t="n">
        <v>15436</v>
      </c>
      <c r="AI11" s="86" t="n">
        <v>0.148</v>
      </c>
      <c r="AJ11" s="86" t="n">
        <v>2288</v>
      </c>
      <c r="AK11" s="86" t="n">
        <v>13148</v>
      </c>
      <c r="AL11" s="86" t="n">
        <v>0.917</v>
      </c>
      <c r="AM11" s="86" t="n">
        <v>0.97</v>
      </c>
      <c r="AN11" s="86" t="n">
        <v>2098</v>
      </c>
      <c r="AO11" s="86" t="n">
        <v>190</v>
      </c>
      <c r="AP11" s="86" t="n">
        <v>12751</v>
      </c>
      <c r="AQ11" s="86" t="n">
        <v>397</v>
      </c>
    </row>
    <row r="12" ht="16" customHeight="1" s="55">
      <c r="A12" s="88" t="inlineStr">
        <is>
          <t>Chia et al. 2024</t>
        </is>
      </c>
      <c r="B12" s="86" t="inlineStr">
        <is>
          <t>DL</t>
        </is>
      </c>
      <c r="C12" s="86" t="inlineStr">
        <is>
          <t>DLS</t>
        </is>
      </c>
      <c r="D12" s="84" t="inlineStr">
        <is>
          <t>NR</t>
        </is>
      </c>
      <c r="E12" s="84" t="inlineStr">
        <is>
          <t>ai_only</t>
        </is>
      </c>
      <c r="F12" s="86" t="inlineStr">
        <is>
          <t>original</t>
        </is>
      </c>
      <c r="G12" s="86" t="inlineStr">
        <is>
          <t>retrospective</t>
        </is>
      </c>
      <c r="H12" s="84" t="inlineStr">
        <is>
          <t>cross-sectional</t>
        </is>
      </c>
      <c r="I12" s="84" t="inlineStr">
        <is>
          <t>no</t>
        </is>
      </c>
      <c r="J12" s="84" t="inlineStr">
        <is>
          <t>community health service</t>
        </is>
      </c>
      <c r="K12" s="86" t="inlineStr">
        <is>
          <t>high</t>
        </is>
      </c>
      <c r="L12" s="86" t="inlineStr">
        <is>
          <t>primary</t>
        </is>
      </c>
      <c r="M12" s="86" t="inlineStr">
        <is>
          <t>yes</t>
        </is>
      </c>
      <c r="N12" s="86" t="inlineStr">
        <is>
          <t>rdr</t>
        </is>
      </c>
      <c r="O12" s="86" t="inlineStr">
        <is>
          <t>yes</t>
        </is>
      </c>
      <c r="P12" s="86" t="inlineStr">
        <is>
          <t>non-mydriatic</t>
        </is>
      </c>
      <c r="Q12" s="86" t="inlineStr">
        <is>
          <t>desktop</t>
        </is>
      </c>
      <c r="R12" s="84" t="inlineStr">
        <is>
          <t>single</t>
        </is>
      </c>
      <c r="S12" s="84" t="inlineStr">
        <is>
          <t>chia_2024</t>
        </is>
      </c>
      <c r="T12" s="86" t="inlineStr">
        <is>
          <t>icdr</t>
        </is>
      </c>
      <c r="U12" s="84" t="inlineStr">
        <is>
          <t>ITT</t>
        </is>
      </c>
      <c r="V12" s="86" t="inlineStr">
        <is>
          <t>expert panel</t>
        </is>
      </c>
      <c r="W12" s="56" t="inlineStr">
        <is>
          <t>yes</t>
        </is>
      </c>
      <c r="X12" s="86" t="inlineStr">
        <is>
          <t>fundus</t>
        </is>
      </c>
      <c r="Y12" s="86" t="inlineStr">
        <is>
          <t>1</t>
        </is>
      </c>
      <c r="Z12" s="86" t="inlineStr">
        <is>
          <t>no</t>
        </is>
      </c>
      <c r="AA12" s="86" t="inlineStr">
        <is>
          <t>yes</t>
        </is>
      </c>
      <c r="AB12" s="86" t="inlineStr">
        <is>
          <t>no</t>
        </is>
      </c>
      <c r="AC12" s="84" t="inlineStr">
        <is>
          <t>no</t>
        </is>
      </c>
      <c r="AD12" s="86" t="inlineStr">
        <is>
          <t>Inception</t>
        </is>
      </c>
      <c r="AE12" s="86" t="inlineStr">
        <is>
          <t>mixed</t>
        </is>
      </c>
      <c r="AF12" s="57" t="inlineStr">
        <is>
          <t>low</t>
        </is>
      </c>
      <c r="AG12" s="57" t="inlineStr">
        <is>
          <t>low</t>
        </is>
      </c>
      <c r="AH12" s="86" t="n">
        <v>1682</v>
      </c>
      <c r="AI12" s="86" t="n">
        <v>0.37</v>
      </c>
      <c r="AJ12" s="86" t="n">
        <v>622</v>
      </c>
      <c r="AK12" s="86" t="n">
        <v>1060</v>
      </c>
      <c r="AL12" s="86" t="n">
        <v>0.9370000000000001</v>
      </c>
      <c r="AM12" s="86" t="n">
        <v>0.917</v>
      </c>
      <c r="AN12" s="86" t="n">
        <v>583</v>
      </c>
      <c r="AO12" s="86" t="n">
        <v>39</v>
      </c>
      <c r="AP12" s="86" t="n">
        <v>972</v>
      </c>
      <c r="AQ12" s="86" t="n">
        <v>88</v>
      </c>
    </row>
    <row r="13" ht="16" customHeight="1" s="55">
      <c r="A13" s="88" t="inlineStr">
        <is>
          <t>Chia et al. 2024</t>
        </is>
      </c>
      <c r="B13" s="86" t="inlineStr">
        <is>
          <t>Reader</t>
        </is>
      </c>
      <c r="C13" s="86" t="inlineStr">
        <is>
          <t>Retina specialist</t>
        </is>
      </c>
      <c r="D13" s="84" t="inlineStr">
        <is>
          <t>retinaspecialist</t>
        </is>
      </c>
      <c r="E13" s="84" t="inlineStr">
        <is>
          <t>human_only</t>
        </is>
      </c>
      <c r="F13" s="86" t="inlineStr">
        <is>
          <t>original</t>
        </is>
      </c>
      <c r="G13" s="86" t="inlineStr">
        <is>
          <t>retrospective</t>
        </is>
      </c>
      <c r="H13" s="84" t="inlineStr">
        <is>
          <t>cross-sectional</t>
        </is>
      </c>
      <c r="I13" s="84" t="inlineStr">
        <is>
          <t>no</t>
        </is>
      </c>
      <c r="J13" s="84" t="inlineStr">
        <is>
          <t>community health service</t>
        </is>
      </c>
      <c r="K13" s="86" t="inlineStr">
        <is>
          <t>high</t>
        </is>
      </c>
      <c r="L13" s="86" t="inlineStr">
        <is>
          <t>primary</t>
        </is>
      </c>
      <c r="M13" s="86" t="inlineStr">
        <is>
          <t>yes</t>
        </is>
      </c>
      <c r="N13" s="86" t="inlineStr">
        <is>
          <t>rdr</t>
        </is>
      </c>
      <c r="O13" s="86" t="inlineStr">
        <is>
          <t>yes</t>
        </is>
      </c>
      <c r="P13" s="86" t="inlineStr">
        <is>
          <t>non-mydriatic</t>
        </is>
      </c>
      <c r="Q13" s="86" t="inlineStr">
        <is>
          <t>desktop</t>
        </is>
      </c>
      <c r="R13" s="84" t="inlineStr">
        <is>
          <t>single</t>
        </is>
      </c>
      <c r="S13" s="84" t="inlineStr">
        <is>
          <t>chia_2024</t>
        </is>
      </c>
      <c r="T13" s="86" t="inlineStr">
        <is>
          <t>icdr</t>
        </is>
      </c>
      <c r="U13" s="84" t="inlineStr">
        <is>
          <t>ITT</t>
        </is>
      </c>
      <c r="V13" s="86" t="inlineStr">
        <is>
          <t>expert panel</t>
        </is>
      </c>
      <c r="W13" s="56" t="inlineStr">
        <is>
          <t>yes</t>
        </is>
      </c>
      <c r="X13" s="86" t="inlineStr">
        <is>
          <t>fundus</t>
        </is>
      </c>
      <c r="Y13" s="86" t="inlineStr">
        <is>
          <t>1</t>
        </is>
      </c>
      <c r="Z13" s="86" t="inlineStr">
        <is>
          <t>no</t>
        </is>
      </c>
      <c r="AA13" s="86" t="inlineStr">
        <is>
          <t>yes</t>
        </is>
      </c>
      <c r="AB13" s="86" t="inlineStr">
        <is>
          <t>no</t>
        </is>
      </c>
      <c r="AC13" s="84" t="inlineStr">
        <is>
          <t>no</t>
        </is>
      </c>
      <c r="AD13" s="86" t="inlineStr">
        <is>
          <t>NR</t>
        </is>
      </c>
      <c r="AE13" s="86" t="inlineStr">
        <is>
          <t>mixed</t>
        </is>
      </c>
      <c r="AF13" s="57" t="inlineStr">
        <is>
          <t>low</t>
        </is>
      </c>
      <c r="AG13" s="57" t="inlineStr">
        <is>
          <t>low</t>
        </is>
      </c>
      <c r="AH13" s="86" t="n">
        <v>1682</v>
      </c>
      <c r="AI13" s="86" t="n">
        <v>0.37</v>
      </c>
      <c r="AJ13" s="86" t="n">
        <v>622</v>
      </c>
      <c r="AK13" s="86" t="n">
        <v>1060</v>
      </c>
      <c r="AL13" s="86" t="n">
        <v>0.743</v>
      </c>
      <c r="AM13" s="86" t="n">
        <v>0.976</v>
      </c>
      <c r="AN13" s="86" t="n">
        <v>462</v>
      </c>
      <c r="AO13" s="86" t="n">
        <v>160</v>
      </c>
      <c r="AP13" s="86" t="n">
        <v>1034</v>
      </c>
      <c r="AQ13" s="86" t="n">
        <v>26</v>
      </c>
    </row>
    <row r="14" ht="16" customHeight="1" s="55">
      <c r="A14" s="88" t="inlineStr">
        <is>
          <t>Chia et al. 2024</t>
        </is>
      </c>
      <c r="B14" s="86" t="inlineStr">
        <is>
          <t>DL</t>
        </is>
      </c>
      <c r="C14" s="86" t="inlineStr">
        <is>
          <t>DLS</t>
        </is>
      </c>
      <c r="D14" s="84" t="inlineStr">
        <is>
          <t>NR</t>
        </is>
      </c>
      <c r="E14" s="84" t="inlineStr">
        <is>
          <t>ai_only</t>
        </is>
      </c>
      <c r="F14" s="86" t="inlineStr">
        <is>
          <t>original</t>
        </is>
      </c>
      <c r="G14" s="86" t="inlineStr">
        <is>
          <t>retrospective</t>
        </is>
      </c>
      <c r="H14" s="84" t="inlineStr">
        <is>
          <t>cross-sectional</t>
        </is>
      </c>
      <c r="I14" s="84" t="inlineStr">
        <is>
          <t>no</t>
        </is>
      </c>
      <c r="J14" s="84" t="inlineStr">
        <is>
          <t>community health service</t>
        </is>
      </c>
      <c r="K14" s="86" t="inlineStr">
        <is>
          <t>high</t>
        </is>
      </c>
      <c r="L14" s="86" t="inlineStr">
        <is>
          <t>primary</t>
        </is>
      </c>
      <c r="M14" s="86" t="inlineStr">
        <is>
          <t>yes</t>
        </is>
      </c>
      <c r="N14" s="86" t="inlineStr">
        <is>
          <t>rdr</t>
        </is>
      </c>
      <c r="O14" s="86" t="inlineStr">
        <is>
          <t>yes</t>
        </is>
      </c>
      <c r="P14" s="86" t="inlineStr">
        <is>
          <t>non-mydriatic</t>
        </is>
      </c>
      <c r="Q14" s="86" t="inlineStr">
        <is>
          <t>desktop</t>
        </is>
      </c>
      <c r="R14" s="84" t="inlineStr">
        <is>
          <t>single</t>
        </is>
      </c>
      <c r="S14" s="84" t="inlineStr">
        <is>
          <t>chia_2024</t>
        </is>
      </c>
      <c r="T14" s="86" t="inlineStr">
        <is>
          <t>icdr</t>
        </is>
      </c>
      <c r="U14" s="84" t="inlineStr">
        <is>
          <t>ITT</t>
        </is>
      </c>
      <c r="V14" s="86" t="inlineStr">
        <is>
          <t>expert panel</t>
        </is>
      </c>
      <c r="W14" s="56" t="inlineStr">
        <is>
          <t>yes</t>
        </is>
      </c>
      <c r="X14" s="86" t="inlineStr">
        <is>
          <t>fundus</t>
        </is>
      </c>
      <c r="Y14" s="86" t="inlineStr">
        <is>
          <t>1</t>
        </is>
      </c>
      <c r="Z14" s="86" t="inlineStr">
        <is>
          <t>no</t>
        </is>
      </c>
      <c r="AA14" s="86" t="inlineStr">
        <is>
          <t>yes</t>
        </is>
      </c>
      <c r="AB14" s="86" t="inlineStr">
        <is>
          <t>no</t>
        </is>
      </c>
      <c r="AC14" s="84" t="inlineStr">
        <is>
          <t>no</t>
        </is>
      </c>
      <c r="AD14" s="86" t="inlineStr">
        <is>
          <t>Inception</t>
        </is>
      </c>
      <c r="AE14" s="86" t="inlineStr">
        <is>
          <t>mixed</t>
        </is>
      </c>
      <c r="AF14" s="57" t="inlineStr">
        <is>
          <t>low</t>
        </is>
      </c>
      <c r="AG14" s="57" t="inlineStr">
        <is>
          <t>low</t>
        </is>
      </c>
      <c r="AH14" s="86" t="n">
        <v>1371</v>
      </c>
      <c r="AI14" s="86" t="n">
        <v>0.252</v>
      </c>
      <c r="AJ14" s="86" t="n">
        <v>346</v>
      </c>
      <c r="AK14" s="86" t="n">
        <v>1025</v>
      </c>
      <c r="AL14" s="86" t="n">
        <v>0.98</v>
      </c>
      <c r="AM14" s="86" t="n">
        <v>0.948</v>
      </c>
      <c r="AN14" s="86" t="n">
        <v>339</v>
      </c>
      <c r="AO14" s="86" t="n">
        <v>7</v>
      </c>
      <c r="AP14" s="86" t="n">
        <v>972</v>
      </c>
      <c r="AQ14" s="86" t="n">
        <v>53</v>
      </c>
    </row>
    <row r="15" ht="16" customHeight="1" s="55">
      <c r="A15" s="88" t="inlineStr">
        <is>
          <t>Chia et al. 2024</t>
        </is>
      </c>
      <c r="B15" s="86" t="inlineStr">
        <is>
          <t>Reader</t>
        </is>
      </c>
      <c r="C15" s="86" t="inlineStr">
        <is>
          <t>Retina specialist</t>
        </is>
      </c>
      <c r="D15" s="84" t="inlineStr">
        <is>
          <t>retinaspecialist</t>
        </is>
      </c>
      <c r="E15" s="84" t="inlineStr">
        <is>
          <t>human_only</t>
        </is>
      </c>
      <c r="F15" s="86" t="inlineStr">
        <is>
          <t>original</t>
        </is>
      </c>
      <c r="G15" s="86" t="inlineStr">
        <is>
          <t>retrospective</t>
        </is>
      </c>
      <c r="H15" s="84" t="inlineStr">
        <is>
          <t>cross-sectional</t>
        </is>
      </c>
      <c r="I15" s="84" t="inlineStr">
        <is>
          <t>no</t>
        </is>
      </c>
      <c r="J15" s="84" t="inlineStr">
        <is>
          <t>community health service</t>
        </is>
      </c>
      <c r="K15" s="86" t="inlineStr">
        <is>
          <t>high</t>
        </is>
      </c>
      <c r="L15" s="86" t="inlineStr">
        <is>
          <t>primary</t>
        </is>
      </c>
      <c r="M15" s="86" t="inlineStr">
        <is>
          <t>yes</t>
        </is>
      </c>
      <c r="N15" s="86" t="inlineStr">
        <is>
          <t>rdr</t>
        </is>
      </c>
      <c r="O15" s="86" t="inlineStr">
        <is>
          <t>yes</t>
        </is>
      </c>
      <c r="P15" s="86" t="inlineStr">
        <is>
          <t>non-mydriatic</t>
        </is>
      </c>
      <c r="Q15" s="86" t="inlineStr">
        <is>
          <t>desktop</t>
        </is>
      </c>
      <c r="R15" s="84" t="inlineStr">
        <is>
          <t>single</t>
        </is>
      </c>
      <c r="S15" s="84" t="inlineStr">
        <is>
          <t>chia_2024</t>
        </is>
      </c>
      <c r="T15" s="86" t="inlineStr">
        <is>
          <t>icdr</t>
        </is>
      </c>
      <c r="U15" s="84" t="inlineStr">
        <is>
          <t>ITT</t>
        </is>
      </c>
      <c r="V15" s="86" t="inlineStr">
        <is>
          <t>expert panel</t>
        </is>
      </c>
      <c r="W15" s="56" t="inlineStr">
        <is>
          <t>yes</t>
        </is>
      </c>
      <c r="X15" s="86" t="inlineStr">
        <is>
          <t>fundus</t>
        </is>
      </c>
      <c r="Y15" s="86" t="inlineStr">
        <is>
          <t>1</t>
        </is>
      </c>
      <c r="Z15" s="86" t="inlineStr">
        <is>
          <t>no</t>
        </is>
      </c>
      <c r="AA15" s="86" t="inlineStr">
        <is>
          <t>yes</t>
        </is>
      </c>
      <c r="AB15" s="86" t="inlineStr">
        <is>
          <t>no</t>
        </is>
      </c>
      <c r="AC15" s="84" t="inlineStr">
        <is>
          <t>no</t>
        </is>
      </c>
      <c r="AD15" s="86" t="inlineStr">
        <is>
          <t>NR</t>
        </is>
      </c>
      <c r="AE15" s="86" t="inlineStr">
        <is>
          <t>mixed</t>
        </is>
      </c>
      <c r="AF15" s="57" t="inlineStr">
        <is>
          <t>low</t>
        </is>
      </c>
      <c r="AG15" s="57" t="inlineStr">
        <is>
          <t>low</t>
        </is>
      </c>
      <c r="AH15" s="86" t="n">
        <v>1403</v>
      </c>
      <c r="AI15" s="86" t="n">
        <v>0.248</v>
      </c>
      <c r="AJ15" s="86" t="n">
        <v>348</v>
      </c>
      <c r="AK15" s="86" t="n">
        <v>1055</v>
      </c>
      <c r="AL15" s="86" t="n">
        <v>0.876</v>
      </c>
      <c r="AM15" s="86" t="n">
        <v>0.979</v>
      </c>
      <c r="AN15" s="86" t="n">
        <v>305</v>
      </c>
      <c r="AO15" s="86" t="n">
        <v>43</v>
      </c>
      <c r="AP15" s="86" t="n">
        <v>1034</v>
      </c>
      <c r="AQ15" s="86" t="n">
        <v>22</v>
      </c>
    </row>
    <row r="16" ht="16" customHeight="1" s="55">
      <c r="A16" s="88" t="inlineStr">
        <is>
          <t>Chia et al. 2024</t>
        </is>
      </c>
      <c r="B16" s="86" t="inlineStr">
        <is>
          <t>DL</t>
        </is>
      </c>
      <c r="C16" s="86" t="inlineStr">
        <is>
          <t>DLS</t>
        </is>
      </c>
      <c r="D16" s="84" t="inlineStr">
        <is>
          <t>NR</t>
        </is>
      </c>
      <c r="E16" s="84" t="inlineStr">
        <is>
          <t>ai_only</t>
        </is>
      </c>
      <c r="F16" s="86" t="inlineStr">
        <is>
          <t>original</t>
        </is>
      </c>
      <c r="G16" s="86" t="inlineStr">
        <is>
          <t>retrospective</t>
        </is>
      </c>
      <c r="H16" s="84" t="inlineStr">
        <is>
          <t>cross-sectional</t>
        </is>
      </c>
      <c r="I16" s="84" t="inlineStr">
        <is>
          <t>no</t>
        </is>
      </c>
      <c r="J16" s="84" t="inlineStr">
        <is>
          <t>community health service</t>
        </is>
      </c>
      <c r="K16" s="86" t="inlineStr">
        <is>
          <t>high</t>
        </is>
      </c>
      <c r="L16" s="86" t="inlineStr">
        <is>
          <t>primary</t>
        </is>
      </c>
      <c r="M16" s="86" t="inlineStr">
        <is>
          <t>yes</t>
        </is>
      </c>
      <c r="N16" s="86" t="inlineStr">
        <is>
          <t>vtdr</t>
        </is>
      </c>
      <c r="O16" s="86" t="inlineStr">
        <is>
          <t>yes</t>
        </is>
      </c>
      <c r="P16" s="86" t="inlineStr">
        <is>
          <t>non-mydriatic</t>
        </is>
      </c>
      <c r="Q16" s="86" t="inlineStr">
        <is>
          <t>desktop</t>
        </is>
      </c>
      <c r="R16" s="84" t="inlineStr">
        <is>
          <t>single</t>
        </is>
      </c>
      <c r="S16" s="84" t="inlineStr">
        <is>
          <t>chia_2024</t>
        </is>
      </c>
      <c r="T16" s="86" t="inlineStr">
        <is>
          <t>icdr</t>
        </is>
      </c>
      <c r="U16" s="84" t="inlineStr">
        <is>
          <t>ITT</t>
        </is>
      </c>
      <c r="V16" s="86" t="inlineStr">
        <is>
          <t>expert panel</t>
        </is>
      </c>
      <c r="W16" s="56" t="inlineStr">
        <is>
          <t>yes</t>
        </is>
      </c>
      <c r="X16" s="86" t="inlineStr">
        <is>
          <t>fundus</t>
        </is>
      </c>
      <c r="Y16" s="86" t="inlineStr">
        <is>
          <t>1</t>
        </is>
      </c>
      <c r="Z16" s="86" t="inlineStr">
        <is>
          <t>no</t>
        </is>
      </c>
      <c r="AA16" s="86" t="inlineStr">
        <is>
          <t>yes</t>
        </is>
      </c>
      <c r="AB16" s="86" t="inlineStr">
        <is>
          <t>no</t>
        </is>
      </c>
      <c r="AC16" s="84" t="inlineStr">
        <is>
          <t>no</t>
        </is>
      </c>
      <c r="AD16" s="86" t="inlineStr">
        <is>
          <t>Inception</t>
        </is>
      </c>
      <c r="AE16" s="86" t="inlineStr">
        <is>
          <t>mixed</t>
        </is>
      </c>
      <c r="AF16" s="57" t="inlineStr">
        <is>
          <t>low</t>
        </is>
      </c>
      <c r="AG16" s="57" t="inlineStr">
        <is>
          <t>low</t>
        </is>
      </c>
      <c r="AH16" s="86" t="n">
        <v>1367</v>
      </c>
      <c r="AI16" s="86" t="n">
        <v>0.159</v>
      </c>
      <c r="AJ16" s="86" t="n">
        <v>217</v>
      </c>
      <c r="AK16" s="86" t="n">
        <v>1150</v>
      </c>
      <c r="AL16" s="86" t="n">
        <v>0.963</v>
      </c>
      <c r="AM16" s="86" t="n">
        <v>0.954</v>
      </c>
      <c r="AN16" s="86" t="n">
        <v>209</v>
      </c>
      <c r="AO16" s="86" t="n">
        <v>8</v>
      </c>
      <c r="AP16" s="86" t="n">
        <v>1097</v>
      </c>
      <c r="AQ16" s="86" t="n">
        <v>53</v>
      </c>
    </row>
    <row r="17" ht="16" customHeight="1" s="55">
      <c r="A17" s="88" t="inlineStr">
        <is>
          <t>Chia et al. 2024</t>
        </is>
      </c>
      <c r="B17" s="86" t="inlineStr">
        <is>
          <t>Reader</t>
        </is>
      </c>
      <c r="C17" s="86" t="inlineStr">
        <is>
          <t>Retina specialist</t>
        </is>
      </c>
      <c r="D17" s="84" t="inlineStr">
        <is>
          <t>retinaspecialist</t>
        </is>
      </c>
      <c r="E17" s="84" t="inlineStr">
        <is>
          <t>human_only</t>
        </is>
      </c>
      <c r="F17" s="86" t="inlineStr">
        <is>
          <t>original</t>
        </is>
      </c>
      <c r="G17" s="86" t="inlineStr">
        <is>
          <t>retrospective</t>
        </is>
      </c>
      <c r="H17" s="84" t="inlineStr">
        <is>
          <t>cross-sectional</t>
        </is>
      </c>
      <c r="I17" s="84" t="inlineStr">
        <is>
          <t>no</t>
        </is>
      </c>
      <c r="J17" s="84" t="inlineStr">
        <is>
          <t>community health service</t>
        </is>
      </c>
      <c r="K17" s="86" t="inlineStr">
        <is>
          <t>high</t>
        </is>
      </c>
      <c r="L17" s="86" t="inlineStr">
        <is>
          <t>primary</t>
        </is>
      </c>
      <c r="M17" s="86" t="inlineStr">
        <is>
          <t>yes</t>
        </is>
      </c>
      <c r="N17" s="86" t="inlineStr">
        <is>
          <t>vtdr</t>
        </is>
      </c>
      <c r="O17" s="86" t="inlineStr">
        <is>
          <t>yes</t>
        </is>
      </c>
      <c r="P17" s="86" t="inlineStr">
        <is>
          <t>non-mydriatic</t>
        </is>
      </c>
      <c r="Q17" s="86" t="inlineStr">
        <is>
          <t>desktop</t>
        </is>
      </c>
      <c r="R17" s="84" t="inlineStr">
        <is>
          <t>single</t>
        </is>
      </c>
      <c r="S17" s="84" t="inlineStr">
        <is>
          <t>chia_2024</t>
        </is>
      </c>
      <c r="T17" s="86" t="inlineStr">
        <is>
          <t>icdr</t>
        </is>
      </c>
      <c r="U17" s="84" t="inlineStr">
        <is>
          <t>ITT</t>
        </is>
      </c>
      <c r="V17" s="86" t="inlineStr">
        <is>
          <t>expert panel</t>
        </is>
      </c>
      <c r="W17" s="56" t="inlineStr">
        <is>
          <t>yes</t>
        </is>
      </c>
      <c r="X17" s="86" t="inlineStr">
        <is>
          <t>fundus</t>
        </is>
      </c>
      <c r="Y17" s="86" t="inlineStr">
        <is>
          <t>1</t>
        </is>
      </c>
      <c r="Z17" s="86" t="inlineStr">
        <is>
          <t>no</t>
        </is>
      </c>
      <c r="AA17" s="86" t="inlineStr">
        <is>
          <t>yes</t>
        </is>
      </c>
      <c r="AB17" s="86" t="inlineStr">
        <is>
          <t>no</t>
        </is>
      </c>
      <c r="AC17" s="84" t="inlineStr">
        <is>
          <t>no</t>
        </is>
      </c>
      <c r="AD17" s="86" t="inlineStr">
        <is>
          <t>NR</t>
        </is>
      </c>
      <c r="AE17" s="86" t="inlineStr">
        <is>
          <t>mixed</t>
        </is>
      </c>
      <c r="AF17" s="57" t="inlineStr">
        <is>
          <t>low</t>
        </is>
      </c>
      <c r="AG17" s="57" t="inlineStr">
        <is>
          <t>low</t>
        </is>
      </c>
      <c r="AH17" s="86" t="n">
        <v>1394</v>
      </c>
      <c r="AI17" s="86" t="n">
        <v>0.154</v>
      </c>
      <c r="AJ17" s="86" t="n">
        <v>215</v>
      </c>
      <c r="AK17" s="86" t="n">
        <v>1179</v>
      </c>
      <c r="AL17" s="86" t="n">
        <v>0.842</v>
      </c>
      <c r="AM17" s="86" t="n">
        <v>0.984</v>
      </c>
      <c r="AN17" s="86" t="n">
        <v>181</v>
      </c>
      <c r="AO17" s="86" t="n">
        <v>34</v>
      </c>
      <c r="AP17" s="86" t="n">
        <v>1160</v>
      </c>
      <c r="AQ17" s="86" t="n">
        <v>19</v>
      </c>
    </row>
    <row r="18" ht="16" customHeight="1" s="55">
      <c r="A18" s="88" t="inlineStr">
        <is>
          <t>Hu et al. 2024</t>
        </is>
      </c>
      <c r="B18" s="86" t="inlineStr">
        <is>
          <t>DL</t>
        </is>
      </c>
      <c r="C18" s="86" t="inlineStr">
        <is>
          <t>AutoEye AI reading platform</t>
        </is>
      </c>
      <c r="D18" s="84" t="inlineStr">
        <is>
          <t>NR</t>
        </is>
      </c>
      <c r="E18" s="84" t="inlineStr">
        <is>
          <t>ai_only</t>
        </is>
      </c>
      <c r="F18" s="86" t="inlineStr">
        <is>
          <t>original</t>
        </is>
      </c>
      <c r="G18" s="86" t="inlineStr">
        <is>
          <t>prospective</t>
        </is>
      </c>
      <c r="H18" s="84" t="inlineStr">
        <is>
          <t>cross-sectional</t>
        </is>
      </c>
      <c r="I18" s="84" t="inlineStr">
        <is>
          <t>no</t>
        </is>
      </c>
      <c r="J18" s="84" t="inlineStr">
        <is>
          <t>tertiary hospital</t>
        </is>
      </c>
      <c r="K18" s="86" t="inlineStr">
        <is>
          <t>middle</t>
        </is>
      </c>
      <c r="L18" s="86" t="inlineStr">
        <is>
          <t>tertiary</t>
        </is>
      </c>
      <c r="M18" s="86" t="inlineStr">
        <is>
          <t>no</t>
        </is>
      </c>
      <c r="N18" s="86" t="inlineStr">
        <is>
          <t>any dr</t>
        </is>
      </c>
      <c r="O18" s="86" t="inlineStr">
        <is>
          <t>yes</t>
        </is>
      </c>
      <c r="P18" s="86" t="inlineStr">
        <is>
          <t>non-mydriatic</t>
        </is>
      </c>
      <c r="Q18" s="86" t="inlineStr">
        <is>
          <t>desktop</t>
        </is>
      </c>
      <c r="R18" s="84" t="inlineStr">
        <is>
          <t>single</t>
        </is>
      </c>
      <c r="S18" s="84" t="inlineStr">
        <is>
          <t>hu_2024</t>
        </is>
      </c>
      <c r="T18" s="86" t="inlineStr">
        <is>
          <t>icdr</t>
        </is>
      </c>
      <c r="U18" s="84" t="inlineStr">
        <is>
          <t>PP</t>
        </is>
      </c>
      <c r="V18" s="86" t="inlineStr">
        <is>
          <t>clinical exam</t>
        </is>
      </c>
      <c r="W18" s="56" t="inlineStr">
        <is>
          <t>yes</t>
        </is>
      </c>
      <c r="X18" s="86" t="inlineStr">
        <is>
          <t>fundus</t>
        </is>
      </c>
      <c r="Y18" s="86" t="inlineStr">
        <is>
          <t>1</t>
        </is>
      </c>
      <c r="Z18" s="86" t="inlineStr">
        <is>
          <t>yes</t>
        </is>
      </c>
      <c r="AA18" s="86" t="inlineStr">
        <is>
          <t>yes</t>
        </is>
      </c>
      <c r="AB18" s="58" t="inlineStr">
        <is>
          <t>no</t>
        </is>
      </c>
      <c r="AC18" s="84" t="inlineStr">
        <is>
          <t>yes</t>
        </is>
      </c>
      <c r="AD18" s="86" t="inlineStr">
        <is>
          <t>proprietary</t>
        </is>
      </c>
      <c r="AE18" s="86" t="inlineStr">
        <is>
          <t>asia</t>
        </is>
      </c>
      <c r="AF18" s="86" t="inlineStr">
        <is>
          <t>high</t>
        </is>
      </c>
      <c r="AG18" s="86" t="inlineStr">
        <is>
          <t>high</t>
        </is>
      </c>
      <c r="AH18" s="86" t="n">
        <v>234</v>
      </c>
      <c r="AI18" s="86" t="n">
        <v>0.6840000000000001</v>
      </c>
      <c r="AJ18" s="86" t="n">
        <v>160</v>
      </c>
      <c r="AK18" s="86" t="n">
        <v>74</v>
      </c>
      <c r="AL18" s="86" t="n">
        <v>0.975</v>
      </c>
      <c r="AM18" s="86" t="n">
        <v>0.973</v>
      </c>
      <c r="AN18" s="86" t="n">
        <v>156</v>
      </c>
      <c r="AO18" s="86" t="n">
        <v>4</v>
      </c>
      <c r="AP18" s="86" t="n">
        <v>72</v>
      </c>
      <c r="AQ18" s="86" t="n">
        <v>2</v>
      </c>
    </row>
    <row r="19" ht="16" customHeight="1" s="55">
      <c r="A19" s="88" t="inlineStr">
        <is>
          <t>Hu et al. 2024</t>
        </is>
      </c>
      <c r="B19" s="86" t="inlineStr">
        <is>
          <t>Reader</t>
        </is>
      </c>
      <c r="C19" s="86" t="inlineStr">
        <is>
          <t>Associate chief ophthalmologist (fundus specialist)</t>
        </is>
      </c>
      <c r="D19" s="84" t="inlineStr">
        <is>
          <t>ophthalmologist</t>
        </is>
      </c>
      <c r="E19" s="84" t="inlineStr">
        <is>
          <t>human_only</t>
        </is>
      </c>
      <c r="F19" s="86" t="inlineStr">
        <is>
          <t>original</t>
        </is>
      </c>
      <c r="G19" s="86" t="inlineStr">
        <is>
          <t>prospective</t>
        </is>
      </c>
      <c r="H19" s="84" t="inlineStr">
        <is>
          <t>cross-sectional</t>
        </is>
      </c>
      <c r="I19" s="84" t="inlineStr">
        <is>
          <t>no</t>
        </is>
      </c>
      <c r="J19" s="84" t="inlineStr">
        <is>
          <t>tertiary hospital</t>
        </is>
      </c>
      <c r="K19" s="86" t="inlineStr">
        <is>
          <t>middle</t>
        </is>
      </c>
      <c r="L19" s="86" t="inlineStr">
        <is>
          <t>tertiary</t>
        </is>
      </c>
      <c r="M19" s="86" t="inlineStr">
        <is>
          <t>no</t>
        </is>
      </c>
      <c r="N19" s="86" t="inlineStr">
        <is>
          <t>any dr</t>
        </is>
      </c>
      <c r="O19" s="86" t="inlineStr">
        <is>
          <t>yes</t>
        </is>
      </c>
      <c r="P19" s="86" t="inlineStr">
        <is>
          <t>non-mydriatic</t>
        </is>
      </c>
      <c r="Q19" s="86" t="inlineStr">
        <is>
          <t>desktop</t>
        </is>
      </c>
      <c r="R19" s="84" t="inlineStr">
        <is>
          <t>single</t>
        </is>
      </c>
      <c r="S19" s="84" t="inlineStr">
        <is>
          <t>hu_2024</t>
        </is>
      </c>
      <c r="T19" s="86" t="inlineStr">
        <is>
          <t>icdr</t>
        </is>
      </c>
      <c r="U19" s="84" t="inlineStr">
        <is>
          <t>PP</t>
        </is>
      </c>
      <c r="V19" s="86" t="inlineStr">
        <is>
          <t>clinical exam</t>
        </is>
      </c>
      <c r="W19" s="56" t="inlineStr">
        <is>
          <t>yes</t>
        </is>
      </c>
      <c r="X19" s="86" t="inlineStr">
        <is>
          <t>fundus</t>
        </is>
      </c>
      <c r="Y19" s="86" t="inlineStr">
        <is>
          <t>1</t>
        </is>
      </c>
      <c r="Z19" s="86" t="inlineStr">
        <is>
          <t>yes</t>
        </is>
      </c>
      <c r="AA19" s="86" t="inlineStr">
        <is>
          <t>yes</t>
        </is>
      </c>
      <c r="AB19" s="86" t="inlineStr">
        <is>
          <t>no</t>
        </is>
      </c>
      <c r="AC19" s="84" t="inlineStr">
        <is>
          <t>yes</t>
        </is>
      </c>
      <c r="AD19" s="86" t="inlineStr">
        <is>
          <t>NR</t>
        </is>
      </c>
      <c r="AE19" s="86" t="inlineStr">
        <is>
          <t>asia</t>
        </is>
      </c>
      <c r="AF19" s="86" t="inlineStr">
        <is>
          <t>high</t>
        </is>
      </c>
      <c r="AG19" s="86" t="inlineStr">
        <is>
          <t>high</t>
        </is>
      </c>
      <c r="AH19" s="86" t="n">
        <v>234</v>
      </c>
      <c r="AI19" s="86" t="n">
        <v>0.6840000000000001</v>
      </c>
      <c r="AJ19" s="86" t="n">
        <v>160</v>
      </c>
      <c r="AK19" s="86" t="n">
        <v>74</v>
      </c>
      <c r="AL19" s="86" t="n">
        <v>0.963</v>
      </c>
      <c r="AM19" s="86" t="n">
        <v>0.959</v>
      </c>
      <c r="AN19" s="86" t="n">
        <v>154</v>
      </c>
      <c r="AO19" s="86" t="n">
        <v>6</v>
      </c>
      <c r="AP19" s="86" t="n">
        <v>71</v>
      </c>
      <c r="AQ19" s="86" t="n">
        <v>3</v>
      </c>
    </row>
    <row r="20" ht="16" customHeight="1" s="55">
      <c r="A20" s="88" t="inlineStr">
        <is>
          <t>Li et al. 2024a</t>
        </is>
      </c>
      <c r="B20" s="86" t="inlineStr">
        <is>
          <t>DL_assisted_reader</t>
        </is>
      </c>
      <c r="C20" s="86" t="inlineStr">
        <is>
          <t>DLS-assisted junior ophthalmologist</t>
        </is>
      </c>
      <c r="D20" s="84" t="inlineStr">
        <is>
          <t>ophthalmologist</t>
        </is>
      </c>
      <c r="E20" s="84" t="inlineStr">
        <is>
          <t>human_with_ai</t>
        </is>
      </c>
      <c r="F20" s="86" t="inlineStr">
        <is>
          <t>original</t>
        </is>
      </c>
      <c r="G20" s="86" t="inlineStr">
        <is>
          <t>prospective</t>
        </is>
      </c>
      <c r="H20" s="84" t="inlineStr">
        <is>
          <t>cross-sectional</t>
        </is>
      </c>
      <c r="I20" s="84" t="inlineStr">
        <is>
          <t>yes</t>
        </is>
      </c>
      <c r="J20" s="84" t="inlineStr">
        <is>
          <t>tertiary hospitals</t>
        </is>
      </c>
      <c r="K20" s="86" t="inlineStr">
        <is>
          <t>middle</t>
        </is>
      </c>
      <c r="L20" s="86" t="inlineStr">
        <is>
          <t>tertiary</t>
        </is>
      </c>
      <c r="M20" s="86" t="inlineStr">
        <is>
          <t>no</t>
        </is>
      </c>
      <c r="N20" s="86" t="inlineStr">
        <is>
          <t>rdr</t>
        </is>
      </c>
      <c r="O20" s="86" t="inlineStr">
        <is>
          <t>yes</t>
        </is>
      </c>
      <c r="P20" s="86" t="inlineStr">
        <is>
          <t>mixed</t>
        </is>
      </c>
      <c r="Q20" s="86" t="inlineStr">
        <is>
          <t>desktop</t>
        </is>
      </c>
      <c r="R20" s="84" t="inlineStr">
        <is>
          <t>multiple</t>
        </is>
      </c>
      <c r="S20" s="84" t="inlineStr">
        <is>
          <t>li_2024_ophth</t>
        </is>
      </c>
      <c r="T20" s="86" t="inlineStr">
        <is>
          <t>icdr</t>
        </is>
      </c>
      <c r="U20" s="84" t="inlineStr">
        <is>
          <t>PP</t>
        </is>
      </c>
      <c r="V20" s="86" t="inlineStr">
        <is>
          <t>expert panel</t>
        </is>
      </c>
      <c r="W20" s="56" t="inlineStr">
        <is>
          <t>no</t>
        </is>
      </c>
      <c r="X20" s="86" t="inlineStr">
        <is>
          <t>fundus</t>
        </is>
      </c>
      <c r="Y20" s="86" t="inlineStr">
        <is>
          <t>1</t>
        </is>
      </c>
      <c r="Z20" s="86" t="inlineStr">
        <is>
          <t>yes</t>
        </is>
      </c>
      <c r="AA20" s="58" t="inlineStr">
        <is>
          <t>no</t>
        </is>
      </c>
      <c r="AB20" s="58" t="inlineStr">
        <is>
          <t>yes</t>
        </is>
      </c>
      <c r="AC20" s="84" t="inlineStr">
        <is>
          <t>yes</t>
        </is>
      </c>
      <c r="AD20" s="86" t="inlineStr">
        <is>
          <t>ResNet</t>
        </is>
      </c>
      <c r="AE20" s="86" t="inlineStr">
        <is>
          <t>asia</t>
        </is>
      </c>
      <c r="AF20" s="56" t="inlineStr">
        <is>
          <t>high</t>
        </is>
      </c>
      <c r="AG20" s="56" t="inlineStr">
        <is>
          <t>high</t>
        </is>
      </c>
      <c r="AH20" s="86" t="n">
        <v>1493</v>
      </c>
      <c r="AI20" s="86" t="n">
        <v>0.111</v>
      </c>
      <c r="AJ20" s="86" t="n">
        <v>165</v>
      </c>
      <c r="AK20" s="86" t="n">
        <v>1328</v>
      </c>
      <c r="AL20" s="86" t="n">
        <v>0.952</v>
      </c>
      <c r="AM20" s="86" t="n">
        <v>0.9350000000000001</v>
      </c>
      <c r="AN20" s="86" t="n">
        <v>157</v>
      </c>
      <c r="AO20" s="86" t="n">
        <v>8</v>
      </c>
      <c r="AP20" s="86" t="n">
        <v>1242</v>
      </c>
      <c r="AQ20" s="86" t="n">
        <v>86</v>
      </c>
    </row>
    <row r="21" ht="16" customHeight="1" s="55">
      <c r="A21" s="88" t="inlineStr">
        <is>
          <t>Li et al. 2024a</t>
        </is>
      </c>
      <c r="B21" s="86" t="inlineStr">
        <is>
          <t>Reader</t>
        </is>
      </c>
      <c r="C21" s="86" t="inlineStr">
        <is>
          <t>Junior ophthalmologist</t>
        </is>
      </c>
      <c r="D21" s="84" t="inlineStr">
        <is>
          <t>ophthalmologist</t>
        </is>
      </c>
      <c r="E21" s="84" t="inlineStr">
        <is>
          <t>human_only</t>
        </is>
      </c>
      <c r="F21" s="86" t="inlineStr">
        <is>
          <t>original</t>
        </is>
      </c>
      <c r="G21" s="86" t="inlineStr">
        <is>
          <t>prospective</t>
        </is>
      </c>
      <c r="H21" s="84" t="inlineStr">
        <is>
          <t>cross-sectional</t>
        </is>
      </c>
      <c r="I21" s="84" t="inlineStr">
        <is>
          <t>yes</t>
        </is>
      </c>
      <c r="J21" s="84" t="inlineStr">
        <is>
          <t>tertiary hospitals</t>
        </is>
      </c>
      <c r="K21" s="86" t="inlineStr">
        <is>
          <t>middle</t>
        </is>
      </c>
      <c r="L21" s="86" t="inlineStr">
        <is>
          <t>tertiary</t>
        </is>
      </c>
      <c r="M21" s="86" t="inlineStr">
        <is>
          <t>no</t>
        </is>
      </c>
      <c r="N21" s="86" t="inlineStr">
        <is>
          <t>rdr</t>
        </is>
      </c>
      <c r="O21" s="86" t="inlineStr">
        <is>
          <t>yes</t>
        </is>
      </c>
      <c r="P21" s="86" t="inlineStr">
        <is>
          <t>mixed</t>
        </is>
      </c>
      <c r="Q21" s="86" t="inlineStr">
        <is>
          <t>desktop</t>
        </is>
      </c>
      <c r="R21" s="84" t="inlineStr">
        <is>
          <t>multiple</t>
        </is>
      </c>
      <c r="S21" s="84" t="inlineStr">
        <is>
          <t>li_2024_ophth</t>
        </is>
      </c>
      <c r="T21" s="86" t="inlineStr">
        <is>
          <t>icdr</t>
        </is>
      </c>
      <c r="U21" s="84" t="inlineStr">
        <is>
          <t>PP</t>
        </is>
      </c>
      <c r="V21" s="86" t="inlineStr">
        <is>
          <t>expert panel</t>
        </is>
      </c>
      <c r="W21" s="56" t="inlineStr">
        <is>
          <t>no</t>
        </is>
      </c>
      <c r="X21" s="86" t="inlineStr">
        <is>
          <t>fundus</t>
        </is>
      </c>
      <c r="Y21" s="86" t="inlineStr">
        <is>
          <t>1</t>
        </is>
      </c>
      <c r="Z21" s="86" t="inlineStr">
        <is>
          <t>yes</t>
        </is>
      </c>
      <c r="AA21" s="58" t="inlineStr">
        <is>
          <t>no</t>
        </is>
      </c>
      <c r="AB21" s="58" t="inlineStr">
        <is>
          <t>yes</t>
        </is>
      </c>
      <c r="AC21" s="84" t="inlineStr">
        <is>
          <t>yes</t>
        </is>
      </c>
      <c r="AD21" s="86" t="inlineStr">
        <is>
          <t>NR</t>
        </is>
      </c>
      <c r="AE21" s="86" t="inlineStr">
        <is>
          <t>asia</t>
        </is>
      </c>
      <c r="AF21" s="56" t="inlineStr">
        <is>
          <t>high</t>
        </is>
      </c>
      <c r="AG21" s="56" t="inlineStr">
        <is>
          <t>high</t>
        </is>
      </c>
      <c r="AH21" s="86" t="n">
        <v>1493</v>
      </c>
      <c r="AI21" s="86" t="n">
        <v>0.111</v>
      </c>
      <c r="AJ21" s="86" t="n">
        <v>165</v>
      </c>
      <c r="AK21" s="86" t="n">
        <v>1328</v>
      </c>
      <c r="AL21" s="86" t="n">
        <v>0.873</v>
      </c>
      <c r="AM21" s="86" t="n">
        <v>0.973</v>
      </c>
      <c r="AN21" s="86" t="n">
        <v>144</v>
      </c>
      <c r="AO21" s="86" t="n">
        <v>21</v>
      </c>
      <c r="AP21" s="86" t="n">
        <v>1292</v>
      </c>
      <c r="AQ21" s="86" t="n">
        <v>36</v>
      </c>
    </row>
    <row r="22" ht="16" customHeight="1" s="55">
      <c r="A22" s="88" t="inlineStr">
        <is>
          <t>Li et al. 2024a</t>
        </is>
      </c>
      <c r="B22" s="86" t="inlineStr">
        <is>
          <t>DL</t>
        </is>
      </c>
      <c r="C22" s="86" t="inlineStr">
        <is>
          <t>DLS (standalone)</t>
        </is>
      </c>
      <c r="D22" s="84" t="inlineStr">
        <is>
          <t>NR</t>
        </is>
      </c>
      <c r="E22" s="84" t="inlineStr">
        <is>
          <t>ai_only</t>
        </is>
      </c>
      <c r="F22" s="86" t="inlineStr">
        <is>
          <t>original</t>
        </is>
      </c>
      <c r="G22" s="86" t="inlineStr">
        <is>
          <t>prospective</t>
        </is>
      </c>
      <c r="H22" s="84" t="inlineStr">
        <is>
          <t>cross-sectional</t>
        </is>
      </c>
      <c r="I22" s="84" t="inlineStr">
        <is>
          <t>yes</t>
        </is>
      </c>
      <c r="J22" s="84" t="inlineStr">
        <is>
          <t>tertiary hospitals</t>
        </is>
      </c>
      <c r="K22" s="86" t="inlineStr">
        <is>
          <t>middle</t>
        </is>
      </c>
      <c r="L22" s="86" t="inlineStr">
        <is>
          <t>tertiary</t>
        </is>
      </c>
      <c r="M22" s="86" t="inlineStr">
        <is>
          <t>no</t>
        </is>
      </c>
      <c r="N22" s="86" t="inlineStr">
        <is>
          <t>rdr</t>
        </is>
      </c>
      <c r="O22" s="86" t="inlineStr">
        <is>
          <t>yes</t>
        </is>
      </c>
      <c r="P22" s="86" t="inlineStr">
        <is>
          <t>mixed</t>
        </is>
      </c>
      <c r="Q22" s="86" t="inlineStr">
        <is>
          <t>desktop</t>
        </is>
      </c>
      <c r="R22" s="84" t="inlineStr">
        <is>
          <t>multiple</t>
        </is>
      </c>
      <c r="S22" s="84" t="inlineStr">
        <is>
          <t>li_2024_ophth</t>
        </is>
      </c>
      <c r="T22" s="86" t="inlineStr">
        <is>
          <t>icdr</t>
        </is>
      </c>
      <c r="U22" s="84" t="inlineStr">
        <is>
          <t>PP</t>
        </is>
      </c>
      <c r="V22" s="86" t="inlineStr">
        <is>
          <t>expert panel</t>
        </is>
      </c>
      <c r="W22" s="56" t="inlineStr">
        <is>
          <t>no</t>
        </is>
      </c>
      <c r="X22" s="86" t="inlineStr">
        <is>
          <t>fundus</t>
        </is>
      </c>
      <c r="Y22" s="86" t="inlineStr">
        <is>
          <t>1</t>
        </is>
      </c>
      <c r="Z22" s="86" t="inlineStr">
        <is>
          <t>yes</t>
        </is>
      </c>
      <c r="AA22" s="58" t="inlineStr">
        <is>
          <t>no</t>
        </is>
      </c>
      <c r="AB22" s="58" t="inlineStr">
        <is>
          <t>yes</t>
        </is>
      </c>
      <c r="AC22" s="84" t="inlineStr">
        <is>
          <t>yes</t>
        </is>
      </c>
      <c r="AD22" s="86" t="inlineStr">
        <is>
          <t>ResNet</t>
        </is>
      </c>
      <c r="AE22" s="86" t="inlineStr">
        <is>
          <t>asia</t>
        </is>
      </c>
      <c r="AF22" s="56" t="inlineStr">
        <is>
          <t>high</t>
        </is>
      </c>
      <c r="AG22" s="56" t="inlineStr">
        <is>
          <t>high</t>
        </is>
      </c>
      <c r="AH22" s="86" t="n">
        <v>1493</v>
      </c>
      <c r="AI22" s="86" t="n">
        <v>0.111</v>
      </c>
      <c r="AJ22" s="86" t="n">
        <v>165</v>
      </c>
      <c r="AK22" s="86" t="n">
        <v>1328</v>
      </c>
      <c r="AL22" s="86" t="n">
        <v>0.964</v>
      </c>
      <c r="AM22" s="86" t="n">
        <v>0.883</v>
      </c>
      <c r="AN22" s="86" t="n">
        <v>159</v>
      </c>
      <c r="AO22" s="86" t="n">
        <v>6</v>
      </c>
      <c r="AP22" s="86" t="n">
        <v>1173</v>
      </c>
      <c r="AQ22" s="86" t="n">
        <v>155</v>
      </c>
    </row>
    <row r="23" ht="16" customHeight="1" s="55">
      <c r="A23" s="88" t="inlineStr">
        <is>
          <t>Núñez do Rio et al. 2023</t>
        </is>
      </c>
      <c r="B23" s="86" t="inlineStr">
        <is>
          <t>DL</t>
        </is>
      </c>
      <c r="C23" s="86" t="inlineStr">
        <is>
          <t>DLS (Youden’s index OP)</t>
        </is>
      </c>
      <c r="D23" s="84" t="inlineStr">
        <is>
          <t>NR</t>
        </is>
      </c>
      <c r="E23" s="84" t="inlineStr">
        <is>
          <t>ai_only</t>
        </is>
      </c>
      <c r="F23" s="86" t="inlineStr">
        <is>
          <t>original</t>
        </is>
      </c>
      <c r="G23" s="86" t="inlineStr">
        <is>
          <t>prospective</t>
        </is>
      </c>
      <c r="H23" s="84" t="inlineStr">
        <is>
          <t>cross-sectional</t>
        </is>
      </c>
      <c r="I23" s="84" t="inlineStr">
        <is>
          <t>yes</t>
        </is>
      </c>
      <c r="J23" s="84" t="inlineStr">
        <is>
          <t>community screening</t>
        </is>
      </c>
      <c r="K23" s="86" t="inlineStr">
        <is>
          <t>middle</t>
        </is>
      </c>
      <c r="L23" s="86" t="inlineStr">
        <is>
          <t>primary</t>
        </is>
      </c>
      <c r="M23" s="86" t="inlineStr">
        <is>
          <t>yes</t>
        </is>
      </c>
      <c r="N23" s="86" t="inlineStr">
        <is>
          <t>rdr</t>
        </is>
      </c>
      <c r="O23" s="86" t="inlineStr">
        <is>
          <t>yes</t>
        </is>
      </c>
      <c r="P23" s="86" t="inlineStr">
        <is>
          <t>non-mydriatic</t>
        </is>
      </c>
      <c r="Q23" s="86" t="inlineStr">
        <is>
          <t>portable</t>
        </is>
      </c>
      <c r="R23" s="84" t="inlineStr">
        <is>
          <t>single</t>
        </is>
      </c>
      <c r="S23" s="84" t="inlineStr">
        <is>
          <t>nunez_2023</t>
        </is>
      </c>
      <c r="T23" s="86" t="inlineStr">
        <is>
          <t>icdr</t>
        </is>
      </c>
      <c r="U23" s="84" t="inlineStr">
        <is>
          <t>PP</t>
        </is>
      </c>
      <c r="V23" s="86" t="inlineStr">
        <is>
          <t>reading center</t>
        </is>
      </c>
      <c r="W23" s="56" t="inlineStr">
        <is>
          <t>no</t>
        </is>
      </c>
      <c r="X23" s="86" t="inlineStr">
        <is>
          <t>fundus</t>
        </is>
      </c>
      <c r="Y23" s="86" t="inlineStr">
        <is>
          <t>2</t>
        </is>
      </c>
      <c r="Z23" s="86" t="inlineStr">
        <is>
          <t>no</t>
        </is>
      </c>
      <c r="AA23" s="86" t="inlineStr">
        <is>
          <t>no</t>
        </is>
      </c>
      <c r="AB23" s="86" t="inlineStr">
        <is>
          <t>yes</t>
        </is>
      </c>
      <c r="AC23" s="84" t="inlineStr">
        <is>
          <t>no</t>
        </is>
      </c>
      <c r="AD23" s="86" t="inlineStr">
        <is>
          <t>ResNet</t>
        </is>
      </c>
      <c r="AE23" s="86" t="inlineStr">
        <is>
          <t>asia</t>
        </is>
      </c>
      <c r="AF23" s="56" t="inlineStr">
        <is>
          <t>high</t>
        </is>
      </c>
      <c r="AG23" s="56" t="inlineStr">
        <is>
          <t>high</t>
        </is>
      </c>
      <c r="AH23" s="86" t="n">
        <v>16247</v>
      </c>
      <c r="AI23" s="86" t="n">
        <v>0.23</v>
      </c>
      <c r="AJ23" s="86" t="n">
        <v>3738</v>
      </c>
      <c r="AK23" s="86" t="n">
        <v>12509</v>
      </c>
      <c r="AL23" s="86" t="n">
        <v>0.9389999999999999</v>
      </c>
      <c r="AM23" s="86" t="n">
        <v>0.96</v>
      </c>
      <c r="AN23" s="86" t="n">
        <v>3508</v>
      </c>
      <c r="AO23" s="86" t="n">
        <v>230</v>
      </c>
      <c r="AP23" s="86" t="n">
        <v>12009</v>
      </c>
      <c r="AQ23" s="86" t="n">
        <v>500</v>
      </c>
    </row>
    <row r="24" ht="16" customHeight="1" s="55">
      <c r="A24" s="88" t="inlineStr">
        <is>
          <t>Núñez do Rio et al. 2023</t>
        </is>
      </c>
      <c r="B24" s="86" t="inlineStr">
        <is>
          <t>DL</t>
        </is>
      </c>
      <c r="C24" s="86" t="inlineStr">
        <is>
          <t>DLS (high sensitivity OP)</t>
        </is>
      </c>
      <c r="D24" s="84" t="inlineStr">
        <is>
          <t>NR</t>
        </is>
      </c>
      <c r="E24" s="84" t="inlineStr">
        <is>
          <t>ai_only</t>
        </is>
      </c>
      <c r="F24" s="86" t="inlineStr">
        <is>
          <t>original</t>
        </is>
      </c>
      <c r="G24" s="86" t="inlineStr">
        <is>
          <t>prospective</t>
        </is>
      </c>
      <c r="H24" s="84" t="inlineStr">
        <is>
          <t>cross-sectional</t>
        </is>
      </c>
      <c r="I24" s="84" t="inlineStr">
        <is>
          <t>yes</t>
        </is>
      </c>
      <c r="J24" s="84" t="inlineStr">
        <is>
          <t>community screening</t>
        </is>
      </c>
      <c r="K24" s="86" t="inlineStr">
        <is>
          <t>middle</t>
        </is>
      </c>
      <c r="L24" s="86" t="inlineStr">
        <is>
          <t>primary</t>
        </is>
      </c>
      <c r="M24" s="86" t="inlineStr">
        <is>
          <t>yes</t>
        </is>
      </c>
      <c r="N24" s="86" t="inlineStr">
        <is>
          <t>rdr</t>
        </is>
      </c>
      <c r="O24" s="86" t="inlineStr">
        <is>
          <t>yes</t>
        </is>
      </c>
      <c r="P24" s="86" t="inlineStr">
        <is>
          <t>non-mydriatic</t>
        </is>
      </c>
      <c r="Q24" s="86" t="inlineStr">
        <is>
          <t>portable</t>
        </is>
      </c>
      <c r="R24" s="84" t="inlineStr">
        <is>
          <t>single</t>
        </is>
      </c>
      <c r="S24" s="84" t="inlineStr">
        <is>
          <t>nunez_2023</t>
        </is>
      </c>
      <c r="T24" s="86" t="inlineStr">
        <is>
          <t>icdr</t>
        </is>
      </c>
      <c r="U24" s="84" t="inlineStr">
        <is>
          <t>PP</t>
        </is>
      </c>
      <c r="V24" s="86" t="inlineStr">
        <is>
          <t>reading center</t>
        </is>
      </c>
      <c r="W24" s="56" t="inlineStr">
        <is>
          <t>no</t>
        </is>
      </c>
      <c r="X24" s="86" t="inlineStr">
        <is>
          <t>fundus</t>
        </is>
      </c>
      <c r="Y24" s="86" t="inlineStr">
        <is>
          <t>2</t>
        </is>
      </c>
      <c r="Z24" s="86" t="inlineStr">
        <is>
          <t>no</t>
        </is>
      </c>
      <c r="AA24" s="86" t="inlineStr">
        <is>
          <t>no</t>
        </is>
      </c>
      <c r="AB24" s="86" t="inlineStr">
        <is>
          <t>yes</t>
        </is>
      </c>
      <c r="AC24" s="84" t="inlineStr">
        <is>
          <t>no</t>
        </is>
      </c>
      <c r="AD24" s="86" t="inlineStr">
        <is>
          <t>ResNet</t>
        </is>
      </c>
      <c r="AE24" s="86" t="inlineStr">
        <is>
          <t>asia</t>
        </is>
      </c>
      <c r="AF24" s="56" t="inlineStr">
        <is>
          <t>high</t>
        </is>
      </c>
      <c r="AG24" s="56" t="inlineStr">
        <is>
          <t>high</t>
        </is>
      </c>
      <c r="AH24" s="86" t="n">
        <v>16247</v>
      </c>
      <c r="AI24" s="86" t="n">
        <v>0.23</v>
      </c>
      <c r="AJ24" s="86" t="n">
        <v>3738</v>
      </c>
      <c r="AK24" s="86" t="n">
        <v>12509</v>
      </c>
      <c r="AL24" s="86" t="n">
        <v>0.955</v>
      </c>
      <c r="AM24" s="86" t="n">
        <v>0.928</v>
      </c>
      <c r="AN24" s="86" t="n">
        <v>3571</v>
      </c>
      <c r="AO24" s="86" t="n">
        <v>167</v>
      </c>
      <c r="AP24" s="86" t="n">
        <v>11607</v>
      </c>
      <c r="AQ24" s="86" t="n">
        <v>902</v>
      </c>
    </row>
    <row r="25" ht="16" customHeight="1" s="55">
      <c r="A25" s="88" t="inlineStr">
        <is>
          <t>Núñez do Rio et al. 2023</t>
        </is>
      </c>
      <c r="B25" s="86" t="inlineStr">
        <is>
          <t>DL</t>
        </is>
      </c>
      <c r="C25" s="86" t="inlineStr">
        <is>
          <t>DLS (high specificity OP)</t>
        </is>
      </c>
      <c r="D25" s="84" t="inlineStr">
        <is>
          <t>NR</t>
        </is>
      </c>
      <c r="E25" s="84" t="inlineStr">
        <is>
          <t>ai_only</t>
        </is>
      </c>
      <c r="F25" s="86" t="inlineStr">
        <is>
          <t>original</t>
        </is>
      </c>
      <c r="G25" s="86" t="inlineStr">
        <is>
          <t>prospective</t>
        </is>
      </c>
      <c r="H25" s="84" t="inlineStr">
        <is>
          <t>cross-sectional</t>
        </is>
      </c>
      <c r="I25" s="84" t="inlineStr">
        <is>
          <t>yes</t>
        </is>
      </c>
      <c r="J25" s="84" t="inlineStr">
        <is>
          <t>community screening</t>
        </is>
      </c>
      <c r="K25" s="86" t="inlineStr">
        <is>
          <t>middle</t>
        </is>
      </c>
      <c r="L25" s="86" t="inlineStr">
        <is>
          <t>primary</t>
        </is>
      </c>
      <c r="M25" s="86" t="inlineStr">
        <is>
          <t>yes</t>
        </is>
      </c>
      <c r="N25" s="86" t="inlineStr">
        <is>
          <t>rdr</t>
        </is>
      </c>
      <c r="O25" s="86" t="inlineStr">
        <is>
          <t>yes</t>
        </is>
      </c>
      <c r="P25" s="86" t="inlineStr">
        <is>
          <t>non-mydriatic</t>
        </is>
      </c>
      <c r="Q25" s="86" t="inlineStr">
        <is>
          <t>portable</t>
        </is>
      </c>
      <c r="R25" s="84" t="inlineStr">
        <is>
          <t>single</t>
        </is>
      </c>
      <c r="S25" s="84" t="inlineStr">
        <is>
          <t>nunez_2023</t>
        </is>
      </c>
      <c r="T25" s="86" t="inlineStr">
        <is>
          <t>icdr</t>
        </is>
      </c>
      <c r="U25" s="84" t="inlineStr">
        <is>
          <t>PP</t>
        </is>
      </c>
      <c r="V25" s="86" t="inlineStr">
        <is>
          <t>reading center</t>
        </is>
      </c>
      <c r="W25" s="56" t="inlineStr">
        <is>
          <t>no</t>
        </is>
      </c>
      <c r="X25" s="86" t="inlineStr">
        <is>
          <t>fundus</t>
        </is>
      </c>
      <c r="Y25" s="86" t="inlineStr">
        <is>
          <t>2</t>
        </is>
      </c>
      <c r="Z25" s="86" t="inlineStr">
        <is>
          <t>no</t>
        </is>
      </c>
      <c r="AA25" s="86" t="inlineStr">
        <is>
          <t>no</t>
        </is>
      </c>
      <c r="AB25" s="86" t="inlineStr">
        <is>
          <t>yes</t>
        </is>
      </c>
      <c r="AC25" s="84" t="inlineStr">
        <is>
          <t>no</t>
        </is>
      </c>
      <c r="AD25" s="86" t="inlineStr">
        <is>
          <t>ResNet</t>
        </is>
      </c>
      <c r="AE25" s="86" t="inlineStr">
        <is>
          <t>asia</t>
        </is>
      </c>
      <c r="AF25" s="56" t="inlineStr">
        <is>
          <t>high</t>
        </is>
      </c>
      <c r="AG25" s="56" t="inlineStr">
        <is>
          <t>high</t>
        </is>
      </c>
      <c r="AH25" s="86" t="n">
        <v>16247</v>
      </c>
      <c r="AI25" s="86" t="n">
        <v>0.23</v>
      </c>
      <c r="AJ25" s="86" t="n">
        <v>3738</v>
      </c>
      <c r="AK25" s="86" t="n">
        <v>12509</v>
      </c>
      <c r="AL25" s="86" t="n">
        <v>0.909</v>
      </c>
      <c r="AM25" s="86" t="n">
        <v>0.98</v>
      </c>
      <c r="AN25" s="86" t="n">
        <v>3397</v>
      </c>
      <c r="AO25" s="86" t="n">
        <v>341</v>
      </c>
      <c r="AP25" s="86" t="n">
        <v>12259</v>
      </c>
      <c r="AQ25" s="86" t="n">
        <v>250</v>
      </c>
    </row>
    <row r="26" ht="16" customHeight="1" s="55">
      <c r="A26" s="88" t="inlineStr">
        <is>
          <t>Núñez do Rio et al. 2023</t>
        </is>
      </c>
      <c r="B26" s="86" t="inlineStr">
        <is>
          <t>Reader</t>
        </is>
      </c>
      <c r="C26" s="86" t="inlineStr">
        <is>
          <t>Primary grades vs final arbitration</t>
        </is>
      </c>
      <c r="D26" s="84" t="inlineStr">
        <is>
          <t>trainedgrader</t>
        </is>
      </c>
      <c r="E26" s="84" t="inlineStr">
        <is>
          <t>human_only</t>
        </is>
      </c>
      <c r="F26" s="86" t="inlineStr">
        <is>
          <t>original</t>
        </is>
      </c>
      <c r="G26" s="86" t="inlineStr">
        <is>
          <t>prospective</t>
        </is>
      </c>
      <c r="H26" s="84" t="inlineStr">
        <is>
          <t>cross-sectional</t>
        </is>
      </c>
      <c r="I26" s="84" t="inlineStr">
        <is>
          <t>yes</t>
        </is>
      </c>
      <c r="J26" s="84" t="inlineStr">
        <is>
          <t>community screening</t>
        </is>
      </c>
      <c r="K26" s="86" t="inlineStr">
        <is>
          <t>middle</t>
        </is>
      </c>
      <c r="L26" s="86" t="inlineStr">
        <is>
          <t>primary</t>
        </is>
      </c>
      <c r="M26" s="86" t="inlineStr">
        <is>
          <t>yes</t>
        </is>
      </c>
      <c r="N26" s="86" t="inlineStr">
        <is>
          <t>rdr</t>
        </is>
      </c>
      <c r="O26" s="86" t="inlineStr">
        <is>
          <t>yes</t>
        </is>
      </c>
      <c r="P26" s="86" t="inlineStr">
        <is>
          <t>non-mydriatic</t>
        </is>
      </c>
      <c r="Q26" s="86" t="inlineStr">
        <is>
          <t>portable</t>
        </is>
      </c>
      <c r="R26" s="84" t="inlineStr">
        <is>
          <t>single</t>
        </is>
      </c>
      <c r="S26" s="84" t="inlineStr">
        <is>
          <t>nunez_2023</t>
        </is>
      </c>
      <c r="T26" s="86" t="inlineStr">
        <is>
          <t>icdr</t>
        </is>
      </c>
      <c r="U26" s="84" t="inlineStr">
        <is>
          <t>PP</t>
        </is>
      </c>
      <c r="V26" s="86" t="inlineStr">
        <is>
          <t>reading center</t>
        </is>
      </c>
      <c r="W26" s="56" t="inlineStr">
        <is>
          <t>no</t>
        </is>
      </c>
      <c r="X26" s="86" t="inlineStr">
        <is>
          <t>fundus</t>
        </is>
      </c>
      <c r="Y26" s="86" t="inlineStr">
        <is>
          <t>2</t>
        </is>
      </c>
      <c r="Z26" s="86" t="inlineStr">
        <is>
          <t>no</t>
        </is>
      </c>
      <c r="AA26" s="86" t="inlineStr">
        <is>
          <t>no</t>
        </is>
      </c>
      <c r="AB26" s="86" t="inlineStr">
        <is>
          <t>yes</t>
        </is>
      </c>
      <c r="AC26" s="84" t="inlineStr">
        <is>
          <t>no</t>
        </is>
      </c>
      <c r="AD26" s="86" t="inlineStr">
        <is>
          <t>NR</t>
        </is>
      </c>
      <c r="AE26" s="86" t="inlineStr">
        <is>
          <t>asia</t>
        </is>
      </c>
      <c r="AF26" s="56" t="inlineStr">
        <is>
          <t>high</t>
        </is>
      </c>
      <c r="AG26" s="56" t="inlineStr">
        <is>
          <t>high</t>
        </is>
      </c>
      <c r="AH26" s="86" t="n">
        <v>16247</v>
      </c>
      <c r="AI26" s="86" t="n">
        <v>0.23</v>
      </c>
      <c r="AJ26" s="86" t="n">
        <v>3738</v>
      </c>
      <c r="AK26" s="86" t="n">
        <v>12509</v>
      </c>
      <c r="AL26" s="86" t="n">
        <v>0.867</v>
      </c>
      <c r="AM26" s="86" t="n">
        <v>0.984</v>
      </c>
      <c r="AN26" s="86" t="n">
        <v>3240</v>
      </c>
      <c r="AO26" s="86" t="n">
        <v>498</v>
      </c>
      <c r="AP26" s="86" t="n">
        <v>12313</v>
      </c>
      <c r="AQ26" s="86" t="n">
        <v>196</v>
      </c>
    </row>
    <row r="27" ht="16" customHeight="1" s="55">
      <c r="A27" s="88" t="inlineStr">
        <is>
          <t>Núñez do Rio et al. 2023</t>
        </is>
      </c>
      <c r="B27" s="86" t="inlineStr">
        <is>
          <t>Reader</t>
        </is>
      </c>
      <c r="C27" s="86" t="inlineStr">
        <is>
          <t>Secondary grades vs final arbitration</t>
        </is>
      </c>
      <c r="D27" s="84" t="inlineStr">
        <is>
          <t>trainedgrader</t>
        </is>
      </c>
      <c r="E27" s="84" t="inlineStr">
        <is>
          <t>human_only</t>
        </is>
      </c>
      <c r="F27" s="86" t="inlineStr">
        <is>
          <t>original</t>
        </is>
      </c>
      <c r="G27" s="86" t="inlineStr">
        <is>
          <t>prospective</t>
        </is>
      </c>
      <c r="H27" s="84" t="inlineStr">
        <is>
          <t>cross-sectional</t>
        </is>
      </c>
      <c r="I27" s="84" t="inlineStr">
        <is>
          <t>yes</t>
        </is>
      </c>
      <c r="J27" s="84" t="inlineStr">
        <is>
          <t>community screening</t>
        </is>
      </c>
      <c r="K27" s="86" t="inlineStr">
        <is>
          <t>middle</t>
        </is>
      </c>
      <c r="L27" s="86" t="inlineStr">
        <is>
          <t>primary</t>
        </is>
      </c>
      <c r="M27" s="86" t="inlineStr">
        <is>
          <t>yes</t>
        </is>
      </c>
      <c r="N27" s="86" t="inlineStr">
        <is>
          <t>rdr</t>
        </is>
      </c>
      <c r="O27" s="86" t="inlineStr">
        <is>
          <t>yes</t>
        </is>
      </c>
      <c r="P27" s="86" t="inlineStr">
        <is>
          <t>non-mydriatic</t>
        </is>
      </c>
      <c r="Q27" s="86" t="inlineStr">
        <is>
          <t>portable</t>
        </is>
      </c>
      <c r="R27" s="84" t="inlineStr">
        <is>
          <t>single</t>
        </is>
      </c>
      <c r="S27" s="84" t="inlineStr">
        <is>
          <t>nunez_2023</t>
        </is>
      </c>
      <c r="T27" s="86" t="inlineStr">
        <is>
          <t>icdr</t>
        </is>
      </c>
      <c r="U27" s="84" t="inlineStr">
        <is>
          <t>PP</t>
        </is>
      </c>
      <c r="V27" s="86" t="inlineStr">
        <is>
          <t>reading center</t>
        </is>
      </c>
      <c r="W27" s="56" t="inlineStr">
        <is>
          <t>no</t>
        </is>
      </c>
      <c r="X27" s="86" t="inlineStr">
        <is>
          <t>fundus</t>
        </is>
      </c>
      <c r="Y27" s="86" t="inlineStr">
        <is>
          <t>2</t>
        </is>
      </c>
      <c r="Z27" s="86" t="inlineStr">
        <is>
          <t>no</t>
        </is>
      </c>
      <c r="AA27" s="86" t="inlineStr">
        <is>
          <t>no</t>
        </is>
      </c>
      <c r="AB27" s="86" t="inlineStr">
        <is>
          <t>yes</t>
        </is>
      </c>
      <c r="AC27" s="84" t="inlineStr">
        <is>
          <t>no</t>
        </is>
      </c>
      <c r="AD27" s="86" t="inlineStr">
        <is>
          <t>NR</t>
        </is>
      </c>
      <c r="AE27" s="86" t="inlineStr">
        <is>
          <t>asia</t>
        </is>
      </c>
      <c r="AF27" s="56" t="inlineStr">
        <is>
          <t>high</t>
        </is>
      </c>
      <c r="AG27" s="56" t="inlineStr">
        <is>
          <t>high</t>
        </is>
      </c>
      <c r="AH27" s="86" t="n">
        <v>16247</v>
      </c>
      <c r="AI27" s="86" t="n">
        <v>0.23</v>
      </c>
      <c r="AJ27" s="86" t="n">
        <v>3738</v>
      </c>
      <c r="AK27" s="86" t="n">
        <v>12509</v>
      </c>
      <c r="AL27" s="86" t="n">
        <v>0.9429999999999999</v>
      </c>
      <c r="AM27" s="86" t="n">
        <v>0.996</v>
      </c>
      <c r="AN27" s="86" t="n">
        <v>3526</v>
      </c>
      <c r="AO27" s="86" t="n">
        <v>212</v>
      </c>
      <c r="AP27" s="86" t="n">
        <v>12463</v>
      </c>
      <c r="AQ27" s="86" t="n">
        <v>46</v>
      </c>
    </row>
    <row r="28" ht="16" customHeight="1" s="55">
      <c r="A28" s="88" t="inlineStr">
        <is>
          <t>Ruamviboonsuk et al. 2022</t>
        </is>
      </c>
      <c r="B28" s="86" t="inlineStr">
        <is>
          <t>DL</t>
        </is>
      </c>
      <c r="C28" s="86" t="inlineStr">
        <is>
          <t>Deep-learning system (real-time screening)</t>
        </is>
      </c>
      <c r="D28" s="84" t="inlineStr">
        <is>
          <t>NR</t>
        </is>
      </c>
      <c r="E28" s="84" t="inlineStr">
        <is>
          <t>ai_only</t>
        </is>
      </c>
      <c r="F28" s="86" t="inlineStr">
        <is>
          <t>original</t>
        </is>
      </c>
      <c r="G28" s="86" t="inlineStr">
        <is>
          <t>prospective</t>
        </is>
      </c>
      <c r="H28" s="84" t="inlineStr">
        <is>
          <t>cohort</t>
        </is>
      </c>
      <c r="I28" s="84" t="inlineStr">
        <is>
          <t>yes</t>
        </is>
      </c>
      <c r="J28" s="84" t="inlineStr">
        <is>
          <t>national screening programme</t>
        </is>
      </c>
      <c r="K28" s="86" t="inlineStr">
        <is>
          <t>middle</t>
        </is>
      </c>
      <c r="L28" s="86" t="inlineStr">
        <is>
          <t>primary</t>
        </is>
      </c>
      <c r="M28" s="86" t="inlineStr">
        <is>
          <t>yes</t>
        </is>
      </c>
      <c r="N28" s="86" t="inlineStr">
        <is>
          <t>vtdr</t>
        </is>
      </c>
      <c r="O28" s="86" t="inlineStr">
        <is>
          <t>yes</t>
        </is>
      </c>
      <c r="P28" s="86" t="inlineStr">
        <is>
          <t>mixed</t>
        </is>
      </c>
      <c r="Q28" s="86" t="inlineStr">
        <is>
          <t>desktop</t>
        </is>
      </c>
      <c r="R28" s="84" t="inlineStr">
        <is>
          <t>multiple</t>
        </is>
      </c>
      <c r="S28" s="84" t="inlineStr">
        <is>
          <t>thai_national</t>
        </is>
      </c>
      <c r="T28" s="86" t="inlineStr">
        <is>
          <t>icdr</t>
        </is>
      </c>
      <c r="U28" s="84" t="inlineStr">
        <is>
          <t>ITT</t>
        </is>
      </c>
      <c r="V28" s="86" t="inlineStr">
        <is>
          <t>expert panel</t>
        </is>
      </c>
      <c r="W28" s="56" t="inlineStr">
        <is>
          <t>yes</t>
        </is>
      </c>
      <c r="X28" s="86" t="inlineStr">
        <is>
          <t>fundus</t>
        </is>
      </c>
      <c r="Y28" s="32" t="inlineStr">
        <is>
          <t>1</t>
        </is>
      </c>
      <c r="Z28" s="86" t="inlineStr">
        <is>
          <t>yes</t>
        </is>
      </c>
      <c r="AA28" s="86" t="inlineStr">
        <is>
          <t>yes</t>
        </is>
      </c>
      <c r="AB28" s="86" t="inlineStr">
        <is>
          <t>no</t>
        </is>
      </c>
      <c r="AC28" s="84" t="inlineStr">
        <is>
          <t>yes</t>
        </is>
      </c>
      <c r="AD28" s="86" t="inlineStr">
        <is>
          <t>Inception</t>
        </is>
      </c>
      <c r="AE28" s="86" t="inlineStr">
        <is>
          <t>asia</t>
        </is>
      </c>
      <c r="AF28" s="54" t="inlineStr">
        <is>
          <t>NR</t>
        </is>
      </c>
      <c r="AG28" s="86" t="inlineStr">
        <is>
          <t>NR</t>
        </is>
      </c>
      <c r="AH28" s="86" t="n">
        <v>987</v>
      </c>
      <c r="AI28" s="86" t="n">
        <v>0.166</v>
      </c>
      <c r="AJ28" s="86" t="n">
        <v>164</v>
      </c>
      <c r="AK28" s="86" t="n">
        <v>823</v>
      </c>
      <c r="AL28" s="86" t="n">
        <v>0.913</v>
      </c>
      <c r="AM28" s="86" t="n">
        <v>0.963</v>
      </c>
      <c r="AN28" s="86" t="n">
        <v>150</v>
      </c>
      <c r="AO28" s="86" t="n">
        <v>14</v>
      </c>
      <c r="AP28" s="86" t="n">
        <v>793</v>
      </c>
      <c r="AQ28" s="86" t="n">
        <v>30</v>
      </c>
    </row>
    <row r="29" ht="16" customHeight="1" s="55">
      <c r="A29" s="88" t="inlineStr">
        <is>
          <t>Ruamviboonsuk et al. 2022</t>
        </is>
      </c>
      <c r="B29" s="86" t="inlineStr">
        <is>
          <t>Reader</t>
        </is>
      </c>
      <c r="C29" s="86" t="inlineStr">
        <is>
          <t>Regional retina specialist over-readers</t>
        </is>
      </c>
      <c r="D29" s="84" t="inlineStr">
        <is>
          <t>retinaspecialist</t>
        </is>
      </c>
      <c r="E29" s="84" t="inlineStr">
        <is>
          <t>human_only</t>
        </is>
      </c>
      <c r="F29" s="86" t="inlineStr">
        <is>
          <t>original</t>
        </is>
      </c>
      <c r="G29" s="86" t="inlineStr">
        <is>
          <t>prospective</t>
        </is>
      </c>
      <c r="H29" s="84" t="inlineStr">
        <is>
          <t>cohort</t>
        </is>
      </c>
      <c r="I29" s="84" t="inlineStr">
        <is>
          <t>yes</t>
        </is>
      </c>
      <c r="J29" s="84" t="inlineStr">
        <is>
          <t>national screening programme</t>
        </is>
      </c>
      <c r="K29" s="86" t="inlineStr">
        <is>
          <t>middle</t>
        </is>
      </c>
      <c r="L29" s="86" t="inlineStr">
        <is>
          <t>primary</t>
        </is>
      </c>
      <c r="M29" s="86" t="inlineStr">
        <is>
          <t>yes</t>
        </is>
      </c>
      <c r="N29" s="86" t="inlineStr">
        <is>
          <t>vtdr</t>
        </is>
      </c>
      <c r="O29" s="86" t="inlineStr">
        <is>
          <t>yes</t>
        </is>
      </c>
      <c r="P29" s="86" t="inlineStr">
        <is>
          <t>mixed</t>
        </is>
      </c>
      <c r="Q29" s="86" t="inlineStr">
        <is>
          <t>desktop</t>
        </is>
      </c>
      <c r="R29" s="84" t="inlineStr">
        <is>
          <t>multiple</t>
        </is>
      </c>
      <c r="S29" s="84" t="inlineStr">
        <is>
          <t>thai_national</t>
        </is>
      </c>
      <c r="T29" s="86" t="inlineStr">
        <is>
          <t>icdr</t>
        </is>
      </c>
      <c r="U29" s="84" t="inlineStr">
        <is>
          <t>ITT</t>
        </is>
      </c>
      <c r="V29" s="86" t="inlineStr">
        <is>
          <t>expert panel</t>
        </is>
      </c>
      <c r="W29" s="56" t="inlineStr">
        <is>
          <t>yes</t>
        </is>
      </c>
      <c r="X29" s="86" t="inlineStr">
        <is>
          <t>fundus</t>
        </is>
      </c>
      <c r="Y29" s="86" t="inlineStr">
        <is>
          <t>1</t>
        </is>
      </c>
      <c r="Z29" s="32" t="inlineStr">
        <is>
          <t>yes</t>
        </is>
      </c>
      <c r="AA29" s="86" t="inlineStr">
        <is>
          <t>yes</t>
        </is>
      </c>
      <c r="AB29" s="86" t="inlineStr">
        <is>
          <t>no</t>
        </is>
      </c>
      <c r="AC29" s="84" t="inlineStr">
        <is>
          <t>yes</t>
        </is>
      </c>
      <c r="AD29" s="86" t="inlineStr">
        <is>
          <t>NR</t>
        </is>
      </c>
      <c r="AE29" s="86" t="inlineStr">
        <is>
          <t>asia</t>
        </is>
      </c>
      <c r="AF29" s="86" t="inlineStr">
        <is>
          <t>NR</t>
        </is>
      </c>
      <c r="AG29" s="86" t="inlineStr">
        <is>
          <t>NR</t>
        </is>
      </c>
      <c r="AH29" s="86" t="n">
        <v>987</v>
      </c>
      <c r="AI29" s="86" t="n">
        <v>0.166</v>
      </c>
      <c r="AJ29" s="86" t="n">
        <v>164</v>
      </c>
      <c r="AK29" s="86" t="n">
        <v>823</v>
      </c>
      <c r="AL29" s="86" t="n">
        <v>0.896</v>
      </c>
      <c r="AM29" s="86" t="n">
        <v>0.954</v>
      </c>
      <c r="AN29" s="86" t="n">
        <v>147</v>
      </c>
      <c r="AO29" s="86" t="n">
        <v>17</v>
      </c>
      <c r="AP29" s="86" t="n">
        <v>785</v>
      </c>
      <c r="AQ29" s="86" t="n">
        <v>38</v>
      </c>
    </row>
    <row r="30" ht="16" customHeight="1" s="55">
      <c r="A30" s="28" t="inlineStr">
        <is>
          <t>Zhang et al. 2022a</t>
        </is>
      </c>
      <c r="B30" s="86" t="inlineStr">
        <is>
          <t>DL</t>
        </is>
      </c>
      <c r="C30" s="86" t="inlineStr">
        <is>
          <t>DGCN</t>
        </is>
      </c>
      <c r="D30" s="84" t="inlineStr">
        <is>
          <t>NR</t>
        </is>
      </c>
      <c r="E30" s="84" t="inlineStr">
        <is>
          <t>ai_only</t>
        </is>
      </c>
      <c r="F30" s="86" t="inlineStr">
        <is>
          <t>original</t>
        </is>
      </c>
      <c r="G30" s="86" t="inlineStr">
        <is>
          <t>retrospective</t>
        </is>
      </c>
      <c r="H30" s="84" t="inlineStr">
        <is>
          <t>cross-sectional</t>
        </is>
      </c>
      <c r="I30" s="84" t="inlineStr">
        <is>
          <t>yes</t>
        </is>
      </c>
      <c r="J30" s="84" t="inlineStr">
        <is>
          <t>screening programmes; hospitals</t>
        </is>
      </c>
      <c r="K30" s="86" t="inlineStr">
        <is>
          <t>middle</t>
        </is>
      </c>
      <c r="L30" s="86" t="inlineStr">
        <is>
          <t>public dataset</t>
        </is>
      </c>
      <c r="M30" s="86" t="inlineStr">
        <is>
          <t>no</t>
        </is>
      </c>
      <c r="N30" s="86" t="inlineStr">
        <is>
          <t>any dr</t>
        </is>
      </c>
      <c r="O30" s="86" t="inlineStr">
        <is>
          <t>no</t>
        </is>
      </c>
      <c r="P30" s="86" t="inlineStr">
        <is>
          <t>mixed</t>
        </is>
      </c>
      <c r="Q30" s="86" t="inlineStr">
        <is>
          <t>mixed</t>
        </is>
      </c>
      <c r="R30" s="84" t="inlineStr">
        <is>
          <t>multiple</t>
        </is>
      </c>
      <c r="S30" s="84" t="inlineStr">
        <is>
          <t>zhang_2022_dgcn</t>
        </is>
      </c>
      <c r="T30" s="86" t="inlineStr">
        <is>
          <t>other</t>
        </is>
      </c>
      <c r="U30" s="84" t="inlineStr">
        <is>
          <t>hybrid</t>
        </is>
      </c>
      <c r="V30" s="86" t="inlineStr">
        <is>
          <t>expert panel</t>
        </is>
      </c>
      <c r="W30" s="86" t="inlineStr">
        <is>
          <t>yes</t>
        </is>
      </c>
      <c r="X30" s="86" t="inlineStr">
        <is>
          <t>fundus</t>
        </is>
      </c>
      <c r="Y30" s="32" t="inlineStr">
        <is>
          <t>1</t>
        </is>
      </c>
      <c r="Z30" s="86" t="inlineStr">
        <is>
          <t>no</t>
        </is>
      </c>
      <c r="AA30" s="86" t="inlineStr">
        <is>
          <t>no</t>
        </is>
      </c>
      <c r="AB30" s="86" t="inlineStr">
        <is>
          <t>no</t>
        </is>
      </c>
      <c r="AC30" s="84" t="inlineStr">
        <is>
          <t>yes</t>
        </is>
      </c>
      <c r="AD30" s="86" t="inlineStr">
        <is>
          <t>ResNet</t>
        </is>
      </c>
      <c r="AE30" s="86" t="inlineStr">
        <is>
          <t>america</t>
        </is>
      </c>
      <c r="AF30" s="86" t="inlineStr">
        <is>
          <t>NR</t>
        </is>
      </c>
      <c r="AG30" s="86" t="inlineStr">
        <is>
          <t>NR</t>
        </is>
      </c>
      <c r="AH30" s="86" t="n">
        <v>10286</v>
      </c>
      <c r="AI30" s="104" t="n">
        <v>0.779</v>
      </c>
      <c r="AJ30" s="104" t="n">
        <v>8010</v>
      </c>
      <c r="AK30" s="104" t="n">
        <v>2276</v>
      </c>
      <c r="AL30" s="104" t="n">
        <v>0.882</v>
      </c>
      <c r="AM30" s="104" t="n">
        <v>0.913</v>
      </c>
      <c r="AN30" s="86" t="n">
        <v>7065</v>
      </c>
      <c r="AO30" s="86" t="n">
        <v>945</v>
      </c>
      <c r="AP30" s="86" t="n">
        <v>2078</v>
      </c>
      <c r="AQ30" s="86" t="n">
        <v>198</v>
      </c>
    </row>
    <row r="31" ht="16" customHeight="1" s="55">
      <c r="A31" s="28" t="inlineStr">
        <is>
          <t>Zhang et al. 2022a</t>
        </is>
      </c>
      <c r="B31" s="86" t="inlineStr">
        <is>
          <t>DL</t>
        </is>
      </c>
      <c r="C31" s="86" t="inlineStr">
        <is>
          <t>DGCN</t>
        </is>
      </c>
      <c r="D31" s="84" t="inlineStr">
        <is>
          <t>NR</t>
        </is>
      </c>
      <c r="E31" s="84" t="inlineStr">
        <is>
          <t>ai_only</t>
        </is>
      </c>
      <c r="F31" s="86" t="inlineStr">
        <is>
          <t>original</t>
        </is>
      </c>
      <c r="G31" s="86" t="inlineStr">
        <is>
          <t>retrospective</t>
        </is>
      </c>
      <c r="H31" s="84" t="inlineStr">
        <is>
          <t>cross-sectional</t>
        </is>
      </c>
      <c r="I31" s="84" t="inlineStr">
        <is>
          <t>yes</t>
        </is>
      </c>
      <c r="J31" s="84" t="inlineStr">
        <is>
          <t>screening programmes; hospitals</t>
        </is>
      </c>
      <c r="K31" s="86" t="inlineStr">
        <is>
          <t>middle</t>
        </is>
      </c>
      <c r="L31" s="86" t="inlineStr">
        <is>
          <t>public dataset</t>
        </is>
      </c>
      <c r="M31" s="86" t="inlineStr">
        <is>
          <t>no</t>
        </is>
      </c>
      <c r="N31" s="86" t="inlineStr">
        <is>
          <t>any dr</t>
        </is>
      </c>
      <c r="O31" s="86" t="inlineStr">
        <is>
          <t>no</t>
        </is>
      </c>
      <c r="P31" s="86" t="inlineStr">
        <is>
          <t>mixed</t>
        </is>
      </c>
      <c r="Q31" s="86" t="inlineStr">
        <is>
          <t>mixed</t>
        </is>
      </c>
      <c r="R31" s="84" t="inlineStr">
        <is>
          <t>multiple</t>
        </is>
      </c>
      <c r="S31" s="84" t="inlineStr">
        <is>
          <t>zhang_2022_dgcn</t>
        </is>
      </c>
      <c r="T31" s="86" t="inlineStr">
        <is>
          <t>other</t>
        </is>
      </c>
      <c r="U31" s="84" t="inlineStr">
        <is>
          <t>hybrid</t>
        </is>
      </c>
      <c r="V31" s="86" t="inlineStr">
        <is>
          <t>expert panel</t>
        </is>
      </c>
      <c r="W31" s="86" t="inlineStr">
        <is>
          <t>yes</t>
        </is>
      </c>
      <c r="X31" s="86" t="inlineStr">
        <is>
          <t>fundus</t>
        </is>
      </c>
      <c r="Y31" s="32" t="inlineStr">
        <is>
          <t>1</t>
        </is>
      </c>
      <c r="Z31" s="86" t="inlineStr">
        <is>
          <t>no</t>
        </is>
      </c>
      <c r="AA31" s="86" t="inlineStr">
        <is>
          <t>no</t>
        </is>
      </c>
      <c r="AB31" s="86" t="inlineStr">
        <is>
          <t>no</t>
        </is>
      </c>
      <c r="AC31" s="84" t="inlineStr">
        <is>
          <t>yes</t>
        </is>
      </c>
      <c r="AD31" s="86" t="inlineStr">
        <is>
          <t>ResNet</t>
        </is>
      </c>
      <c r="AE31" s="86" t="inlineStr">
        <is>
          <t>america</t>
        </is>
      </c>
      <c r="AF31" s="86" t="inlineStr">
        <is>
          <t>NR</t>
        </is>
      </c>
      <c r="AG31" s="86" t="inlineStr">
        <is>
          <t>NR</t>
        </is>
      </c>
      <c r="AH31" s="86" t="n">
        <v>10286</v>
      </c>
      <c r="AI31" s="104" t="n">
        <v>0.779</v>
      </c>
      <c r="AJ31" s="104" t="n">
        <v>8010</v>
      </c>
      <c r="AK31" s="104" t="n">
        <v>2276</v>
      </c>
      <c r="AL31" s="104" t="n">
        <v>0.882</v>
      </c>
      <c r="AM31" s="104" t="n">
        <v>0.913</v>
      </c>
      <c r="AN31" s="86" t="n">
        <v>7065</v>
      </c>
      <c r="AO31" s="86" t="n">
        <v>945</v>
      </c>
      <c r="AP31" s="86" t="n">
        <v>2078</v>
      </c>
      <c r="AQ31" s="86" t="n">
        <v>198</v>
      </c>
    </row>
    <row r="32" ht="16" customHeight="1" s="55">
      <c r="A32" s="28" t="inlineStr">
        <is>
          <t>Zhang et al. 2022a</t>
        </is>
      </c>
      <c r="B32" s="86" t="inlineStr">
        <is>
          <t>Reader</t>
        </is>
      </c>
      <c r="C32" s="86" t="inlineStr">
        <is>
          <t>retinaspecialist</t>
        </is>
      </c>
      <c r="D32" s="84" t="inlineStr">
        <is>
          <t>retinaspecialist</t>
        </is>
      </c>
      <c r="E32" s="84" t="inlineStr">
        <is>
          <t>human_only</t>
        </is>
      </c>
      <c r="F32" s="86" t="inlineStr">
        <is>
          <t>original</t>
        </is>
      </c>
      <c r="G32" s="86" t="inlineStr">
        <is>
          <t>retrospective</t>
        </is>
      </c>
      <c r="H32" s="84" t="inlineStr">
        <is>
          <t>cross-sectional</t>
        </is>
      </c>
      <c r="I32" s="84" t="inlineStr">
        <is>
          <t>yes</t>
        </is>
      </c>
      <c r="J32" s="84" t="inlineStr">
        <is>
          <t>screening programmes; hospitals</t>
        </is>
      </c>
      <c r="K32" s="86" t="inlineStr">
        <is>
          <t>middle</t>
        </is>
      </c>
      <c r="L32" s="86" t="inlineStr">
        <is>
          <t>public dataset</t>
        </is>
      </c>
      <c r="M32" s="86" t="inlineStr">
        <is>
          <t>no</t>
        </is>
      </c>
      <c r="N32" s="86" t="inlineStr">
        <is>
          <t>any dr</t>
        </is>
      </c>
      <c r="O32" s="86" t="inlineStr">
        <is>
          <t>no</t>
        </is>
      </c>
      <c r="P32" s="86" t="inlineStr">
        <is>
          <t>mixed</t>
        </is>
      </c>
      <c r="Q32" s="86" t="inlineStr">
        <is>
          <t>mixed</t>
        </is>
      </c>
      <c r="R32" s="84" t="inlineStr">
        <is>
          <t>multiple</t>
        </is>
      </c>
      <c r="S32" s="84" t="inlineStr">
        <is>
          <t>zhang_2022_dgcn</t>
        </is>
      </c>
      <c r="T32" s="86" t="inlineStr">
        <is>
          <t>other</t>
        </is>
      </c>
      <c r="U32" s="84" t="inlineStr">
        <is>
          <t>hybrid</t>
        </is>
      </c>
      <c r="V32" s="86" t="inlineStr">
        <is>
          <t>expert panel</t>
        </is>
      </c>
      <c r="W32" s="86" t="inlineStr">
        <is>
          <t>yes</t>
        </is>
      </c>
      <c r="X32" s="86" t="inlineStr">
        <is>
          <t>fundus</t>
        </is>
      </c>
      <c r="Y32" s="32" t="inlineStr">
        <is>
          <t>1</t>
        </is>
      </c>
      <c r="Z32" s="86" t="inlineStr">
        <is>
          <t>no</t>
        </is>
      </c>
      <c r="AA32" s="86" t="inlineStr">
        <is>
          <t>no</t>
        </is>
      </c>
      <c r="AB32" s="86" t="inlineStr">
        <is>
          <t>no</t>
        </is>
      </c>
      <c r="AC32" s="84" t="inlineStr">
        <is>
          <t>yes</t>
        </is>
      </c>
      <c r="AD32" s="86" t="inlineStr">
        <is>
          <t>ResNet</t>
        </is>
      </c>
      <c r="AE32" s="86" t="inlineStr">
        <is>
          <t>america</t>
        </is>
      </c>
      <c r="AF32" s="86" t="inlineStr">
        <is>
          <t>NR</t>
        </is>
      </c>
      <c r="AG32" s="86" t="inlineStr">
        <is>
          <t>NR</t>
        </is>
      </c>
      <c r="AH32" s="86" t="n">
        <v>10286</v>
      </c>
      <c r="AI32" s="104" t="n">
        <v>0.779</v>
      </c>
      <c r="AJ32" s="104" t="n">
        <v>8010</v>
      </c>
      <c r="AK32" s="104" t="n">
        <v>2276</v>
      </c>
      <c r="AL32" s="104" t="n">
        <v>0.895</v>
      </c>
      <c r="AM32" s="104" t="n">
        <v>0.9320000000000001</v>
      </c>
      <c r="AN32" s="86" t="n">
        <v>7169</v>
      </c>
      <c r="AO32" s="86" t="n">
        <v>841</v>
      </c>
      <c r="AP32" s="86" t="n">
        <v>2121</v>
      </c>
      <c r="AQ32" s="86" t="n">
        <v>155</v>
      </c>
    </row>
    <row r="33" ht="16" customHeight="1" s="55">
      <c r="A33" s="28" t="inlineStr">
        <is>
          <t>Zhang et al. 2022a</t>
        </is>
      </c>
      <c r="B33" s="86" t="inlineStr">
        <is>
          <t>Reader</t>
        </is>
      </c>
      <c r="C33" s="86" t="inlineStr">
        <is>
          <t>trainedgrader</t>
        </is>
      </c>
      <c r="D33" s="84" t="inlineStr">
        <is>
          <t>trainedgrader</t>
        </is>
      </c>
      <c r="E33" s="84" t="inlineStr">
        <is>
          <t>human_only</t>
        </is>
      </c>
      <c r="F33" s="86" t="inlineStr">
        <is>
          <t>original</t>
        </is>
      </c>
      <c r="G33" s="86" t="inlineStr">
        <is>
          <t>retrospective</t>
        </is>
      </c>
      <c r="H33" s="84" t="inlineStr">
        <is>
          <t>cross-sectional</t>
        </is>
      </c>
      <c r="I33" s="84" t="inlineStr">
        <is>
          <t>yes</t>
        </is>
      </c>
      <c r="J33" s="84" t="inlineStr">
        <is>
          <t>screening programmes; hospitals</t>
        </is>
      </c>
      <c r="K33" s="86" t="inlineStr">
        <is>
          <t>middle</t>
        </is>
      </c>
      <c r="L33" s="86" t="inlineStr">
        <is>
          <t>public dataset</t>
        </is>
      </c>
      <c r="M33" s="86" t="inlineStr">
        <is>
          <t>no</t>
        </is>
      </c>
      <c r="N33" s="86" t="inlineStr">
        <is>
          <t>any dr</t>
        </is>
      </c>
      <c r="O33" s="86" t="inlineStr">
        <is>
          <t>no</t>
        </is>
      </c>
      <c r="P33" s="86" t="inlineStr">
        <is>
          <t>mixed</t>
        </is>
      </c>
      <c r="Q33" s="86" t="inlineStr">
        <is>
          <t>mixed</t>
        </is>
      </c>
      <c r="R33" s="84" t="inlineStr">
        <is>
          <t>multiple</t>
        </is>
      </c>
      <c r="S33" s="84" t="inlineStr">
        <is>
          <t>zhang_2022_dgcn</t>
        </is>
      </c>
      <c r="T33" s="86" t="inlineStr">
        <is>
          <t>other</t>
        </is>
      </c>
      <c r="U33" s="84" t="inlineStr">
        <is>
          <t>hybrid</t>
        </is>
      </c>
      <c r="V33" s="86" t="inlineStr">
        <is>
          <t>expert panel</t>
        </is>
      </c>
      <c r="W33" s="86" t="inlineStr">
        <is>
          <t>yes</t>
        </is>
      </c>
      <c r="X33" s="86" t="inlineStr">
        <is>
          <t>fundus</t>
        </is>
      </c>
      <c r="Y33" s="32" t="inlineStr">
        <is>
          <t>1</t>
        </is>
      </c>
      <c r="Z33" s="86" t="inlineStr">
        <is>
          <t>no</t>
        </is>
      </c>
      <c r="AA33" s="86" t="inlineStr">
        <is>
          <t>no</t>
        </is>
      </c>
      <c r="AB33" s="86" t="inlineStr">
        <is>
          <t>no</t>
        </is>
      </c>
      <c r="AC33" s="84" t="inlineStr">
        <is>
          <t>yes</t>
        </is>
      </c>
      <c r="AD33" s="86" t="inlineStr">
        <is>
          <t>ResNet</t>
        </is>
      </c>
      <c r="AE33" s="86" t="inlineStr">
        <is>
          <t>america</t>
        </is>
      </c>
      <c r="AF33" s="86" t="inlineStr">
        <is>
          <t>NR</t>
        </is>
      </c>
      <c r="AG33" s="86" t="inlineStr">
        <is>
          <t>NR</t>
        </is>
      </c>
      <c r="AH33" s="86" t="n">
        <v>10286</v>
      </c>
      <c r="AI33" s="104" t="n">
        <v>0.779</v>
      </c>
      <c r="AJ33" s="104" t="n">
        <v>8010</v>
      </c>
      <c r="AK33" s="104" t="n">
        <v>2276</v>
      </c>
      <c r="AL33" s="104" t="n">
        <v>0.864</v>
      </c>
      <c r="AM33" s="104" t="n">
        <v>0.904</v>
      </c>
      <c r="AN33" s="86" t="n">
        <v>6921</v>
      </c>
      <c r="AO33" s="86" t="n">
        <v>1089</v>
      </c>
      <c r="AP33" s="86" t="n">
        <v>2058</v>
      </c>
      <c r="AQ33" s="86" t="n">
        <v>218</v>
      </c>
    </row>
    <row r="34" ht="16" customHeight="1" s="55">
      <c r="A34" s="28" t="inlineStr">
        <is>
          <t>Zhang et al. 2022a</t>
        </is>
      </c>
      <c r="B34" s="86" t="inlineStr">
        <is>
          <t>Reader</t>
        </is>
      </c>
      <c r="C34" s="86" t="inlineStr">
        <is>
          <t>retinaspecialist</t>
        </is>
      </c>
      <c r="D34" s="84" t="inlineStr">
        <is>
          <t>retinaspecialist</t>
        </is>
      </c>
      <c r="E34" s="84" t="inlineStr">
        <is>
          <t>human_only</t>
        </is>
      </c>
      <c r="F34" s="86" t="inlineStr">
        <is>
          <t>original</t>
        </is>
      </c>
      <c r="G34" s="86" t="inlineStr">
        <is>
          <t>retrospective</t>
        </is>
      </c>
      <c r="H34" s="84" t="inlineStr">
        <is>
          <t>cross-sectional</t>
        </is>
      </c>
      <c r="I34" s="84" t="inlineStr">
        <is>
          <t>yes</t>
        </is>
      </c>
      <c r="J34" s="84" t="inlineStr">
        <is>
          <t>screening programmes; hospitals</t>
        </is>
      </c>
      <c r="K34" s="86" t="inlineStr">
        <is>
          <t>middle</t>
        </is>
      </c>
      <c r="L34" s="86" t="inlineStr">
        <is>
          <t>public dataset</t>
        </is>
      </c>
      <c r="M34" s="86" t="inlineStr">
        <is>
          <t>no</t>
        </is>
      </c>
      <c r="N34" s="86" t="inlineStr">
        <is>
          <t>rdr</t>
        </is>
      </c>
      <c r="O34" s="86" t="inlineStr">
        <is>
          <t>no</t>
        </is>
      </c>
      <c r="P34" s="86" t="inlineStr">
        <is>
          <t>mixed</t>
        </is>
      </c>
      <c r="Q34" s="86" t="inlineStr">
        <is>
          <t>mixed</t>
        </is>
      </c>
      <c r="R34" s="84" t="inlineStr">
        <is>
          <t>multiple</t>
        </is>
      </c>
      <c r="S34" s="84" t="inlineStr">
        <is>
          <t>zhang_2022_dgcn</t>
        </is>
      </c>
      <c r="T34" s="86" t="inlineStr">
        <is>
          <t>other</t>
        </is>
      </c>
      <c r="U34" s="84" t="inlineStr">
        <is>
          <t>hybrid</t>
        </is>
      </c>
      <c r="V34" s="86" t="inlineStr">
        <is>
          <t>expert panel</t>
        </is>
      </c>
      <c r="W34" s="86" t="inlineStr">
        <is>
          <t>yes</t>
        </is>
      </c>
      <c r="X34" s="86" t="inlineStr">
        <is>
          <t>fundus</t>
        </is>
      </c>
      <c r="Y34" s="32" t="inlineStr">
        <is>
          <t>1</t>
        </is>
      </c>
      <c r="Z34" s="86" t="inlineStr">
        <is>
          <t>no</t>
        </is>
      </c>
      <c r="AA34" s="86" t="inlineStr">
        <is>
          <t>no</t>
        </is>
      </c>
      <c r="AB34" s="86" t="inlineStr">
        <is>
          <t>no</t>
        </is>
      </c>
      <c r="AC34" s="84" t="inlineStr">
        <is>
          <t>yes</t>
        </is>
      </c>
      <c r="AD34" s="86" t="inlineStr">
        <is>
          <t>ResNet</t>
        </is>
      </c>
      <c r="AE34" s="86" t="inlineStr">
        <is>
          <t>europe</t>
        </is>
      </c>
      <c r="AF34" s="86" t="inlineStr">
        <is>
          <t>NR</t>
        </is>
      </c>
      <c r="AG34" s="86" t="inlineStr">
        <is>
          <t>NR</t>
        </is>
      </c>
      <c r="AH34" s="86" t="n">
        <v>1748</v>
      </c>
      <c r="AI34" s="104" t="n">
        <v>0.145</v>
      </c>
      <c r="AJ34" s="104" t="n">
        <v>254</v>
      </c>
      <c r="AK34" s="104" t="n">
        <v>1494</v>
      </c>
      <c r="AL34" s="104" t="n">
        <v>0.909</v>
      </c>
      <c r="AM34" s="104" t="n">
        <v>0.95</v>
      </c>
      <c r="AN34" s="86" t="n">
        <v>231</v>
      </c>
      <c r="AO34" s="86" t="n">
        <v>23</v>
      </c>
      <c r="AP34" s="86" t="n">
        <v>1419</v>
      </c>
      <c r="AQ34" s="86" t="n">
        <v>75</v>
      </c>
    </row>
    <row r="35" ht="16" customHeight="1" s="55">
      <c r="A35" s="28" t="inlineStr">
        <is>
          <t>Zhang et al. 2022a</t>
        </is>
      </c>
      <c r="B35" s="86" t="inlineStr">
        <is>
          <t>Reader</t>
        </is>
      </c>
      <c r="C35" s="86" t="inlineStr">
        <is>
          <t>trainedgrader</t>
        </is>
      </c>
      <c r="D35" s="84" t="inlineStr">
        <is>
          <t>trainedgrader</t>
        </is>
      </c>
      <c r="E35" s="84" t="inlineStr">
        <is>
          <t>human_only</t>
        </is>
      </c>
      <c r="F35" s="86" t="inlineStr">
        <is>
          <t>original</t>
        </is>
      </c>
      <c r="G35" s="86" t="inlineStr">
        <is>
          <t>retrospective</t>
        </is>
      </c>
      <c r="H35" s="84" t="inlineStr">
        <is>
          <t>cross-sectional</t>
        </is>
      </c>
      <c r="I35" s="84" t="inlineStr">
        <is>
          <t>yes</t>
        </is>
      </c>
      <c r="J35" s="84" t="inlineStr">
        <is>
          <t>screening programmes; hospitals</t>
        </is>
      </c>
      <c r="K35" s="86" t="inlineStr">
        <is>
          <t>middle</t>
        </is>
      </c>
      <c r="L35" s="86" t="inlineStr">
        <is>
          <t>public dataset</t>
        </is>
      </c>
      <c r="M35" s="86" t="inlineStr">
        <is>
          <t>no</t>
        </is>
      </c>
      <c r="N35" s="86" t="inlineStr">
        <is>
          <t>rdr</t>
        </is>
      </c>
      <c r="O35" s="86" t="inlineStr">
        <is>
          <t>no</t>
        </is>
      </c>
      <c r="P35" s="86" t="inlineStr">
        <is>
          <t>mixed</t>
        </is>
      </c>
      <c r="Q35" s="86" t="inlineStr">
        <is>
          <t>mixed</t>
        </is>
      </c>
      <c r="R35" s="84" t="inlineStr">
        <is>
          <t>multiple</t>
        </is>
      </c>
      <c r="S35" s="84" t="inlineStr">
        <is>
          <t>zhang_2022_dgcn</t>
        </is>
      </c>
      <c r="T35" s="86" t="inlineStr">
        <is>
          <t>other</t>
        </is>
      </c>
      <c r="U35" s="84" t="inlineStr">
        <is>
          <t>hybrid</t>
        </is>
      </c>
      <c r="V35" s="86" t="inlineStr">
        <is>
          <t>expert panel</t>
        </is>
      </c>
      <c r="W35" s="86" t="inlineStr">
        <is>
          <t>yes</t>
        </is>
      </c>
      <c r="X35" s="86" t="inlineStr">
        <is>
          <t>fundus</t>
        </is>
      </c>
      <c r="Y35" s="32" t="inlineStr">
        <is>
          <t>1</t>
        </is>
      </c>
      <c r="Z35" s="86" t="inlineStr">
        <is>
          <t>no</t>
        </is>
      </c>
      <c r="AA35" s="86" t="inlineStr">
        <is>
          <t>no</t>
        </is>
      </c>
      <c r="AB35" s="86" t="inlineStr">
        <is>
          <t>no</t>
        </is>
      </c>
      <c r="AC35" s="84" t="inlineStr">
        <is>
          <t>yes</t>
        </is>
      </c>
      <c r="AD35" s="86" t="inlineStr">
        <is>
          <t>ResNet</t>
        </is>
      </c>
      <c r="AE35" s="86" t="inlineStr">
        <is>
          <t>europe</t>
        </is>
      </c>
      <c r="AF35" s="86" t="inlineStr">
        <is>
          <t>NR</t>
        </is>
      </c>
      <c r="AG35" s="86" t="inlineStr">
        <is>
          <t>NR</t>
        </is>
      </c>
      <c r="AH35" s="86" t="n">
        <v>1748</v>
      </c>
      <c r="AI35" s="104" t="n">
        <v>0.145</v>
      </c>
      <c r="AJ35" s="104" t="n">
        <v>254</v>
      </c>
      <c r="AK35" s="104" t="n">
        <v>1494</v>
      </c>
      <c r="AL35" s="104" t="n">
        <v>0.878</v>
      </c>
      <c r="AM35" s="104" t="n">
        <v>0.911</v>
      </c>
      <c r="AN35" s="86" t="n">
        <v>223</v>
      </c>
      <c r="AO35" s="86" t="n">
        <v>31</v>
      </c>
      <c r="AP35" s="86" t="n">
        <v>1361</v>
      </c>
      <c r="AQ35" s="86" t="n">
        <v>133</v>
      </c>
    </row>
    <row r="36" ht="16" customHeight="1" s="55">
      <c r="A36" s="88" t="inlineStr">
        <is>
          <t>Hsieh et al. 2021</t>
        </is>
      </c>
      <c r="B36" s="86" t="inlineStr">
        <is>
          <t>DL</t>
        </is>
      </c>
      <c r="C36" s="86" t="inlineStr">
        <is>
          <t>VeriSee (final model)</t>
        </is>
      </c>
      <c r="D36" s="84" t="inlineStr">
        <is>
          <t>NR</t>
        </is>
      </c>
      <c r="E36" s="84" t="inlineStr">
        <is>
          <t>ai_only</t>
        </is>
      </c>
      <c r="F36" s="86" t="inlineStr">
        <is>
          <t>original</t>
        </is>
      </c>
      <c r="G36" s="86" t="inlineStr">
        <is>
          <t>retrospective</t>
        </is>
      </c>
      <c r="H36" s="84" t="inlineStr">
        <is>
          <t>cross-sectional</t>
        </is>
      </c>
      <c r="I36" s="84" t="inlineStr">
        <is>
          <t>no</t>
        </is>
      </c>
      <c r="J36" s="84" t="inlineStr">
        <is>
          <t>university hospital</t>
        </is>
      </c>
      <c r="K36" s="86" t="inlineStr">
        <is>
          <t>high</t>
        </is>
      </c>
      <c r="L36" s="86" t="inlineStr">
        <is>
          <t>tertiary</t>
        </is>
      </c>
      <c r="M36" s="86" t="inlineStr">
        <is>
          <t>no</t>
        </is>
      </c>
      <c r="N36" s="86" t="inlineStr">
        <is>
          <t>any dr</t>
        </is>
      </c>
      <c r="O36" s="86" t="inlineStr">
        <is>
          <t>no</t>
        </is>
      </c>
      <c r="P36" s="86" t="inlineStr">
        <is>
          <t>non-mydriatic</t>
        </is>
      </c>
      <c r="Q36" s="86" t="inlineStr">
        <is>
          <t>desktop</t>
        </is>
      </c>
      <c r="R36" s="84" t="inlineStr">
        <is>
          <t>single</t>
        </is>
      </c>
      <c r="S36" s="84" t="inlineStr">
        <is>
          <t>hsieh_2021</t>
        </is>
      </c>
      <c r="T36" s="86" t="inlineStr">
        <is>
          <t>icdr</t>
        </is>
      </c>
      <c r="U36" s="84" t="inlineStr">
        <is>
          <t>PP</t>
        </is>
      </c>
      <c r="V36" s="86" t="inlineStr">
        <is>
          <t>expert panel</t>
        </is>
      </c>
      <c r="W36" s="56" t="inlineStr">
        <is>
          <t>no</t>
        </is>
      </c>
      <c r="X36" s="86" t="inlineStr">
        <is>
          <t>fundus</t>
        </is>
      </c>
      <c r="Y36" s="86" t="inlineStr">
        <is>
          <t>1</t>
        </is>
      </c>
      <c r="Z36" s="86" t="inlineStr">
        <is>
          <t>yes</t>
        </is>
      </c>
      <c r="AA36" s="86" t="inlineStr">
        <is>
          <t>yes</t>
        </is>
      </c>
      <c r="AB36" s="58" t="inlineStr">
        <is>
          <t>yes</t>
        </is>
      </c>
      <c r="AC36" s="84" t="inlineStr">
        <is>
          <t>yes</t>
        </is>
      </c>
      <c r="AD36" s="86" t="inlineStr">
        <is>
          <t>Inception</t>
        </is>
      </c>
      <c r="AE36" s="86" t="inlineStr">
        <is>
          <t>asia</t>
        </is>
      </c>
      <c r="AF36" s="56" t="inlineStr">
        <is>
          <t>high</t>
        </is>
      </c>
      <c r="AG36" s="56" t="inlineStr">
        <is>
          <t>high</t>
        </is>
      </c>
      <c r="AH36" s="86" t="n">
        <v>1875</v>
      </c>
      <c r="AI36" s="86" t="n">
        <v>0.349</v>
      </c>
      <c r="AJ36" s="86" t="n">
        <v>654</v>
      </c>
      <c r="AK36" s="86" t="n">
        <v>1221</v>
      </c>
      <c r="AL36" s="86" t="n">
        <v>0.922</v>
      </c>
      <c r="AM36" s="86" t="n">
        <v>0.895</v>
      </c>
      <c r="AN36" s="86" t="n">
        <v>603</v>
      </c>
      <c r="AO36" s="86" t="n">
        <v>51</v>
      </c>
      <c r="AP36" s="86" t="n">
        <v>1093</v>
      </c>
      <c r="AQ36" s="86" t="n">
        <v>128</v>
      </c>
    </row>
    <row r="37" ht="16" customHeight="1" s="55">
      <c r="A37" s="88" t="inlineStr">
        <is>
          <t>Hsieh et al. 2021</t>
        </is>
      </c>
      <c r="B37" s="86" t="inlineStr">
        <is>
          <t>Reader</t>
        </is>
      </c>
      <c r="C37" s="86" t="inlineStr">
        <is>
          <t>Ophthalmologists (image reading)</t>
        </is>
      </c>
      <c r="D37" s="84" t="inlineStr">
        <is>
          <t>ophthalmologist</t>
        </is>
      </c>
      <c r="E37" s="84" t="inlineStr">
        <is>
          <t>human_only</t>
        </is>
      </c>
      <c r="F37" s="86" t="inlineStr">
        <is>
          <t>original</t>
        </is>
      </c>
      <c r="G37" s="86" t="inlineStr">
        <is>
          <t>retrospective</t>
        </is>
      </c>
      <c r="H37" s="84" t="inlineStr">
        <is>
          <t>cross-sectional</t>
        </is>
      </c>
      <c r="I37" s="84" t="inlineStr">
        <is>
          <t>no</t>
        </is>
      </c>
      <c r="J37" s="84" t="inlineStr">
        <is>
          <t>university hospital</t>
        </is>
      </c>
      <c r="K37" s="86" t="inlineStr">
        <is>
          <t>high</t>
        </is>
      </c>
      <c r="L37" s="86" t="inlineStr">
        <is>
          <t>tertiary</t>
        </is>
      </c>
      <c r="M37" s="86" t="inlineStr">
        <is>
          <t>no</t>
        </is>
      </c>
      <c r="N37" s="86" t="inlineStr">
        <is>
          <t>any dr</t>
        </is>
      </c>
      <c r="O37" s="86" t="inlineStr">
        <is>
          <t>no</t>
        </is>
      </c>
      <c r="P37" s="86" t="inlineStr">
        <is>
          <t>non-mydriatic</t>
        </is>
      </c>
      <c r="Q37" s="86" t="inlineStr">
        <is>
          <t>desktop</t>
        </is>
      </c>
      <c r="R37" s="84" t="inlineStr">
        <is>
          <t>single</t>
        </is>
      </c>
      <c r="S37" s="84" t="inlineStr">
        <is>
          <t>hsieh_2021</t>
        </is>
      </c>
      <c r="T37" s="86" t="inlineStr">
        <is>
          <t>icdr</t>
        </is>
      </c>
      <c r="U37" s="84" t="inlineStr">
        <is>
          <t>PP</t>
        </is>
      </c>
      <c r="V37" s="86" t="inlineStr">
        <is>
          <t>expert panel</t>
        </is>
      </c>
      <c r="W37" s="56" t="inlineStr">
        <is>
          <t>no</t>
        </is>
      </c>
      <c r="X37" s="86" t="inlineStr">
        <is>
          <t>fundus</t>
        </is>
      </c>
      <c r="Y37" s="86" t="inlineStr">
        <is>
          <t>1</t>
        </is>
      </c>
      <c r="Z37" s="86" t="inlineStr">
        <is>
          <t>yes</t>
        </is>
      </c>
      <c r="AA37" s="86" t="inlineStr">
        <is>
          <t>yes</t>
        </is>
      </c>
      <c r="AB37" s="86" t="inlineStr">
        <is>
          <t>yes</t>
        </is>
      </c>
      <c r="AC37" s="84" t="inlineStr">
        <is>
          <t>yes</t>
        </is>
      </c>
      <c r="AD37" s="86" t="inlineStr">
        <is>
          <t>NR</t>
        </is>
      </c>
      <c r="AE37" s="86" t="inlineStr">
        <is>
          <t>asia</t>
        </is>
      </c>
      <c r="AF37" s="56" t="inlineStr">
        <is>
          <t>high</t>
        </is>
      </c>
      <c r="AG37" s="56" t="inlineStr">
        <is>
          <t>high</t>
        </is>
      </c>
      <c r="AH37" s="86" t="n">
        <v>1875</v>
      </c>
      <c r="AI37" s="86" t="n">
        <v>0.349</v>
      </c>
      <c r="AJ37" s="86" t="n">
        <v>654</v>
      </c>
      <c r="AK37" s="86" t="n">
        <v>1221</v>
      </c>
      <c r="AL37" s="86" t="n">
        <v>0.869</v>
      </c>
      <c r="AM37" s="86" t="n">
        <v>0.975</v>
      </c>
      <c r="AN37" s="86" t="n">
        <v>568</v>
      </c>
      <c r="AO37" s="86" t="n">
        <v>86</v>
      </c>
      <c r="AP37" s="86" t="n">
        <v>1190</v>
      </c>
      <c r="AQ37" s="86" t="n">
        <v>31</v>
      </c>
    </row>
    <row r="38" ht="16" customHeight="1" s="55">
      <c r="A38" s="88" t="inlineStr">
        <is>
          <t>Hsieh et al. 2021</t>
        </is>
      </c>
      <c r="B38" s="86" t="inlineStr">
        <is>
          <t>Reader</t>
        </is>
      </c>
      <c r="C38" s="86" t="inlineStr">
        <is>
          <t>Internal physicians (chart-record reading)</t>
        </is>
      </c>
      <c r="D38" s="84" t="inlineStr">
        <is>
          <t>physician</t>
        </is>
      </c>
      <c r="E38" s="84" t="inlineStr">
        <is>
          <t>human_only</t>
        </is>
      </c>
      <c r="F38" s="86" t="inlineStr">
        <is>
          <t>original</t>
        </is>
      </c>
      <c r="G38" s="86" t="inlineStr">
        <is>
          <t>retrospective</t>
        </is>
      </c>
      <c r="H38" s="84" t="inlineStr">
        <is>
          <t>cross-sectional</t>
        </is>
      </c>
      <c r="I38" s="84" t="inlineStr">
        <is>
          <t>no</t>
        </is>
      </c>
      <c r="J38" s="84" t="inlineStr">
        <is>
          <t>university hospital</t>
        </is>
      </c>
      <c r="K38" s="86" t="inlineStr">
        <is>
          <t>high</t>
        </is>
      </c>
      <c r="L38" s="86" t="inlineStr">
        <is>
          <t>tertiary</t>
        </is>
      </c>
      <c r="M38" s="86" t="inlineStr">
        <is>
          <t>no</t>
        </is>
      </c>
      <c r="N38" s="86" t="inlineStr">
        <is>
          <t>any dr</t>
        </is>
      </c>
      <c r="O38" s="86" t="inlineStr">
        <is>
          <t>no</t>
        </is>
      </c>
      <c r="P38" s="86" t="inlineStr">
        <is>
          <t>non-mydriatic</t>
        </is>
      </c>
      <c r="Q38" s="86" t="inlineStr">
        <is>
          <t>desktop</t>
        </is>
      </c>
      <c r="R38" s="84" t="inlineStr">
        <is>
          <t>single</t>
        </is>
      </c>
      <c r="S38" s="84" t="inlineStr">
        <is>
          <t>hsieh_2021</t>
        </is>
      </c>
      <c r="T38" s="86" t="inlineStr">
        <is>
          <t>icdr</t>
        </is>
      </c>
      <c r="U38" s="84" t="inlineStr">
        <is>
          <t>PP</t>
        </is>
      </c>
      <c r="V38" s="86" t="inlineStr">
        <is>
          <t>expert panel</t>
        </is>
      </c>
      <c r="W38" s="56" t="inlineStr">
        <is>
          <t>no</t>
        </is>
      </c>
      <c r="X38" s="86" t="inlineStr">
        <is>
          <t>fundus</t>
        </is>
      </c>
      <c r="Y38" s="86" t="inlineStr">
        <is>
          <t>1</t>
        </is>
      </c>
      <c r="Z38" s="86" t="inlineStr">
        <is>
          <t>yes</t>
        </is>
      </c>
      <c r="AA38" s="86" t="inlineStr">
        <is>
          <t>yes</t>
        </is>
      </c>
      <c r="AB38" s="86" t="inlineStr">
        <is>
          <t>yes</t>
        </is>
      </c>
      <c r="AC38" s="84" t="inlineStr">
        <is>
          <t>yes</t>
        </is>
      </c>
      <c r="AD38" s="86" t="inlineStr">
        <is>
          <t>NR</t>
        </is>
      </c>
      <c r="AE38" s="86" t="inlineStr">
        <is>
          <t>asia</t>
        </is>
      </c>
      <c r="AF38" s="56" t="inlineStr">
        <is>
          <t>high</t>
        </is>
      </c>
      <c r="AG38" s="56" t="inlineStr">
        <is>
          <t>high</t>
        </is>
      </c>
      <c r="AH38" s="86" t="n">
        <v>1875</v>
      </c>
      <c r="AI38" s="86" t="n">
        <v>0.349</v>
      </c>
      <c r="AJ38" s="86" t="n">
        <v>654</v>
      </c>
      <c r="AK38" s="86" t="n">
        <v>1221</v>
      </c>
      <c r="AL38" s="86" t="n">
        <v>0.643</v>
      </c>
      <c r="AM38" s="86" t="n">
        <v>0.719</v>
      </c>
      <c r="AN38" s="86" t="n">
        <v>421</v>
      </c>
      <c r="AO38" s="86" t="n">
        <v>233</v>
      </c>
      <c r="AP38" s="86" t="n">
        <v>878</v>
      </c>
      <c r="AQ38" s="86" t="n">
        <v>343</v>
      </c>
    </row>
    <row r="39" ht="16" customHeight="1" s="55">
      <c r="A39" s="88" t="inlineStr">
        <is>
          <t>Hsieh et al. 2021</t>
        </is>
      </c>
      <c r="B39" s="86" t="inlineStr">
        <is>
          <t>DL</t>
        </is>
      </c>
      <c r="C39" s="86" t="inlineStr">
        <is>
          <t>VeriSee (final model)</t>
        </is>
      </c>
      <c r="D39" s="84" t="inlineStr">
        <is>
          <t>NR</t>
        </is>
      </c>
      <c r="E39" s="84" t="inlineStr">
        <is>
          <t>ai_only</t>
        </is>
      </c>
      <c r="F39" s="86" t="inlineStr">
        <is>
          <t>original</t>
        </is>
      </c>
      <c r="G39" s="86" t="inlineStr">
        <is>
          <t>retrospective</t>
        </is>
      </c>
      <c r="H39" s="84" t="inlineStr">
        <is>
          <t>cross-sectional</t>
        </is>
      </c>
      <c r="I39" s="84" t="inlineStr">
        <is>
          <t>no</t>
        </is>
      </c>
      <c r="J39" s="84" t="inlineStr">
        <is>
          <t>university hospital</t>
        </is>
      </c>
      <c r="K39" s="86" t="inlineStr">
        <is>
          <t>high</t>
        </is>
      </c>
      <c r="L39" s="86" t="inlineStr">
        <is>
          <t>tertiary</t>
        </is>
      </c>
      <c r="M39" s="86" t="inlineStr">
        <is>
          <t>no</t>
        </is>
      </c>
      <c r="N39" s="86" t="inlineStr">
        <is>
          <t>rdr</t>
        </is>
      </c>
      <c r="O39" s="86" t="inlineStr">
        <is>
          <t>no</t>
        </is>
      </c>
      <c r="P39" s="86" t="inlineStr">
        <is>
          <t>non-mydriatic</t>
        </is>
      </c>
      <c r="Q39" s="86" t="inlineStr">
        <is>
          <t>desktop</t>
        </is>
      </c>
      <c r="R39" s="84" t="inlineStr">
        <is>
          <t>single</t>
        </is>
      </c>
      <c r="S39" s="84" t="inlineStr">
        <is>
          <t>hsieh_2021</t>
        </is>
      </c>
      <c r="T39" s="86" t="inlineStr">
        <is>
          <t>icdr</t>
        </is>
      </c>
      <c r="U39" s="84" t="inlineStr">
        <is>
          <t>PP</t>
        </is>
      </c>
      <c r="V39" s="86" t="inlineStr">
        <is>
          <t>expert panel</t>
        </is>
      </c>
      <c r="W39" s="56" t="inlineStr">
        <is>
          <t>no</t>
        </is>
      </c>
      <c r="X39" s="86" t="inlineStr">
        <is>
          <t>fundus</t>
        </is>
      </c>
      <c r="Y39" s="86" t="inlineStr">
        <is>
          <t>1</t>
        </is>
      </c>
      <c r="Z39" s="86" t="inlineStr">
        <is>
          <t>yes</t>
        </is>
      </c>
      <c r="AA39" s="86" t="inlineStr">
        <is>
          <t>yes</t>
        </is>
      </c>
      <c r="AB39" s="58" t="inlineStr">
        <is>
          <t>yes</t>
        </is>
      </c>
      <c r="AC39" s="84" t="inlineStr">
        <is>
          <t>yes</t>
        </is>
      </c>
      <c r="AD39" s="86" t="inlineStr">
        <is>
          <t>Inception</t>
        </is>
      </c>
      <c r="AE39" s="86" t="inlineStr">
        <is>
          <t>asia</t>
        </is>
      </c>
      <c r="AF39" s="56" t="inlineStr">
        <is>
          <t>high</t>
        </is>
      </c>
      <c r="AG39" s="56" t="inlineStr">
        <is>
          <t>high</t>
        </is>
      </c>
      <c r="AH39" s="86" t="n">
        <v>1875</v>
      </c>
      <c r="AI39" s="86" t="n">
        <v>0.119</v>
      </c>
      <c r="AJ39" s="86" t="n">
        <v>223</v>
      </c>
      <c r="AK39" s="86" t="n">
        <v>1652</v>
      </c>
      <c r="AL39" s="86" t="n">
        <v>0.892</v>
      </c>
      <c r="AM39" s="86" t="n">
        <v>0.901</v>
      </c>
      <c r="AN39" s="86" t="n">
        <v>199</v>
      </c>
      <c r="AO39" s="86" t="n">
        <v>24</v>
      </c>
      <c r="AP39" s="86" t="n">
        <v>1488</v>
      </c>
      <c r="AQ39" s="86" t="n">
        <v>164</v>
      </c>
    </row>
    <row r="40" ht="16" customHeight="1" s="55">
      <c r="A40" s="88" t="inlineStr">
        <is>
          <t>Hsieh et al. 2021</t>
        </is>
      </c>
      <c r="B40" s="86" t="inlineStr">
        <is>
          <t>Reader</t>
        </is>
      </c>
      <c r="C40" s="86" t="inlineStr">
        <is>
          <t>Ophthalmologists (image reading)</t>
        </is>
      </c>
      <c r="D40" s="84" t="inlineStr">
        <is>
          <t>ophthalmologist</t>
        </is>
      </c>
      <c r="E40" s="84" t="inlineStr">
        <is>
          <t>human_only</t>
        </is>
      </c>
      <c r="F40" s="86" t="inlineStr">
        <is>
          <t>original</t>
        </is>
      </c>
      <c r="G40" s="86" t="inlineStr">
        <is>
          <t>retrospective</t>
        </is>
      </c>
      <c r="H40" s="84" t="inlineStr">
        <is>
          <t>cross-sectional</t>
        </is>
      </c>
      <c r="I40" s="84" t="inlineStr">
        <is>
          <t>no</t>
        </is>
      </c>
      <c r="J40" s="84" t="inlineStr">
        <is>
          <t>university hospital</t>
        </is>
      </c>
      <c r="K40" s="86" t="inlineStr">
        <is>
          <t>high</t>
        </is>
      </c>
      <c r="L40" s="86" t="inlineStr">
        <is>
          <t>tertiary</t>
        </is>
      </c>
      <c r="M40" s="86" t="inlineStr">
        <is>
          <t>no</t>
        </is>
      </c>
      <c r="N40" s="86" t="inlineStr">
        <is>
          <t>rdr</t>
        </is>
      </c>
      <c r="O40" s="86" t="inlineStr">
        <is>
          <t>no</t>
        </is>
      </c>
      <c r="P40" s="86" t="inlineStr">
        <is>
          <t>non-mydriatic</t>
        </is>
      </c>
      <c r="Q40" s="86" t="inlineStr">
        <is>
          <t>desktop</t>
        </is>
      </c>
      <c r="R40" s="84" t="inlineStr">
        <is>
          <t>single</t>
        </is>
      </c>
      <c r="S40" s="84" t="inlineStr">
        <is>
          <t>hsieh_2021</t>
        </is>
      </c>
      <c r="T40" s="86" t="inlineStr">
        <is>
          <t>icdr</t>
        </is>
      </c>
      <c r="U40" s="84" t="inlineStr">
        <is>
          <t>PP</t>
        </is>
      </c>
      <c r="V40" s="86" t="inlineStr">
        <is>
          <t>expert panel</t>
        </is>
      </c>
      <c r="W40" s="56" t="inlineStr">
        <is>
          <t>no</t>
        </is>
      </c>
      <c r="X40" s="86" t="inlineStr">
        <is>
          <t>fundus</t>
        </is>
      </c>
      <c r="Y40" s="86" t="inlineStr">
        <is>
          <t>1</t>
        </is>
      </c>
      <c r="Z40" s="86" t="inlineStr">
        <is>
          <t>yes</t>
        </is>
      </c>
      <c r="AA40" s="86" t="inlineStr">
        <is>
          <t>yes</t>
        </is>
      </c>
      <c r="AB40" s="86" t="inlineStr">
        <is>
          <t>yes</t>
        </is>
      </c>
      <c r="AC40" s="84" t="inlineStr">
        <is>
          <t>yes</t>
        </is>
      </c>
      <c r="AD40" s="86" t="inlineStr">
        <is>
          <t>NR</t>
        </is>
      </c>
      <c r="AE40" s="86" t="inlineStr">
        <is>
          <t>asia</t>
        </is>
      </c>
      <c r="AF40" s="56" t="inlineStr">
        <is>
          <t>high</t>
        </is>
      </c>
      <c r="AG40" s="56" t="inlineStr">
        <is>
          <t>high</t>
        </is>
      </c>
      <c r="AH40" s="86" t="n">
        <v>1875</v>
      </c>
      <c r="AI40" s="86" t="n">
        <v>0.119</v>
      </c>
      <c r="AJ40" s="86" t="n">
        <v>223</v>
      </c>
      <c r="AK40" s="86" t="n">
        <v>1652</v>
      </c>
      <c r="AL40" s="86" t="n">
        <v>0.711</v>
      </c>
      <c r="AM40" s="86" t="n">
        <v>0.989</v>
      </c>
      <c r="AN40" s="86" t="n">
        <v>159</v>
      </c>
      <c r="AO40" s="86" t="n">
        <v>64</v>
      </c>
      <c r="AP40" s="86" t="n">
        <v>1634</v>
      </c>
      <c r="AQ40" s="86" t="n">
        <v>18</v>
      </c>
    </row>
    <row r="41" ht="17" customHeight="1" s="55">
      <c r="A41" s="88" t="inlineStr">
        <is>
          <t>Hsieh et al. 2021</t>
        </is>
      </c>
      <c r="B41" s="86" t="inlineStr">
        <is>
          <t>DL</t>
        </is>
      </c>
      <c r="C41" s="86" t="inlineStr">
        <is>
          <t>VeriSee (final model)</t>
        </is>
      </c>
      <c r="D41" s="84" t="inlineStr">
        <is>
          <t>NR</t>
        </is>
      </c>
      <c r="E41" s="84" t="inlineStr">
        <is>
          <t>ai_only</t>
        </is>
      </c>
      <c r="F41" s="86" t="inlineStr">
        <is>
          <t>original</t>
        </is>
      </c>
      <c r="G41" s="86" t="inlineStr">
        <is>
          <t>retrospective</t>
        </is>
      </c>
      <c r="H41" s="84" t="inlineStr">
        <is>
          <t>cross-sectional</t>
        </is>
      </c>
      <c r="I41" s="84" t="inlineStr">
        <is>
          <t>no</t>
        </is>
      </c>
      <c r="J41" s="84" t="inlineStr">
        <is>
          <t>university hospital</t>
        </is>
      </c>
      <c r="K41" s="86" t="inlineStr">
        <is>
          <t>high</t>
        </is>
      </c>
      <c r="L41" s="86" t="inlineStr">
        <is>
          <t>tertiary</t>
        </is>
      </c>
      <c r="M41" s="86" t="inlineStr">
        <is>
          <t>no</t>
        </is>
      </c>
      <c r="N41" s="86" t="inlineStr">
        <is>
          <t>vtdr</t>
        </is>
      </c>
      <c r="O41" s="86" t="inlineStr">
        <is>
          <t>no</t>
        </is>
      </c>
      <c r="P41" s="86" t="inlineStr">
        <is>
          <t>non-mydriatic</t>
        </is>
      </c>
      <c r="Q41" s="86" t="inlineStr">
        <is>
          <t>desktop</t>
        </is>
      </c>
      <c r="R41" s="84" t="inlineStr">
        <is>
          <t>single</t>
        </is>
      </c>
      <c r="S41" s="84" t="inlineStr">
        <is>
          <t>hsieh_2021</t>
        </is>
      </c>
      <c r="T41" s="86" t="inlineStr">
        <is>
          <t>icdr</t>
        </is>
      </c>
      <c r="U41" s="84" t="inlineStr">
        <is>
          <t>PP</t>
        </is>
      </c>
      <c r="V41" s="86" t="inlineStr">
        <is>
          <t>expert panel</t>
        </is>
      </c>
      <c r="W41" s="56" t="inlineStr">
        <is>
          <t>no</t>
        </is>
      </c>
      <c r="X41" s="86" t="inlineStr">
        <is>
          <t>fundus</t>
        </is>
      </c>
      <c r="Y41" s="86" t="inlineStr">
        <is>
          <t>1</t>
        </is>
      </c>
      <c r="Z41" s="86" t="inlineStr">
        <is>
          <t>yes</t>
        </is>
      </c>
      <c r="AA41" s="86" t="inlineStr">
        <is>
          <t>yes</t>
        </is>
      </c>
      <c r="AB41" s="58" t="inlineStr">
        <is>
          <t>yes</t>
        </is>
      </c>
      <c r="AC41" s="84" t="inlineStr">
        <is>
          <t>yes</t>
        </is>
      </c>
      <c r="AD41" s="86" t="inlineStr">
        <is>
          <t>ResNet</t>
        </is>
      </c>
      <c r="AE41" s="86" t="inlineStr">
        <is>
          <t>asia</t>
        </is>
      </c>
      <c r="AF41" s="56" t="inlineStr">
        <is>
          <t>high</t>
        </is>
      </c>
      <c r="AG41" s="56" t="inlineStr">
        <is>
          <t>high</t>
        </is>
      </c>
      <c r="AH41" s="86" t="n">
        <v>1875</v>
      </c>
      <c r="AI41" s="86" t="n">
        <v>0.018</v>
      </c>
      <c r="AJ41" s="86" t="n">
        <v>33</v>
      </c>
      <c r="AK41" s="86" t="n">
        <v>1842</v>
      </c>
      <c r="AL41" s="86" t="n">
        <v>0.909</v>
      </c>
      <c r="AM41" s="86" t="n">
        <v>0.993</v>
      </c>
      <c r="AN41" s="86" t="n">
        <v>30</v>
      </c>
      <c r="AO41" s="86" t="n">
        <v>3</v>
      </c>
      <c r="AP41" s="86" t="n">
        <v>1829</v>
      </c>
      <c r="AQ41" s="86" t="n">
        <v>13</v>
      </c>
    </row>
    <row r="42" ht="16" customHeight="1" s="55">
      <c r="A42" s="88" t="inlineStr">
        <is>
          <t>Hsieh et al. 2021</t>
        </is>
      </c>
      <c r="B42" s="86" t="inlineStr">
        <is>
          <t>Reader</t>
        </is>
      </c>
      <c r="C42" s="86" t="inlineStr">
        <is>
          <t>Ophthalmologists (image reading)</t>
        </is>
      </c>
      <c r="D42" s="84" t="inlineStr">
        <is>
          <t>ophthalmologist</t>
        </is>
      </c>
      <c r="E42" s="84" t="inlineStr">
        <is>
          <t>human_only</t>
        </is>
      </c>
      <c r="F42" s="86" t="inlineStr">
        <is>
          <t>original</t>
        </is>
      </c>
      <c r="G42" s="86" t="inlineStr">
        <is>
          <t>retrospective</t>
        </is>
      </c>
      <c r="H42" s="84" t="inlineStr">
        <is>
          <t>cross-sectional</t>
        </is>
      </c>
      <c r="I42" s="84" t="inlineStr">
        <is>
          <t>no</t>
        </is>
      </c>
      <c r="J42" s="84" t="inlineStr">
        <is>
          <t>university hospital</t>
        </is>
      </c>
      <c r="K42" s="86" t="inlineStr">
        <is>
          <t>high</t>
        </is>
      </c>
      <c r="L42" s="86" t="inlineStr">
        <is>
          <t>tertiary</t>
        </is>
      </c>
      <c r="M42" s="86" t="inlineStr">
        <is>
          <t>no</t>
        </is>
      </c>
      <c r="N42" s="86" t="inlineStr">
        <is>
          <t>vtdr</t>
        </is>
      </c>
      <c r="O42" s="86" t="inlineStr">
        <is>
          <t>no</t>
        </is>
      </c>
      <c r="P42" s="86" t="inlineStr">
        <is>
          <t>non-mydriatic</t>
        </is>
      </c>
      <c r="Q42" s="86" t="inlineStr">
        <is>
          <t>desktop</t>
        </is>
      </c>
      <c r="R42" s="84" t="inlineStr">
        <is>
          <t>single</t>
        </is>
      </c>
      <c r="S42" s="84" t="inlineStr">
        <is>
          <t>hsieh_2021</t>
        </is>
      </c>
      <c r="T42" s="86" t="inlineStr">
        <is>
          <t>icdr</t>
        </is>
      </c>
      <c r="U42" s="84" t="inlineStr">
        <is>
          <t>PP</t>
        </is>
      </c>
      <c r="V42" s="86" t="inlineStr">
        <is>
          <t>expert panel</t>
        </is>
      </c>
      <c r="W42" s="56" t="inlineStr">
        <is>
          <t>no</t>
        </is>
      </c>
      <c r="X42" s="86" t="inlineStr">
        <is>
          <t>fundus</t>
        </is>
      </c>
      <c r="Y42" s="86" t="inlineStr">
        <is>
          <t>1</t>
        </is>
      </c>
      <c r="Z42" s="86" t="inlineStr">
        <is>
          <t>yes</t>
        </is>
      </c>
      <c r="AA42" s="86" t="inlineStr">
        <is>
          <t>yes</t>
        </is>
      </c>
      <c r="AB42" s="86" t="inlineStr">
        <is>
          <t>yes</t>
        </is>
      </c>
      <c r="AC42" s="84" t="inlineStr">
        <is>
          <t>yes</t>
        </is>
      </c>
      <c r="AD42" s="86" t="inlineStr">
        <is>
          <t>NR</t>
        </is>
      </c>
      <c r="AE42" s="86" t="inlineStr">
        <is>
          <t>asia</t>
        </is>
      </c>
      <c r="AF42" s="56" t="inlineStr">
        <is>
          <t>high</t>
        </is>
      </c>
      <c r="AG42" s="56" t="inlineStr">
        <is>
          <t>high</t>
        </is>
      </c>
      <c r="AH42" s="86" t="n">
        <v>1875</v>
      </c>
      <c r="AI42" s="86" t="n">
        <v>0.018</v>
      </c>
      <c r="AJ42" s="86" t="n">
        <v>33</v>
      </c>
      <c r="AK42" s="86" t="n">
        <v>1842</v>
      </c>
      <c r="AL42" s="86" t="n">
        <v>0.891</v>
      </c>
      <c r="AM42" s="86" t="n">
        <v>0.998</v>
      </c>
      <c r="AN42" s="86" t="n">
        <v>29</v>
      </c>
      <c r="AO42" s="86" t="n">
        <v>4</v>
      </c>
      <c r="AP42" s="86" t="n">
        <v>1838</v>
      </c>
      <c r="AQ42" s="86" t="n">
        <v>4</v>
      </c>
    </row>
    <row r="43" ht="16" customHeight="1" s="55">
      <c r="A43" s="88" t="inlineStr">
        <is>
          <t>Hsieh et al. 2021</t>
        </is>
      </c>
      <c r="B43" s="86" t="inlineStr">
        <is>
          <t>Reader</t>
        </is>
      </c>
      <c r="C43" s="86" t="inlineStr">
        <is>
          <t>Internal physicians (chart-record reading)</t>
        </is>
      </c>
      <c r="D43" s="84" t="inlineStr">
        <is>
          <t>physician</t>
        </is>
      </c>
      <c r="E43" s="84" t="inlineStr">
        <is>
          <t>human_only</t>
        </is>
      </c>
      <c r="F43" s="86" t="inlineStr">
        <is>
          <t>original</t>
        </is>
      </c>
      <c r="G43" s="86" t="inlineStr">
        <is>
          <t>retrospective</t>
        </is>
      </c>
      <c r="H43" s="84" t="inlineStr">
        <is>
          <t>cross-sectional</t>
        </is>
      </c>
      <c r="I43" s="84" t="inlineStr">
        <is>
          <t>no</t>
        </is>
      </c>
      <c r="J43" s="84" t="inlineStr">
        <is>
          <t>university hospital</t>
        </is>
      </c>
      <c r="K43" s="86" t="inlineStr">
        <is>
          <t>high</t>
        </is>
      </c>
      <c r="L43" s="86" t="inlineStr">
        <is>
          <t>tertiary</t>
        </is>
      </c>
      <c r="M43" s="86" t="inlineStr">
        <is>
          <t>no</t>
        </is>
      </c>
      <c r="N43" s="86" t="inlineStr">
        <is>
          <t>vtdr</t>
        </is>
      </c>
      <c r="O43" s="86" t="inlineStr">
        <is>
          <t>no</t>
        </is>
      </c>
      <c r="P43" s="86" t="inlineStr">
        <is>
          <t>non-mydriatic</t>
        </is>
      </c>
      <c r="Q43" s="86" t="inlineStr">
        <is>
          <t>desktop</t>
        </is>
      </c>
      <c r="R43" s="84" t="inlineStr">
        <is>
          <t>single</t>
        </is>
      </c>
      <c r="S43" s="84" t="inlineStr">
        <is>
          <t>hsieh_2021</t>
        </is>
      </c>
      <c r="T43" s="86" t="inlineStr">
        <is>
          <t>icdr</t>
        </is>
      </c>
      <c r="U43" s="84" t="inlineStr">
        <is>
          <t>PP</t>
        </is>
      </c>
      <c r="V43" s="86" t="inlineStr">
        <is>
          <t>expert panel</t>
        </is>
      </c>
      <c r="W43" s="56" t="inlineStr">
        <is>
          <t>no</t>
        </is>
      </c>
      <c r="X43" s="86" t="inlineStr">
        <is>
          <t>fundus</t>
        </is>
      </c>
      <c r="Y43" s="86" t="inlineStr">
        <is>
          <t>1</t>
        </is>
      </c>
      <c r="Z43" s="86" t="inlineStr">
        <is>
          <t>yes</t>
        </is>
      </c>
      <c r="AA43" s="86" t="inlineStr">
        <is>
          <t>yes</t>
        </is>
      </c>
      <c r="AB43" s="86" t="inlineStr">
        <is>
          <t>yes</t>
        </is>
      </c>
      <c r="AC43" s="84" t="inlineStr">
        <is>
          <t>yes</t>
        </is>
      </c>
      <c r="AD43" s="86" t="inlineStr">
        <is>
          <t>NR</t>
        </is>
      </c>
      <c r="AE43" s="86" t="inlineStr">
        <is>
          <t>asia</t>
        </is>
      </c>
      <c r="AF43" s="56" t="inlineStr">
        <is>
          <t>high</t>
        </is>
      </c>
      <c r="AG43" s="56" t="inlineStr">
        <is>
          <t>high</t>
        </is>
      </c>
      <c r="AH43" s="86" t="n">
        <v>1875</v>
      </c>
      <c r="AI43" s="86" t="n">
        <v>0.018</v>
      </c>
      <c r="AJ43" s="86" t="n">
        <v>33</v>
      </c>
      <c r="AK43" s="86" t="n">
        <v>1842</v>
      </c>
      <c r="AL43" s="86" t="n">
        <v>0.206</v>
      </c>
      <c r="AM43" s="86" t="n">
        <v>0.995</v>
      </c>
      <c r="AN43" s="86" t="n">
        <v>7</v>
      </c>
      <c r="AO43" s="86" t="n">
        <v>26</v>
      </c>
      <c r="AP43" s="86" t="n">
        <v>1833</v>
      </c>
      <c r="AQ43" s="86" t="n">
        <v>9</v>
      </c>
    </row>
    <row r="44" ht="16" customHeight="1" s="55">
      <c r="A44" s="88" t="inlineStr">
        <is>
          <t>Kim et al. 2021</t>
        </is>
      </c>
      <c r="B44" s="86" t="inlineStr">
        <is>
          <t>DL</t>
        </is>
      </c>
      <c r="C44" s="86" t="inlineStr">
        <is>
          <t>EyeArt automated interpretation (eye-level)</t>
        </is>
      </c>
      <c r="D44" s="84" t="inlineStr">
        <is>
          <t>NR</t>
        </is>
      </c>
      <c r="E44" s="84" t="inlineStr">
        <is>
          <t>ai_only</t>
        </is>
      </c>
      <c r="F44" s="86" t="inlineStr">
        <is>
          <t>original</t>
        </is>
      </c>
      <c r="G44" s="86" t="inlineStr">
        <is>
          <t>prospective</t>
        </is>
      </c>
      <c r="H44" s="84" t="inlineStr">
        <is>
          <t>cross-sectional</t>
        </is>
      </c>
      <c r="I44" s="84" t="inlineStr">
        <is>
          <t>no</t>
        </is>
      </c>
      <c r="J44" s="84" t="inlineStr">
        <is>
          <t>university hospital</t>
        </is>
      </c>
      <c r="K44" s="86" t="inlineStr">
        <is>
          <t>high</t>
        </is>
      </c>
      <c r="L44" s="86" t="inlineStr">
        <is>
          <t>tertiary</t>
        </is>
      </c>
      <c r="M44" s="86" t="inlineStr">
        <is>
          <t>no</t>
        </is>
      </c>
      <c r="N44" s="86" t="inlineStr">
        <is>
          <t>rdr</t>
        </is>
      </c>
      <c r="O44" s="86" t="inlineStr">
        <is>
          <t>no</t>
        </is>
      </c>
      <c r="P44" s="86" t="inlineStr">
        <is>
          <t>mydriatic</t>
        </is>
      </c>
      <c r="Q44" s="86" t="inlineStr">
        <is>
          <t>smartphone</t>
        </is>
      </c>
      <c r="R44" s="84" t="inlineStr">
        <is>
          <t>single</t>
        </is>
      </c>
      <c r="S44" s="84" t="inlineStr">
        <is>
          <t>kim_2021</t>
        </is>
      </c>
      <c r="T44" s="86" t="inlineStr">
        <is>
          <t>etdrs</t>
        </is>
      </c>
      <c r="U44" s="84" t="inlineStr">
        <is>
          <t>PP</t>
        </is>
      </c>
      <c r="V44" s="86" t="inlineStr">
        <is>
          <t>clinical exam</t>
        </is>
      </c>
      <c r="W44" s="56" t="inlineStr">
        <is>
          <t>yes</t>
        </is>
      </c>
      <c r="X44" s="86" t="inlineStr">
        <is>
          <t>fundus</t>
        </is>
      </c>
      <c r="Y44" s="86" t="inlineStr">
        <is>
          <t>&gt;2</t>
        </is>
      </c>
      <c r="Z44" s="32" t="inlineStr">
        <is>
          <t>yes</t>
        </is>
      </c>
      <c r="AA44" s="86" t="inlineStr">
        <is>
          <t>yes</t>
        </is>
      </c>
      <c r="AB44" s="86" t="inlineStr">
        <is>
          <t>yes</t>
        </is>
      </c>
      <c r="AC44" s="84" t="inlineStr">
        <is>
          <t>yes</t>
        </is>
      </c>
      <c r="AD44" s="86" t="inlineStr">
        <is>
          <t>proprietary</t>
        </is>
      </c>
      <c r="AE44" s="86" t="inlineStr">
        <is>
          <t>america</t>
        </is>
      </c>
      <c r="AF44" s="56" t="inlineStr">
        <is>
          <t>high</t>
        </is>
      </c>
      <c r="AG44" s="56" t="inlineStr">
        <is>
          <t>high</t>
        </is>
      </c>
      <c r="AH44" s="86" t="n">
        <v>119</v>
      </c>
      <c r="AI44" s="86" t="n">
        <v>0.739</v>
      </c>
      <c r="AJ44" s="86" t="n">
        <v>88</v>
      </c>
      <c r="AK44" s="86" t="n">
        <v>31</v>
      </c>
      <c r="AL44" s="86" t="n">
        <v>0.778</v>
      </c>
      <c r="AM44" s="86" t="n">
        <v>0.715</v>
      </c>
      <c r="AN44" s="86" t="n">
        <v>69</v>
      </c>
      <c r="AO44" s="86" t="n">
        <v>19</v>
      </c>
      <c r="AP44" s="86" t="n">
        <v>23</v>
      </c>
      <c r="AQ44" s="86" t="n">
        <v>8</v>
      </c>
    </row>
    <row r="45" ht="16" customHeight="1" s="55">
      <c r="A45" s="88" t="inlineStr">
        <is>
          <t>Kim et al. 2021</t>
        </is>
      </c>
      <c r="B45" s="86" t="inlineStr">
        <is>
          <t>Reader</t>
        </is>
      </c>
      <c r="C45" s="86" t="inlineStr">
        <is>
          <t>Grader 1 (retina specialist; eye-level)</t>
        </is>
      </c>
      <c r="D45" s="84" t="inlineStr">
        <is>
          <t>retinaspecialist</t>
        </is>
      </c>
      <c r="E45" s="84" t="inlineStr">
        <is>
          <t>human_only</t>
        </is>
      </c>
      <c r="F45" s="86" t="inlineStr">
        <is>
          <t>original</t>
        </is>
      </c>
      <c r="G45" s="86" t="inlineStr">
        <is>
          <t>prospective</t>
        </is>
      </c>
      <c r="H45" s="84" t="inlineStr">
        <is>
          <t>cross-sectional</t>
        </is>
      </c>
      <c r="I45" s="84" t="inlineStr">
        <is>
          <t>no</t>
        </is>
      </c>
      <c r="J45" s="84" t="inlineStr">
        <is>
          <t>university hospital</t>
        </is>
      </c>
      <c r="K45" s="86" t="inlineStr">
        <is>
          <t>high</t>
        </is>
      </c>
      <c r="L45" s="86" t="inlineStr">
        <is>
          <t>tertiary</t>
        </is>
      </c>
      <c r="M45" s="86" t="inlineStr">
        <is>
          <t>no</t>
        </is>
      </c>
      <c r="N45" s="86" t="inlineStr">
        <is>
          <t>rdr</t>
        </is>
      </c>
      <c r="O45" s="86" t="inlineStr">
        <is>
          <t>no</t>
        </is>
      </c>
      <c r="P45" s="86" t="inlineStr">
        <is>
          <t>mydriatic</t>
        </is>
      </c>
      <c r="Q45" s="86" t="inlineStr">
        <is>
          <t>smartphone</t>
        </is>
      </c>
      <c r="R45" s="84" t="inlineStr">
        <is>
          <t>single</t>
        </is>
      </c>
      <c r="S45" s="84" t="inlineStr">
        <is>
          <t>kim_2021</t>
        </is>
      </c>
      <c r="T45" s="86" t="inlineStr">
        <is>
          <t>etdrs</t>
        </is>
      </c>
      <c r="U45" s="84" t="inlineStr">
        <is>
          <t>PP</t>
        </is>
      </c>
      <c r="V45" s="86" t="inlineStr">
        <is>
          <t>clinical exam</t>
        </is>
      </c>
      <c r="W45" s="56" t="inlineStr">
        <is>
          <t>yes</t>
        </is>
      </c>
      <c r="X45" s="86" t="inlineStr">
        <is>
          <t>fundus</t>
        </is>
      </c>
      <c r="Y45" s="86" t="inlineStr">
        <is>
          <t>&gt;2</t>
        </is>
      </c>
      <c r="Z45" s="32" t="inlineStr">
        <is>
          <t>yes</t>
        </is>
      </c>
      <c r="AA45" s="86" t="inlineStr">
        <is>
          <t>yes</t>
        </is>
      </c>
      <c r="AB45" s="86" t="inlineStr">
        <is>
          <t>yes</t>
        </is>
      </c>
      <c r="AC45" s="84" t="inlineStr">
        <is>
          <t>yes</t>
        </is>
      </c>
      <c r="AD45" s="86" t="inlineStr">
        <is>
          <t>NR</t>
        </is>
      </c>
      <c r="AE45" s="86" t="inlineStr">
        <is>
          <t>america</t>
        </is>
      </c>
      <c r="AF45" s="56" t="inlineStr">
        <is>
          <t>high</t>
        </is>
      </c>
      <c r="AG45" s="56" t="inlineStr">
        <is>
          <t>high</t>
        </is>
      </c>
      <c r="AH45" s="86" t="n">
        <v>119</v>
      </c>
      <c r="AI45" s="86" t="n">
        <v>0.739</v>
      </c>
      <c r="AJ45" s="86" t="n">
        <v>88</v>
      </c>
      <c r="AK45" s="86" t="n">
        <v>31</v>
      </c>
      <c r="AL45" s="86" t="n">
        <v>0.9399999999999999</v>
      </c>
      <c r="AM45" s="86" t="n">
        <v>0.522</v>
      </c>
      <c r="AN45" s="86" t="n">
        <v>83</v>
      </c>
      <c r="AO45" s="86" t="n">
        <v>5</v>
      </c>
      <c r="AP45" s="86" t="n">
        <v>17</v>
      </c>
      <c r="AQ45" s="86" t="n">
        <v>14</v>
      </c>
    </row>
    <row r="46" ht="16" customHeight="1" s="55">
      <c r="A46" s="88" t="inlineStr">
        <is>
          <t>Kim et al. 2021</t>
        </is>
      </c>
      <c r="B46" s="86" t="inlineStr">
        <is>
          <t>Reader</t>
        </is>
      </c>
      <c r="C46" s="86" t="inlineStr">
        <is>
          <t>Grader 2 (telemedicine ophthalmologist; eye-level)</t>
        </is>
      </c>
      <c r="D46" s="84" t="inlineStr">
        <is>
          <t>ophthalmologist</t>
        </is>
      </c>
      <c r="E46" s="84" t="inlineStr">
        <is>
          <t>human_only</t>
        </is>
      </c>
      <c r="F46" s="86" t="inlineStr">
        <is>
          <t>original</t>
        </is>
      </c>
      <c r="G46" s="86" t="inlineStr">
        <is>
          <t>prospective</t>
        </is>
      </c>
      <c r="H46" s="84" t="inlineStr">
        <is>
          <t>cross-sectional</t>
        </is>
      </c>
      <c r="I46" s="84" t="inlineStr">
        <is>
          <t>no</t>
        </is>
      </c>
      <c r="J46" s="84" t="inlineStr">
        <is>
          <t>university hospital</t>
        </is>
      </c>
      <c r="K46" s="86" t="inlineStr">
        <is>
          <t>high</t>
        </is>
      </c>
      <c r="L46" s="86" t="inlineStr">
        <is>
          <t>tertiary</t>
        </is>
      </c>
      <c r="M46" s="86" t="inlineStr">
        <is>
          <t>no</t>
        </is>
      </c>
      <c r="N46" s="86" t="inlineStr">
        <is>
          <t>rdr</t>
        </is>
      </c>
      <c r="O46" s="86" t="inlineStr">
        <is>
          <t>no</t>
        </is>
      </c>
      <c r="P46" s="86" t="inlineStr">
        <is>
          <t>mydriatic</t>
        </is>
      </c>
      <c r="Q46" s="86" t="inlineStr">
        <is>
          <t>smartphone</t>
        </is>
      </c>
      <c r="R46" s="84" t="inlineStr">
        <is>
          <t>single</t>
        </is>
      </c>
      <c r="S46" s="84" t="inlineStr">
        <is>
          <t>kim_2021</t>
        </is>
      </c>
      <c r="T46" s="86" t="inlineStr">
        <is>
          <t>etdrs</t>
        </is>
      </c>
      <c r="U46" s="84" t="inlineStr">
        <is>
          <t>PP</t>
        </is>
      </c>
      <c r="V46" s="86" t="inlineStr">
        <is>
          <t>clinical exam</t>
        </is>
      </c>
      <c r="W46" s="56" t="inlineStr">
        <is>
          <t>yes</t>
        </is>
      </c>
      <c r="X46" s="86" t="inlineStr">
        <is>
          <t>fundus</t>
        </is>
      </c>
      <c r="Y46" s="86" t="inlineStr">
        <is>
          <t>&gt;2</t>
        </is>
      </c>
      <c r="Z46" s="32" t="inlineStr">
        <is>
          <t>yes</t>
        </is>
      </c>
      <c r="AA46" s="86" t="inlineStr">
        <is>
          <t>yes</t>
        </is>
      </c>
      <c r="AB46" s="86" t="inlineStr">
        <is>
          <t>yes</t>
        </is>
      </c>
      <c r="AC46" s="84" t="inlineStr">
        <is>
          <t>yes</t>
        </is>
      </c>
      <c r="AD46" s="86" t="inlineStr">
        <is>
          <t>NR</t>
        </is>
      </c>
      <c r="AE46" s="86" t="inlineStr">
        <is>
          <t>america</t>
        </is>
      </c>
      <c r="AF46" s="56" t="inlineStr">
        <is>
          <t>high</t>
        </is>
      </c>
      <c r="AG46" s="56" t="inlineStr">
        <is>
          <t>high</t>
        </is>
      </c>
      <c r="AH46" s="86" t="n">
        <v>119</v>
      </c>
      <c r="AI46" s="86" t="n">
        <v>0.739</v>
      </c>
      <c r="AJ46" s="86" t="n">
        <v>88</v>
      </c>
      <c r="AK46" s="86" t="n">
        <v>31</v>
      </c>
      <c r="AL46" s="86" t="n">
        <v>0.895</v>
      </c>
      <c r="AM46" s="86" t="n">
        <v>0.669</v>
      </c>
      <c r="AN46" s="86" t="n">
        <v>77</v>
      </c>
      <c r="AO46" s="86" t="n">
        <v>9</v>
      </c>
      <c r="AP46" s="86" t="n">
        <v>21</v>
      </c>
      <c r="AQ46" s="86" t="n">
        <v>10</v>
      </c>
    </row>
    <row r="47" ht="16" customHeight="1" s="55">
      <c r="A47" s="88" t="inlineStr">
        <is>
          <t>González-Gonzalo et al. 2020</t>
        </is>
      </c>
      <c r="B47" s="86" t="inlineStr">
        <is>
          <t>DL</t>
        </is>
      </c>
      <c r="C47" s="86" t="inlineStr">
        <is>
          <t>RetCAD v1.3.0 (CE-certified)</t>
        </is>
      </c>
      <c r="D47" s="84" t="inlineStr">
        <is>
          <t>NR</t>
        </is>
      </c>
      <c r="E47" s="84" t="inlineStr">
        <is>
          <t>ai_only</t>
        </is>
      </c>
      <c r="F47" s="86" t="inlineStr">
        <is>
          <t>original</t>
        </is>
      </c>
      <c r="G47" s="86" t="inlineStr">
        <is>
          <t>retrospective</t>
        </is>
      </c>
      <c r="H47" s="84" t="inlineStr">
        <is>
          <t>cross-sectional</t>
        </is>
      </c>
      <c r="I47" s="84" t="inlineStr">
        <is>
          <t>yes</t>
        </is>
      </c>
      <c r="J47" s="84" t="inlineStr">
        <is>
          <t>tertiary hospitals</t>
        </is>
      </c>
      <c r="K47" s="86" t="inlineStr">
        <is>
          <t>high</t>
        </is>
      </c>
      <c r="L47" s="86" t="inlineStr">
        <is>
          <t>tertiary</t>
        </is>
      </c>
      <c r="M47" s="86" t="inlineStr">
        <is>
          <t>no</t>
        </is>
      </c>
      <c r="N47" s="86" t="inlineStr">
        <is>
          <t>rdr</t>
        </is>
      </c>
      <c r="O47" s="86" t="inlineStr">
        <is>
          <t>yes</t>
        </is>
      </c>
      <c r="P47" s="86" t="inlineStr">
        <is>
          <t>non-mydriatic</t>
        </is>
      </c>
      <c r="Q47" s="86" t="inlineStr">
        <is>
          <t>desktop</t>
        </is>
      </c>
      <c r="R47" s="84" t="inlineStr">
        <is>
          <t>multiple</t>
        </is>
      </c>
      <c r="S47" s="84" t="inlineStr">
        <is>
          <t>gonzalez_2020</t>
        </is>
      </c>
      <c r="T47" s="86" t="inlineStr">
        <is>
          <t>icdr</t>
        </is>
      </c>
      <c r="U47" s="84" t="inlineStr">
        <is>
          <t>PP</t>
        </is>
      </c>
      <c r="V47" s="86" t="inlineStr">
        <is>
          <t>reading center</t>
        </is>
      </c>
      <c r="W47" s="56" t="inlineStr">
        <is>
          <t>no</t>
        </is>
      </c>
      <c r="X47" s="86" t="inlineStr">
        <is>
          <t>fundus</t>
        </is>
      </c>
      <c r="Y47" s="86" t="inlineStr">
        <is>
          <t>1</t>
        </is>
      </c>
      <c r="Z47" s="32" t="inlineStr">
        <is>
          <t>no</t>
        </is>
      </c>
      <c r="AA47" s="86" t="inlineStr">
        <is>
          <t>yes</t>
        </is>
      </c>
      <c r="AB47" s="86" t="inlineStr">
        <is>
          <t>yes</t>
        </is>
      </c>
      <c r="AC47" s="84" t="inlineStr">
        <is>
          <t>yes</t>
        </is>
      </c>
      <c r="AD47" s="86" t="inlineStr">
        <is>
          <t>ensemble</t>
        </is>
      </c>
      <c r="AE47" s="86" t="inlineStr">
        <is>
          <t>europe</t>
        </is>
      </c>
      <c r="AF47" s="56" t="inlineStr">
        <is>
          <t>high</t>
        </is>
      </c>
      <c r="AG47" s="56" t="inlineStr">
        <is>
          <t>high</t>
        </is>
      </c>
      <c r="AH47" s="86" t="n">
        <v>600</v>
      </c>
      <c r="AI47" s="86" t="n">
        <v>0.185</v>
      </c>
      <c r="AJ47" s="86" t="n">
        <v>111</v>
      </c>
      <c r="AK47" s="86" t="n">
        <v>489</v>
      </c>
      <c r="AL47" s="86" t="n">
        <v>0.901</v>
      </c>
      <c r="AM47" s="86" t="n">
        <v>0.906</v>
      </c>
      <c r="AN47" s="86" t="n">
        <v>99</v>
      </c>
      <c r="AO47" s="86" t="n">
        <v>12</v>
      </c>
      <c r="AP47" s="86" t="n">
        <v>443</v>
      </c>
      <c r="AQ47" s="86" t="n">
        <v>46</v>
      </c>
    </row>
    <row r="48" ht="16" customHeight="1" s="55">
      <c r="A48" s="88" t="inlineStr">
        <is>
          <t>González-Gonzalo et al. 2020</t>
        </is>
      </c>
      <c r="B48" s="86" t="inlineStr">
        <is>
          <t>Reader</t>
        </is>
      </c>
      <c r="C48" s="86" t="inlineStr">
        <is>
          <t>Observer 1 (ophthalmologist)</t>
        </is>
      </c>
      <c r="D48" s="84" t="inlineStr">
        <is>
          <t>ophthalmologist</t>
        </is>
      </c>
      <c r="E48" s="84" t="inlineStr">
        <is>
          <t>human_only</t>
        </is>
      </c>
      <c r="F48" s="86" t="inlineStr">
        <is>
          <t>original</t>
        </is>
      </c>
      <c r="G48" s="86" t="inlineStr">
        <is>
          <t>retrospective</t>
        </is>
      </c>
      <c r="H48" s="84" t="inlineStr">
        <is>
          <t>cross-sectional</t>
        </is>
      </c>
      <c r="I48" s="84" t="inlineStr">
        <is>
          <t>yes</t>
        </is>
      </c>
      <c r="J48" s="84" t="inlineStr">
        <is>
          <t>tertiary hospitals</t>
        </is>
      </c>
      <c r="K48" s="86" t="inlineStr">
        <is>
          <t>high</t>
        </is>
      </c>
      <c r="L48" s="86" t="inlineStr">
        <is>
          <t>tertiary</t>
        </is>
      </c>
      <c r="M48" s="86" t="inlineStr">
        <is>
          <t>no</t>
        </is>
      </c>
      <c r="N48" s="86" t="inlineStr">
        <is>
          <t>rdr</t>
        </is>
      </c>
      <c r="O48" s="86" t="inlineStr">
        <is>
          <t>yes</t>
        </is>
      </c>
      <c r="P48" s="86" t="inlineStr">
        <is>
          <t>non-mydriatic</t>
        </is>
      </c>
      <c r="Q48" s="86" t="inlineStr">
        <is>
          <t>desktop</t>
        </is>
      </c>
      <c r="R48" s="84" t="inlineStr">
        <is>
          <t>multiple</t>
        </is>
      </c>
      <c r="S48" s="84" t="inlineStr">
        <is>
          <t>gonzalez_2020</t>
        </is>
      </c>
      <c r="T48" s="86" t="inlineStr">
        <is>
          <t>icdr</t>
        </is>
      </c>
      <c r="U48" s="84" t="inlineStr">
        <is>
          <t>PP</t>
        </is>
      </c>
      <c r="V48" s="86" t="inlineStr">
        <is>
          <t>reading center</t>
        </is>
      </c>
      <c r="W48" s="56" t="inlineStr">
        <is>
          <t>no</t>
        </is>
      </c>
      <c r="X48" s="86" t="inlineStr">
        <is>
          <t>fundus</t>
        </is>
      </c>
      <c r="Y48" s="86" t="inlineStr">
        <is>
          <t>1</t>
        </is>
      </c>
      <c r="Z48" s="32" t="inlineStr">
        <is>
          <t>no</t>
        </is>
      </c>
      <c r="AA48" s="86" t="inlineStr">
        <is>
          <t>yes</t>
        </is>
      </c>
      <c r="AB48" s="86" t="inlineStr">
        <is>
          <t>yes</t>
        </is>
      </c>
      <c r="AC48" s="84" t="inlineStr">
        <is>
          <t>yes</t>
        </is>
      </c>
      <c r="AD48" s="86" t="inlineStr">
        <is>
          <t>NR</t>
        </is>
      </c>
      <c r="AE48" s="86" t="inlineStr">
        <is>
          <t>europe</t>
        </is>
      </c>
      <c r="AF48" s="56" t="inlineStr">
        <is>
          <t>high</t>
        </is>
      </c>
      <c r="AG48" s="56" t="inlineStr">
        <is>
          <t>high</t>
        </is>
      </c>
      <c r="AH48" s="86" t="n">
        <v>600</v>
      </c>
      <c r="AI48" s="86" t="n">
        <v>0.185</v>
      </c>
      <c r="AJ48" s="86" t="n">
        <v>111</v>
      </c>
      <c r="AK48" s="86" t="n">
        <v>489</v>
      </c>
      <c r="AL48" s="86" t="n">
        <v>0.541</v>
      </c>
      <c r="AM48" s="86" t="n">
        <v>0.986</v>
      </c>
      <c r="AN48" s="86" t="n">
        <v>60</v>
      </c>
      <c r="AO48" s="86" t="n">
        <v>51</v>
      </c>
      <c r="AP48" s="86" t="n">
        <v>482</v>
      </c>
      <c r="AQ48" s="86" t="n">
        <v>7</v>
      </c>
    </row>
    <row r="49" ht="16" customHeight="1" s="55">
      <c r="A49" s="88" t="inlineStr">
        <is>
          <t>González-Gonzalo et al. 2020</t>
        </is>
      </c>
      <c r="B49" s="86" t="inlineStr">
        <is>
          <t>Reader</t>
        </is>
      </c>
      <c r="C49" s="86" t="inlineStr">
        <is>
          <t>Observer 2 (ophthalmologist)</t>
        </is>
      </c>
      <c r="D49" s="84" t="inlineStr">
        <is>
          <t>ophthalmologist</t>
        </is>
      </c>
      <c r="E49" s="84" t="inlineStr">
        <is>
          <t>human_only</t>
        </is>
      </c>
      <c r="F49" s="86" t="inlineStr">
        <is>
          <t>original</t>
        </is>
      </c>
      <c r="G49" s="86" t="inlineStr">
        <is>
          <t>retrospective</t>
        </is>
      </c>
      <c r="H49" s="84" t="inlineStr">
        <is>
          <t>cross-sectional</t>
        </is>
      </c>
      <c r="I49" s="84" t="inlineStr">
        <is>
          <t>yes</t>
        </is>
      </c>
      <c r="J49" s="84" t="inlineStr">
        <is>
          <t>tertiary hospitals</t>
        </is>
      </c>
      <c r="K49" s="86" t="inlineStr">
        <is>
          <t>high</t>
        </is>
      </c>
      <c r="L49" s="86" t="inlineStr">
        <is>
          <t>tertiary</t>
        </is>
      </c>
      <c r="M49" s="86" t="inlineStr">
        <is>
          <t>no</t>
        </is>
      </c>
      <c r="N49" s="86" t="inlineStr">
        <is>
          <t>rdr</t>
        </is>
      </c>
      <c r="O49" s="86" t="inlineStr">
        <is>
          <t>yes</t>
        </is>
      </c>
      <c r="P49" s="86" t="inlineStr">
        <is>
          <t>non-mydriatic</t>
        </is>
      </c>
      <c r="Q49" s="86" t="inlineStr">
        <is>
          <t>desktop</t>
        </is>
      </c>
      <c r="R49" s="84" t="inlineStr">
        <is>
          <t>multiple</t>
        </is>
      </c>
      <c r="S49" s="84" t="inlineStr">
        <is>
          <t>gonzalez_2020</t>
        </is>
      </c>
      <c r="T49" s="86" t="inlineStr">
        <is>
          <t>icdr</t>
        </is>
      </c>
      <c r="U49" s="84" t="inlineStr">
        <is>
          <t>PP</t>
        </is>
      </c>
      <c r="V49" s="86" t="inlineStr">
        <is>
          <t>reading center</t>
        </is>
      </c>
      <c r="W49" s="56" t="inlineStr">
        <is>
          <t>no</t>
        </is>
      </c>
      <c r="X49" s="86" t="inlineStr">
        <is>
          <t>fundus</t>
        </is>
      </c>
      <c r="Y49" s="86" t="inlineStr">
        <is>
          <t>1</t>
        </is>
      </c>
      <c r="Z49" s="32" t="inlineStr">
        <is>
          <t>no</t>
        </is>
      </c>
      <c r="AA49" s="86" t="inlineStr">
        <is>
          <t>yes</t>
        </is>
      </c>
      <c r="AB49" s="86" t="inlineStr">
        <is>
          <t>yes</t>
        </is>
      </c>
      <c r="AC49" s="84" t="inlineStr">
        <is>
          <t>yes</t>
        </is>
      </c>
      <c r="AD49" s="86" t="inlineStr">
        <is>
          <t>NR</t>
        </is>
      </c>
      <c r="AE49" s="86" t="inlineStr">
        <is>
          <t>europe</t>
        </is>
      </c>
      <c r="AF49" s="56" t="inlineStr">
        <is>
          <t>high</t>
        </is>
      </c>
      <c r="AG49" s="56" t="inlineStr">
        <is>
          <t>high</t>
        </is>
      </c>
      <c r="AH49" s="86" t="n">
        <v>600</v>
      </c>
      <c r="AI49" s="86" t="n">
        <v>0.185</v>
      </c>
      <c r="AJ49" s="86" t="n">
        <v>111</v>
      </c>
      <c r="AK49" s="86" t="n">
        <v>489</v>
      </c>
      <c r="AL49" s="86" t="n">
        <v>0.586</v>
      </c>
      <c r="AM49" s="86" t="n">
        <v>0.971</v>
      </c>
      <c r="AN49" s="86" t="n">
        <v>65</v>
      </c>
      <c r="AO49" s="86" t="n">
        <v>46</v>
      </c>
      <c r="AP49" s="86" t="n">
        <v>475</v>
      </c>
      <c r="AQ49" s="86" t="n">
        <v>14</v>
      </c>
    </row>
    <row r="50" ht="16" customHeight="1" s="55">
      <c r="A50" s="88" t="inlineStr">
        <is>
          <t>González-Gonzalo et al. 2020</t>
        </is>
      </c>
      <c r="B50" s="86" t="inlineStr">
        <is>
          <t>Reader</t>
        </is>
      </c>
      <c r="C50" s="86" t="inlineStr">
        <is>
          <t>Observer 3 (ophthalmologist)</t>
        </is>
      </c>
      <c r="D50" s="84" t="inlineStr">
        <is>
          <t>ophthalmologist</t>
        </is>
      </c>
      <c r="E50" s="84" t="inlineStr">
        <is>
          <t>human_only</t>
        </is>
      </c>
      <c r="F50" s="86" t="inlineStr">
        <is>
          <t>original</t>
        </is>
      </c>
      <c r="G50" s="86" t="inlineStr">
        <is>
          <t>retrospective</t>
        </is>
      </c>
      <c r="H50" s="84" t="inlineStr">
        <is>
          <t>cross-sectional</t>
        </is>
      </c>
      <c r="I50" s="84" t="inlineStr">
        <is>
          <t>yes</t>
        </is>
      </c>
      <c r="J50" s="84" t="inlineStr">
        <is>
          <t>tertiary hospitals</t>
        </is>
      </c>
      <c r="K50" s="86" t="inlineStr">
        <is>
          <t>high</t>
        </is>
      </c>
      <c r="L50" s="86" t="inlineStr">
        <is>
          <t>tertiary</t>
        </is>
      </c>
      <c r="M50" s="86" t="inlineStr">
        <is>
          <t>no</t>
        </is>
      </c>
      <c r="N50" s="86" t="inlineStr">
        <is>
          <t>rdr</t>
        </is>
      </c>
      <c r="O50" s="86" t="inlineStr">
        <is>
          <t>yes</t>
        </is>
      </c>
      <c r="P50" s="86" t="inlineStr">
        <is>
          <t>non-mydriatic</t>
        </is>
      </c>
      <c r="Q50" s="86" t="inlineStr">
        <is>
          <t>desktop</t>
        </is>
      </c>
      <c r="R50" s="84" t="inlineStr">
        <is>
          <t>multiple</t>
        </is>
      </c>
      <c r="S50" s="84" t="inlineStr">
        <is>
          <t>gonzalez_2020</t>
        </is>
      </c>
      <c r="T50" s="86" t="inlineStr">
        <is>
          <t>icdr</t>
        </is>
      </c>
      <c r="U50" s="84" t="inlineStr">
        <is>
          <t>PP</t>
        </is>
      </c>
      <c r="V50" s="86" t="inlineStr">
        <is>
          <t>reading center</t>
        </is>
      </c>
      <c r="W50" s="56" t="inlineStr">
        <is>
          <t>no</t>
        </is>
      </c>
      <c r="X50" s="86" t="inlineStr">
        <is>
          <t>fundus</t>
        </is>
      </c>
      <c r="Y50" s="86" t="inlineStr">
        <is>
          <t>1</t>
        </is>
      </c>
      <c r="Z50" s="32" t="inlineStr">
        <is>
          <t>no</t>
        </is>
      </c>
      <c r="AA50" s="86" t="inlineStr">
        <is>
          <t>yes</t>
        </is>
      </c>
      <c r="AB50" s="86" t="inlineStr">
        <is>
          <t>yes</t>
        </is>
      </c>
      <c r="AC50" s="84" t="inlineStr">
        <is>
          <t>yes</t>
        </is>
      </c>
      <c r="AD50" s="86" t="inlineStr">
        <is>
          <t>NR</t>
        </is>
      </c>
      <c r="AE50" s="86" t="inlineStr">
        <is>
          <t>europe</t>
        </is>
      </c>
      <c r="AF50" s="56" t="inlineStr">
        <is>
          <t>high</t>
        </is>
      </c>
      <c r="AG50" s="56" t="inlineStr">
        <is>
          <t>high</t>
        </is>
      </c>
      <c r="AH50" s="86" t="n">
        <v>600</v>
      </c>
      <c r="AI50" s="86" t="n">
        <v>0.185</v>
      </c>
      <c r="AJ50" s="86" t="n">
        <v>111</v>
      </c>
      <c r="AK50" s="86" t="n">
        <v>489</v>
      </c>
      <c r="AL50" s="86" t="n">
        <v>0.739</v>
      </c>
      <c r="AM50" s="86" t="n">
        <v>0.971</v>
      </c>
      <c r="AN50" s="86" t="n">
        <v>82</v>
      </c>
      <c r="AO50" s="86" t="n">
        <v>29</v>
      </c>
      <c r="AP50" s="86" t="n">
        <v>475</v>
      </c>
      <c r="AQ50" s="86" t="n">
        <v>14</v>
      </c>
    </row>
    <row r="51" ht="16" customHeight="1" s="55">
      <c r="A51" s="88" t="inlineStr">
        <is>
          <t>González-Gonzalo et al. 2020</t>
        </is>
      </c>
      <c r="B51" s="86" t="inlineStr">
        <is>
          <t>Reader</t>
        </is>
      </c>
      <c r="C51" s="86" t="inlineStr">
        <is>
          <t>Observer 4 (ophthalmologist)</t>
        </is>
      </c>
      <c r="D51" s="84" t="inlineStr">
        <is>
          <t>ophthalmologist</t>
        </is>
      </c>
      <c r="E51" s="84" t="inlineStr">
        <is>
          <t>human_only</t>
        </is>
      </c>
      <c r="F51" s="86" t="inlineStr">
        <is>
          <t>original</t>
        </is>
      </c>
      <c r="G51" s="86" t="inlineStr">
        <is>
          <t>retrospective</t>
        </is>
      </c>
      <c r="H51" s="84" t="inlineStr">
        <is>
          <t>cross-sectional</t>
        </is>
      </c>
      <c r="I51" s="84" t="inlineStr">
        <is>
          <t>yes</t>
        </is>
      </c>
      <c r="J51" s="84" t="inlineStr">
        <is>
          <t>tertiary hospitals</t>
        </is>
      </c>
      <c r="K51" s="86" t="inlineStr">
        <is>
          <t>high</t>
        </is>
      </c>
      <c r="L51" s="86" t="inlineStr">
        <is>
          <t>tertiary</t>
        </is>
      </c>
      <c r="M51" s="86" t="inlineStr">
        <is>
          <t>no</t>
        </is>
      </c>
      <c r="N51" s="86" t="inlineStr">
        <is>
          <t>rdr</t>
        </is>
      </c>
      <c r="O51" s="86" t="inlineStr">
        <is>
          <t>yes</t>
        </is>
      </c>
      <c r="P51" s="86" t="inlineStr">
        <is>
          <t>non-mydriatic</t>
        </is>
      </c>
      <c r="Q51" s="86" t="inlineStr">
        <is>
          <t>desktop</t>
        </is>
      </c>
      <c r="R51" s="84" t="inlineStr">
        <is>
          <t>multiple</t>
        </is>
      </c>
      <c r="S51" s="84" t="inlineStr">
        <is>
          <t>gonzalez_2020</t>
        </is>
      </c>
      <c r="T51" s="86" t="inlineStr">
        <is>
          <t>icdr</t>
        </is>
      </c>
      <c r="U51" s="84" t="inlineStr">
        <is>
          <t>PP</t>
        </is>
      </c>
      <c r="V51" s="86" t="inlineStr">
        <is>
          <t>reading center</t>
        </is>
      </c>
      <c r="W51" s="56" t="inlineStr">
        <is>
          <t>no</t>
        </is>
      </c>
      <c r="X51" s="86" t="inlineStr">
        <is>
          <t>fundus</t>
        </is>
      </c>
      <c r="Y51" s="86" t="inlineStr">
        <is>
          <t>1</t>
        </is>
      </c>
      <c r="Z51" s="32" t="inlineStr">
        <is>
          <t>no</t>
        </is>
      </c>
      <c r="AA51" s="86" t="inlineStr">
        <is>
          <t>yes</t>
        </is>
      </c>
      <c r="AB51" s="86" t="inlineStr">
        <is>
          <t>yes</t>
        </is>
      </c>
      <c r="AC51" s="84" t="inlineStr">
        <is>
          <t>yes</t>
        </is>
      </c>
      <c r="AD51" s="86" t="inlineStr">
        <is>
          <t>NR</t>
        </is>
      </c>
      <c r="AE51" s="86" t="inlineStr">
        <is>
          <t>europe</t>
        </is>
      </c>
      <c r="AF51" s="56" t="inlineStr">
        <is>
          <t>high</t>
        </is>
      </c>
      <c r="AG51" s="56" t="inlineStr">
        <is>
          <t>high</t>
        </is>
      </c>
      <c r="AH51" s="86" t="n">
        <v>600</v>
      </c>
      <c r="AI51" s="86" t="n">
        <v>0.185</v>
      </c>
      <c r="AJ51" s="86" t="n">
        <v>111</v>
      </c>
      <c r="AK51" s="86" t="n">
        <v>489</v>
      </c>
      <c r="AL51" s="86" t="n">
        <v>0.595</v>
      </c>
      <c r="AM51" s="86" t="n">
        <v>0.982</v>
      </c>
      <c r="AN51" s="86" t="n">
        <v>66</v>
      </c>
      <c r="AO51" s="86" t="n">
        <v>45</v>
      </c>
      <c r="AP51" s="86" t="n">
        <v>480</v>
      </c>
      <c r="AQ51" s="86" t="n">
        <v>9</v>
      </c>
    </row>
    <row r="52" ht="16" customHeight="1" s="55">
      <c r="A52" s="88" t="inlineStr">
        <is>
          <t>Ruamviboonsuk et al. 2019</t>
        </is>
      </c>
      <c r="B52" s="86" t="inlineStr">
        <is>
          <t>DL</t>
        </is>
      </c>
      <c r="C52" s="86" t="inlineStr">
        <is>
          <t>Deep learning algorithm (Inception-v4 ensemble)</t>
        </is>
      </c>
      <c r="D52" s="84" t="inlineStr">
        <is>
          <t>NR</t>
        </is>
      </c>
      <c r="E52" s="84" t="inlineStr">
        <is>
          <t>ai_only</t>
        </is>
      </c>
      <c r="F52" s="86" t="inlineStr">
        <is>
          <t>original</t>
        </is>
      </c>
      <c r="G52" s="86" t="inlineStr">
        <is>
          <t>retrospective</t>
        </is>
      </c>
      <c r="H52" s="84" t="inlineStr">
        <is>
          <t>cross-sectional</t>
        </is>
      </c>
      <c r="I52" s="84" t="inlineStr">
        <is>
          <t>yes</t>
        </is>
      </c>
      <c r="J52" s="84" t="inlineStr">
        <is>
          <t>national screening programme</t>
        </is>
      </c>
      <c r="K52" s="86" t="inlineStr">
        <is>
          <t>middle</t>
        </is>
      </c>
      <c r="L52" s="86" t="inlineStr">
        <is>
          <t>primary</t>
        </is>
      </c>
      <c r="M52" s="86" t="inlineStr">
        <is>
          <t>yes</t>
        </is>
      </c>
      <c r="N52" s="86" t="inlineStr">
        <is>
          <t>rdr</t>
        </is>
      </c>
      <c r="O52" s="86" t="inlineStr">
        <is>
          <t>yes</t>
        </is>
      </c>
      <c r="P52" s="86" t="inlineStr">
        <is>
          <t>mixed</t>
        </is>
      </c>
      <c r="Q52" s="86" t="inlineStr">
        <is>
          <t>desktop</t>
        </is>
      </c>
      <c r="R52" s="84" t="inlineStr">
        <is>
          <t>multiple</t>
        </is>
      </c>
      <c r="S52" s="84" t="inlineStr">
        <is>
          <t>thai_national</t>
        </is>
      </c>
      <c r="T52" s="86" t="inlineStr">
        <is>
          <t>icdr</t>
        </is>
      </c>
      <c r="U52" s="84" t="inlineStr">
        <is>
          <t>PP</t>
        </is>
      </c>
      <c r="V52" s="86" t="inlineStr">
        <is>
          <t>expert panel</t>
        </is>
      </c>
      <c r="W52" s="56" t="inlineStr">
        <is>
          <t>yes</t>
        </is>
      </c>
      <c r="X52" s="86" t="inlineStr">
        <is>
          <t>fundus</t>
        </is>
      </c>
      <c r="Y52" s="86" t="inlineStr">
        <is>
          <t>1</t>
        </is>
      </c>
      <c r="Z52" s="86" t="inlineStr">
        <is>
          <t>yes</t>
        </is>
      </c>
      <c r="AA52" s="86" t="inlineStr">
        <is>
          <t>no</t>
        </is>
      </c>
      <c r="AB52" s="86" t="inlineStr">
        <is>
          <t>no</t>
        </is>
      </c>
      <c r="AC52" s="84" t="inlineStr">
        <is>
          <t>yes</t>
        </is>
      </c>
      <c r="AD52" s="86" t="inlineStr">
        <is>
          <t>Inception</t>
        </is>
      </c>
      <c r="AE52" s="86" t="inlineStr">
        <is>
          <t>asia</t>
        </is>
      </c>
      <c r="AF52" s="56" t="inlineStr">
        <is>
          <t>high</t>
        </is>
      </c>
      <c r="AG52" s="56" t="inlineStr">
        <is>
          <t>high</t>
        </is>
      </c>
      <c r="AH52" s="86" t="n">
        <v>25323</v>
      </c>
      <c r="AI52" s="86" t="n">
        <v>0.121</v>
      </c>
      <c r="AJ52" s="86" t="n">
        <v>3069</v>
      </c>
      <c r="AK52" s="86" t="n">
        <v>22254</v>
      </c>
      <c r="AL52" s="86" t="n">
        <v>0.969</v>
      </c>
      <c r="AM52" s="86" t="n">
        <v>0.956</v>
      </c>
      <c r="AN52" s="86" t="n">
        <v>2973</v>
      </c>
      <c r="AO52" s="86" t="n">
        <v>96</v>
      </c>
      <c r="AP52" s="86" t="n">
        <v>21281</v>
      </c>
      <c r="AQ52" s="86" t="n">
        <v>973</v>
      </c>
    </row>
    <row r="53" ht="16" customHeight="1" s="55">
      <c r="A53" s="88" t="inlineStr">
        <is>
          <t>Ruamviboonsuk et al. 2019</t>
        </is>
      </c>
      <c r="B53" s="86" t="inlineStr">
        <is>
          <t>Reader</t>
        </is>
      </c>
      <c r="C53" s="86" t="inlineStr">
        <is>
          <t>Regional graders (composite across 13 regions)</t>
        </is>
      </c>
      <c r="D53" s="84" t="inlineStr">
        <is>
          <t>trainedgrader</t>
        </is>
      </c>
      <c r="E53" s="84" t="inlineStr">
        <is>
          <t>human_only</t>
        </is>
      </c>
      <c r="F53" s="86" t="inlineStr">
        <is>
          <t>original</t>
        </is>
      </c>
      <c r="G53" s="86" t="inlineStr">
        <is>
          <t>retrospective</t>
        </is>
      </c>
      <c r="H53" s="84" t="inlineStr">
        <is>
          <t>cross-sectional</t>
        </is>
      </c>
      <c r="I53" s="84" t="inlineStr">
        <is>
          <t>yes</t>
        </is>
      </c>
      <c r="J53" s="84" t="inlineStr">
        <is>
          <t>national screening programme</t>
        </is>
      </c>
      <c r="K53" s="86" t="inlineStr">
        <is>
          <t>middle</t>
        </is>
      </c>
      <c r="L53" s="86" t="inlineStr">
        <is>
          <t>primary</t>
        </is>
      </c>
      <c r="M53" s="86" t="inlineStr">
        <is>
          <t>yes</t>
        </is>
      </c>
      <c r="N53" s="86" t="inlineStr">
        <is>
          <t>rdr</t>
        </is>
      </c>
      <c r="O53" s="86" t="inlineStr">
        <is>
          <t>yes</t>
        </is>
      </c>
      <c r="P53" s="86" t="inlineStr">
        <is>
          <t>mixed</t>
        </is>
      </c>
      <c r="Q53" s="86" t="inlineStr">
        <is>
          <t>desktop</t>
        </is>
      </c>
      <c r="R53" s="84" t="inlineStr">
        <is>
          <t>multiple</t>
        </is>
      </c>
      <c r="S53" s="84" t="inlineStr">
        <is>
          <t>thai_national</t>
        </is>
      </c>
      <c r="T53" s="86" t="inlineStr">
        <is>
          <t>icdr</t>
        </is>
      </c>
      <c r="U53" s="84" t="inlineStr">
        <is>
          <t>PP</t>
        </is>
      </c>
      <c r="V53" s="86" t="inlineStr">
        <is>
          <t>expert panel</t>
        </is>
      </c>
      <c r="W53" s="56" t="inlineStr">
        <is>
          <t>yes</t>
        </is>
      </c>
      <c r="X53" s="86" t="inlineStr">
        <is>
          <t>fundus</t>
        </is>
      </c>
      <c r="Y53" s="86" t="inlineStr">
        <is>
          <t>1</t>
        </is>
      </c>
      <c r="Z53" s="86" t="inlineStr">
        <is>
          <t>yes</t>
        </is>
      </c>
      <c r="AA53" s="86" t="inlineStr">
        <is>
          <t>no</t>
        </is>
      </c>
      <c r="AB53" s="86" t="inlineStr">
        <is>
          <t>no</t>
        </is>
      </c>
      <c r="AC53" s="84" t="inlineStr">
        <is>
          <t>yes</t>
        </is>
      </c>
      <c r="AD53" s="86" t="inlineStr">
        <is>
          <t>NR</t>
        </is>
      </c>
      <c r="AE53" s="86" t="inlineStr">
        <is>
          <t>asia</t>
        </is>
      </c>
      <c r="AF53" s="56" t="inlineStr">
        <is>
          <t>high</t>
        </is>
      </c>
      <c r="AG53" s="56" t="inlineStr">
        <is>
          <t>high</t>
        </is>
      </c>
      <c r="AH53" s="86" t="n">
        <v>25323</v>
      </c>
      <c r="AI53" s="86" t="n">
        <v>0.121</v>
      </c>
      <c r="AJ53" s="86" t="n">
        <v>3069</v>
      </c>
      <c r="AK53" s="86" t="n">
        <v>22254</v>
      </c>
      <c r="AL53" s="86" t="n">
        <v>0.735</v>
      </c>
      <c r="AM53" s="86" t="n">
        <v>0.981</v>
      </c>
      <c r="AN53" s="86" t="n">
        <v>2255</v>
      </c>
      <c r="AO53" s="86" t="n">
        <v>814</v>
      </c>
      <c r="AP53" s="86" t="n">
        <v>21828</v>
      </c>
      <c r="AQ53" s="86" t="n">
        <v>426</v>
      </c>
    </row>
    <row r="54" ht="16" customHeight="1" s="55">
      <c r="A54" s="88" t="inlineStr">
        <is>
          <t>Krause et al. 2018</t>
        </is>
      </c>
      <c r="B54" s="86" t="inlineStr">
        <is>
          <t>DL</t>
        </is>
      </c>
      <c r="C54" s="86" t="inlineStr">
        <is>
          <t>Google DL algorithm (ensemble)</t>
        </is>
      </c>
      <c r="D54" s="84" t="inlineStr">
        <is>
          <t>NR</t>
        </is>
      </c>
      <c r="E54" s="84" t="inlineStr">
        <is>
          <t>ai_only</t>
        </is>
      </c>
      <c r="F54" s="86" t="inlineStr">
        <is>
          <t>original</t>
        </is>
      </c>
      <c r="G54" s="86" t="inlineStr">
        <is>
          <t>retrospective</t>
        </is>
      </c>
      <c r="H54" s="84" t="inlineStr">
        <is>
          <t>cross-sectional</t>
        </is>
      </c>
      <c r="I54" s="84" t="inlineStr">
        <is>
          <t>yes</t>
        </is>
      </c>
      <c r="J54" s="84" t="inlineStr">
        <is>
          <t>screening clinics; tertiary hospitals</t>
        </is>
      </c>
      <c r="K54" s="86" t="inlineStr">
        <is>
          <t>high</t>
        </is>
      </c>
      <c r="L54" s="86" t="inlineStr">
        <is>
          <t>mixed</t>
        </is>
      </c>
      <c r="M54" s="86" t="inlineStr">
        <is>
          <t>no</t>
        </is>
      </c>
      <c r="N54" s="86" t="inlineStr">
        <is>
          <t>rdr</t>
        </is>
      </c>
      <c r="O54" s="86" t="inlineStr">
        <is>
          <t>yes</t>
        </is>
      </c>
      <c r="P54" s="86" t="inlineStr">
        <is>
          <t>mixed</t>
        </is>
      </c>
      <c r="Q54" s="86" t="inlineStr">
        <is>
          <t>desktop</t>
        </is>
      </c>
      <c r="R54" s="84" t="inlineStr">
        <is>
          <t>multiple</t>
        </is>
      </c>
      <c r="S54" s="84" t="inlineStr">
        <is>
          <t>eyepacs_india</t>
        </is>
      </c>
      <c r="T54" s="86" t="inlineStr">
        <is>
          <t>icdr</t>
        </is>
      </c>
      <c r="U54" s="84" t="inlineStr">
        <is>
          <t>PP</t>
        </is>
      </c>
      <c r="V54" s="86" t="inlineStr">
        <is>
          <t>expert panel</t>
        </is>
      </c>
      <c r="W54" s="56" t="inlineStr">
        <is>
          <t>yes</t>
        </is>
      </c>
      <c r="X54" s="86" t="inlineStr">
        <is>
          <t>fundus</t>
        </is>
      </c>
      <c r="Y54" s="86" t="inlineStr">
        <is>
          <t>1</t>
        </is>
      </c>
      <c r="Z54" s="32" t="inlineStr">
        <is>
          <t>yes</t>
        </is>
      </c>
      <c r="AA54" s="86" t="inlineStr">
        <is>
          <t>no</t>
        </is>
      </c>
      <c r="AB54" s="86" t="inlineStr">
        <is>
          <t>no</t>
        </is>
      </c>
      <c r="AC54" s="84" t="inlineStr">
        <is>
          <t>yes</t>
        </is>
      </c>
      <c r="AD54" s="86" t="inlineStr">
        <is>
          <t>Inception</t>
        </is>
      </c>
      <c r="AE54" s="86" t="inlineStr">
        <is>
          <t>america</t>
        </is>
      </c>
      <c r="AF54" s="86" t="inlineStr">
        <is>
          <t>high</t>
        </is>
      </c>
      <c r="AG54" s="86" t="inlineStr">
        <is>
          <t>low</t>
        </is>
      </c>
      <c r="AH54" s="86" t="n">
        <v>1813</v>
      </c>
      <c r="AI54" s="86" t="n">
        <v>0.116</v>
      </c>
      <c r="AJ54" s="86" t="n">
        <v>210</v>
      </c>
      <c r="AK54" s="86" t="n">
        <v>1603</v>
      </c>
      <c r="AL54" s="86" t="n">
        <v>0.971</v>
      </c>
      <c r="AM54" s="86" t="n">
        <v>0.923</v>
      </c>
      <c r="AN54" s="86" t="n">
        <v>204</v>
      </c>
      <c r="AO54" s="86" t="n">
        <v>6</v>
      </c>
      <c r="AP54" s="86" t="n">
        <v>1480</v>
      </c>
      <c r="AQ54" s="86" t="n">
        <v>123</v>
      </c>
    </row>
    <row r="55" ht="16" customHeight="1" s="55">
      <c r="A55" s="88" t="inlineStr">
        <is>
          <t>Krause et al. 2018</t>
        </is>
      </c>
      <c r="B55" s="86" t="inlineStr">
        <is>
          <t>DL</t>
        </is>
      </c>
      <c r="C55" s="86" t="inlineStr">
        <is>
          <t>Google DL algorithm (ensemble)</t>
        </is>
      </c>
      <c r="D55" s="84" t="inlineStr">
        <is>
          <t>NR</t>
        </is>
      </c>
      <c r="E55" s="84" t="inlineStr">
        <is>
          <t>ai_only</t>
        </is>
      </c>
      <c r="F55" s="86" t="inlineStr">
        <is>
          <t>original</t>
        </is>
      </c>
      <c r="G55" s="86" t="inlineStr">
        <is>
          <t>retrospective</t>
        </is>
      </c>
      <c r="H55" s="84" t="inlineStr">
        <is>
          <t>cross-sectional</t>
        </is>
      </c>
      <c r="I55" s="84" t="inlineStr">
        <is>
          <t>yes</t>
        </is>
      </c>
      <c r="J55" s="84" t="inlineStr">
        <is>
          <t>screening clinics; tertiary hospitals</t>
        </is>
      </c>
      <c r="K55" s="86" t="inlineStr">
        <is>
          <t>high</t>
        </is>
      </c>
      <c r="L55" s="86" t="inlineStr">
        <is>
          <t>mixed</t>
        </is>
      </c>
      <c r="M55" s="86" t="inlineStr">
        <is>
          <t>no</t>
        </is>
      </c>
      <c r="N55" s="86" t="inlineStr">
        <is>
          <t>any dr</t>
        </is>
      </c>
      <c r="O55" s="86" t="inlineStr">
        <is>
          <t>yes</t>
        </is>
      </c>
      <c r="P55" s="86" t="inlineStr">
        <is>
          <t>mixed</t>
        </is>
      </c>
      <c r="Q55" s="86" t="inlineStr">
        <is>
          <t>desktop</t>
        </is>
      </c>
      <c r="R55" s="84" t="inlineStr">
        <is>
          <t>multiple</t>
        </is>
      </c>
      <c r="S55" s="84" t="inlineStr">
        <is>
          <t>eyepacs_india</t>
        </is>
      </c>
      <c r="T55" s="86" t="inlineStr">
        <is>
          <t>icdr</t>
        </is>
      </c>
      <c r="U55" s="84" t="inlineStr">
        <is>
          <t>PP</t>
        </is>
      </c>
      <c r="V55" s="86" t="inlineStr">
        <is>
          <t>expert panel</t>
        </is>
      </c>
      <c r="W55" s="56" t="inlineStr">
        <is>
          <t>yes</t>
        </is>
      </c>
      <c r="X55" s="86" t="inlineStr">
        <is>
          <t>fundus</t>
        </is>
      </c>
      <c r="Y55" s="86" t="inlineStr">
        <is>
          <t>1</t>
        </is>
      </c>
      <c r="Z55" s="32" t="inlineStr">
        <is>
          <t>yes</t>
        </is>
      </c>
      <c r="AA55" s="86" t="inlineStr">
        <is>
          <t>no</t>
        </is>
      </c>
      <c r="AB55" s="86" t="inlineStr">
        <is>
          <t>no</t>
        </is>
      </c>
      <c r="AC55" s="84" t="inlineStr">
        <is>
          <t>yes</t>
        </is>
      </c>
      <c r="AD55" s="86" t="inlineStr">
        <is>
          <t>Inception</t>
        </is>
      </c>
      <c r="AE55" s="86" t="inlineStr">
        <is>
          <t>america</t>
        </is>
      </c>
      <c r="AF55" s="86" t="inlineStr">
        <is>
          <t>high</t>
        </is>
      </c>
      <c r="AG55" s="86" t="inlineStr">
        <is>
          <t>low</t>
        </is>
      </c>
      <c r="AH55" s="86" t="n">
        <v>1813</v>
      </c>
      <c r="AI55" s="86" t="n">
        <v>0.185</v>
      </c>
      <c r="AJ55" s="86" t="n">
        <v>335</v>
      </c>
      <c r="AK55" s="86" t="n">
        <v>1478</v>
      </c>
      <c r="AL55" s="86" t="n">
        <v>0.97</v>
      </c>
      <c r="AM55" s="86" t="n">
        <v>0.917</v>
      </c>
      <c r="AN55" s="86" t="n">
        <v>325</v>
      </c>
      <c r="AO55" s="86" t="n">
        <v>10</v>
      </c>
      <c r="AP55" s="86" t="n">
        <v>1355</v>
      </c>
      <c r="AQ55" s="86" t="n">
        <v>123</v>
      </c>
    </row>
    <row r="56" ht="16" customHeight="1" s="55">
      <c r="A56" s="88" t="inlineStr">
        <is>
          <t>Krause et al. 2018</t>
        </is>
      </c>
      <c r="B56" s="86" t="inlineStr">
        <is>
          <t>Reader</t>
        </is>
      </c>
      <c r="C56" s="86" t="inlineStr">
        <is>
          <t>Majority decision (3 ophthalmologists)</t>
        </is>
      </c>
      <c r="D56" s="84" t="inlineStr">
        <is>
          <t>ophthalmologist</t>
        </is>
      </c>
      <c r="E56" s="84" t="inlineStr">
        <is>
          <t>human_only</t>
        </is>
      </c>
      <c r="F56" s="86" t="inlineStr">
        <is>
          <t>original</t>
        </is>
      </c>
      <c r="G56" s="86" t="inlineStr">
        <is>
          <t>retrospective</t>
        </is>
      </c>
      <c r="H56" s="84" t="inlineStr">
        <is>
          <t>cross-sectional</t>
        </is>
      </c>
      <c r="I56" s="84" t="inlineStr">
        <is>
          <t>yes</t>
        </is>
      </c>
      <c r="J56" s="84" t="inlineStr">
        <is>
          <t>screening clinics; tertiary hospitals</t>
        </is>
      </c>
      <c r="K56" s="86" t="inlineStr">
        <is>
          <t>high</t>
        </is>
      </c>
      <c r="L56" s="86" t="inlineStr">
        <is>
          <t>mixed</t>
        </is>
      </c>
      <c r="M56" s="86" t="inlineStr">
        <is>
          <t>no</t>
        </is>
      </c>
      <c r="N56" s="86" t="inlineStr">
        <is>
          <t>rdr</t>
        </is>
      </c>
      <c r="O56" s="86" t="inlineStr">
        <is>
          <t>yes</t>
        </is>
      </c>
      <c r="P56" s="86" t="inlineStr">
        <is>
          <t>mixed</t>
        </is>
      </c>
      <c r="Q56" s="86" t="inlineStr">
        <is>
          <t>desktop</t>
        </is>
      </c>
      <c r="R56" s="84" t="inlineStr">
        <is>
          <t>multiple</t>
        </is>
      </c>
      <c r="S56" s="84" t="inlineStr">
        <is>
          <t>eyepacs_india</t>
        </is>
      </c>
      <c r="T56" s="86" t="inlineStr">
        <is>
          <t>icdr</t>
        </is>
      </c>
      <c r="U56" s="84" t="inlineStr">
        <is>
          <t>PP</t>
        </is>
      </c>
      <c r="V56" s="86" t="inlineStr">
        <is>
          <t>expert panel</t>
        </is>
      </c>
      <c r="W56" s="56" t="inlineStr">
        <is>
          <t>yes</t>
        </is>
      </c>
      <c r="X56" s="86" t="inlineStr">
        <is>
          <t>fundus</t>
        </is>
      </c>
      <c r="Y56" s="86" t="inlineStr">
        <is>
          <t>1</t>
        </is>
      </c>
      <c r="Z56" s="32" t="inlineStr">
        <is>
          <t>yes</t>
        </is>
      </c>
      <c r="AA56" s="86" t="inlineStr">
        <is>
          <t>no</t>
        </is>
      </c>
      <c r="AB56" s="86" t="inlineStr">
        <is>
          <t>no</t>
        </is>
      </c>
      <c r="AC56" s="84" t="inlineStr">
        <is>
          <t>yes</t>
        </is>
      </c>
      <c r="AD56" s="86" t="inlineStr">
        <is>
          <t>NR</t>
        </is>
      </c>
      <c r="AE56" s="86" t="inlineStr">
        <is>
          <t>america</t>
        </is>
      </c>
      <c r="AF56" s="86" t="inlineStr">
        <is>
          <t>high</t>
        </is>
      </c>
      <c r="AG56" s="86" t="inlineStr">
        <is>
          <t>low</t>
        </is>
      </c>
      <c r="AH56" s="86" t="n">
        <v>1813</v>
      </c>
      <c r="AI56" s="86" t="n">
        <v>0.116</v>
      </c>
      <c r="AJ56" s="86" t="n">
        <v>210</v>
      </c>
      <c r="AK56" s="86" t="n">
        <v>1603</v>
      </c>
      <c r="AL56" s="86" t="n">
        <v>0.838</v>
      </c>
      <c r="AM56" s="86" t="n">
        <v>0.981</v>
      </c>
      <c r="AN56" s="86" t="n">
        <v>176</v>
      </c>
      <c r="AO56" s="86" t="n">
        <v>34</v>
      </c>
      <c r="AP56" s="86" t="n">
        <v>1573</v>
      </c>
      <c r="AQ56" s="86" t="n">
        <v>30</v>
      </c>
    </row>
    <row r="57" ht="16" customHeight="1" s="55">
      <c r="A57" s="88" t="inlineStr">
        <is>
          <t>Krause et al. 2018</t>
        </is>
      </c>
      <c r="B57" s="86" t="inlineStr">
        <is>
          <t>Reader</t>
        </is>
      </c>
      <c r="C57" s="86" t="inlineStr">
        <is>
          <t>Majority decision (3 retinal specialists, pre-adjudication)</t>
        </is>
      </c>
      <c r="D57" s="84" t="inlineStr">
        <is>
          <t>retinaspecialist</t>
        </is>
      </c>
      <c r="E57" s="84" t="inlineStr">
        <is>
          <t>human_only</t>
        </is>
      </c>
      <c r="F57" s="86" t="inlineStr">
        <is>
          <t>original</t>
        </is>
      </c>
      <c r="G57" s="86" t="inlineStr">
        <is>
          <t>retrospective</t>
        </is>
      </c>
      <c r="H57" s="84" t="inlineStr">
        <is>
          <t>cross-sectional</t>
        </is>
      </c>
      <c r="I57" s="84" t="inlineStr">
        <is>
          <t>yes</t>
        </is>
      </c>
      <c r="J57" s="84" t="inlineStr">
        <is>
          <t>screening clinics; tertiary hospitals</t>
        </is>
      </c>
      <c r="K57" s="86" t="inlineStr">
        <is>
          <t>high</t>
        </is>
      </c>
      <c r="L57" s="86" t="inlineStr">
        <is>
          <t>mixed</t>
        </is>
      </c>
      <c r="M57" s="86" t="inlineStr">
        <is>
          <t>no</t>
        </is>
      </c>
      <c r="N57" s="86" t="inlineStr">
        <is>
          <t>rdr</t>
        </is>
      </c>
      <c r="O57" s="86" t="inlineStr">
        <is>
          <t>yes</t>
        </is>
      </c>
      <c r="P57" s="86" t="inlineStr">
        <is>
          <t>mixed</t>
        </is>
      </c>
      <c r="Q57" s="86" t="inlineStr">
        <is>
          <t>desktop</t>
        </is>
      </c>
      <c r="R57" s="84" t="inlineStr">
        <is>
          <t>multiple</t>
        </is>
      </c>
      <c r="S57" s="84" t="inlineStr">
        <is>
          <t>eyepacs_india</t>
        </is>
      </c>
      <c r="T57" s="86" t="inlineStr">
        <is>
          <t>icdr</t>
        </is>
      </c>
      <c r="U57" s="84" t="inlineStr">
        <is>
          <t>PP</t>
        </is>
      </c>
      <c r="V57" s="86" t="inlineStr">
        <is>
          <t>expert panel</t>
        </is>
      </c>
      <c r="W57" s="56" t="inlineStr">
        <is>
          <t>yes</t>
        </is>
      </c>
      <c r="X57" s="86" t="inlineStr">
        <is>
          <t>fundus</t>
        </is>
      </c>
      <c r="Y57" s="86" t="inlineStr">
        <is>
          <t>1</t>
        </is>
      </c>
      <c r="Z57" s="32" t="inlineStr">
        <is>
          <t>yes</t>
        </is>
      </c>
      <c r="AA57" s="86" t="inlineStr">
        <is>
          <t>no</t>
        </is>
      </c>
      <c r="AB57" s="86" t="inlineStr">
        <is>
          <t>no</t>
        </is>
      </c>
      <c r="AC57" s="84" t="inlineStr">
        <is>
          <t>yes</t>
        </is>
      </c>
      <c r="AD57" s="86" t="inlineStr">
        <is>
          <t>NR</t>
        </is>
      </c>
      <c r="AE57" s="86" t="inlineStr">
        <is>
          <t>america</t>
        </is>
      </c>
      <c r="AF57" s="86" t="inlineStr">
        <is>
          <t>high</t>
        </is>
      </c>
      <c r="AG57" s="86" t="inlineStr">
        <is>
          <t>low</t>
        </is>
      </c>
      <c r="AH57" s="86" t="n">
        <v>1813</v>
      </c>
      <c r="AI57" s="86" t="n">
        <v>0.116</v>
      </c>
      <c r="AJ57" s="86" t="n">
        <v>210</v>
      </c>
      <c r="AK57" s="86" t="n">
        <v>1603</v>
      </c>
      <c r="AL57" s="86" t="n">
        <v>0.881</v>
      </c>
      <c r="AM57" s="86" t="n">
        <v>0.994</v>
      </c>
      <c r="AN57" s="86" t="n">
        <v>185</v>
      </c>
      <c r="AO57" s="86" t="n">
        <v>25</v>
      </c>
      <c r="AP57" s="86" t="n">
        <v>1593</v>
      </c>
      <c r="AQ57" s="86" t="n">
        <v>10</v>
      </c>
    </row>
    <row r="58" ht="16" customHeight="1" s="55">
      <c r="A58" s="88" t="inlineStr">
        <is>
          <t>Ting et al. 2017</t>
        </is>
      </c>
      <c r="B58" s="86" t="inlineStr">
        <is>
          <t>DL</t>
        </is>
      </c>
      <c r="C58" s="86" t="inlineStr">
        <is>
          <t>Selena+</t>
        </is>
      </c>
      <c r="D58" s="84" t="inlineStr">
        <is>
          <t>NR</t>
        </is>
      </c>
      <c r="E58" s="84" t="inlineStr">
        <is>
          <t>ai_only</t>
        </is>
      </c>
      <c r="F58" s="86" t="inlineStr">
        <is>
          <t>original</t>
        </is>
      </c>
      <c r="G58" s="86" t="inlineStr">
        <is>
          <t>retrospective</t>
        </is>
      </c>
      <c r="H58" s="84" t="inlineStr">
        <is>
          <t>cross-sectional</t>
        </is>
      </c>
      <c r="I58" s="84" t="inlineStr">
        <is>
          <t>yes</t>
        </is>
      </c>
      <c r="J58" s="84" t="inlineStr">
        <is>
          <t>national screening programme</t>
        </is>
      </c>
      <c r="K58" s="86" t="inlineStr">
        <is>
          <t>high</t>
        </is>
      </c>
      <c r="L58" s="86" t="inlineStr">
        <is>
          <t>primary</t>
        </is>
      </c>
      <c r="M58" s="86" t="inlineStr">
        <is>
          <t>yes</t>
        </is>
      </c>
      <c r="N58" s="86" t="inlineStr">
        <is>
          <t>rdr</t>
        </is>
      </c>
      <c r="O58" s="86" t="inlineStr">
        <is>
          <t>yes</t>
        </is>
      </c>
      <c r="P58" s="86" t="inlineStr">
        <is>
          <t>mixed</t>
        </is>
      </c>
      <c r="Q58" s="86" t="inlineStr">
        <is>
          <t>desktop</t>
        </is>
      </c>
      <c r="R58" s="84" t="inlineStr">
        <is>
          <t>NR</t>
        </is>
      </c>
      <c r="S58" s="84" t="inlineStr">
        <is>
          <t>sidrp</t>
        </is>
      </c>
      <c r="T58" s="86" t="inlineStr">
        <is>
          <t>icdr</t>
        </is>
      </c>
      <c r="U58" s="84" t="inlineStr">
        <is>
          <t>ITT</t>
        </is>
      </c>
      <c r="V58" s="86" t="inlineStr">
        <is>
          <t>expert panel</t>
        </is>
      </c>
      <c r="W58" s="86" t="inlineStr">
        <is>
          <t>yes</t>
        </is>
      </c>
      <c r="X58" s="86" t="inlineStr">
        <is>
          <t>fundus</t>
        </is>
      </c>
      <c r="Y58" s="32" t="inlineStr">
        <is>
          <t>2</t>
        </is>
      </c>
      <c r="Z58" s="86" t="inlineStr">
        <is>
          <t>no</t>
        </is>
      </c>
      <c r="AA58" s="86" t="inlineStr">
        <is>
          <t>yes</t>
        </is>
      </c>
      <c r="AB58" s="86" t="inlineStr">
        <is>
          <t>no</t>
        </is>
      </c>
      <c r="AC58" s="84" t="inlineStr">
        <is>
          <t>NR</t>
        </is>
      </c>
      <c r="AD58" s="86" t="inlineStr">
        <is>
          <t>VGG</t>
        </is>
      </c>
      <c r="AE58" s="86" t="inlineStr">
        <is>
          <t>mixed</t>
        </is>
      </c>
      <c r="AF58" s="86" t="inlineStr">
        <is>
          <t>NR</t>
        </is>
      </c>
      <c r="AG58" s="86" t="inlineStr">
        <is>
          <t>NR</t>
        </is>
      </c>
      <c r="AH58" s="86" t="n">
        <v>35948</v>
      </c>
      <c r="AI58" s="104" t="n">
        <v>0.029</v>
      </c>
      <c r="AJ58" s="104" t="n">
        <v>1053</v>
      </c>
      <c r="AK58" s="104" t="n">
        <v>34895</v>
      </c>
      <c r="AL58" s="104" t="n">
        <v>0.905</v>
      </c>
      <c r="AM58" s="104" t="n">
        <v>0.916</v>
      </c>
      <c r="AN58" s="86" t="n">
        <v>953</v>
      </c>
      <c r="AO58" s="86" t="n">
        <v>100</v>
      </c>
      <c r="AP58" s="86" t="n">
        <v>31964</v>
      </c>
      <c r="AQ58" s="86" t="n">
        <v>2931</v>
      </c>
    </row>
    <row r="59" ht="16" customHeight="1" s="55">
      <c r="A59" s="88" t="inlineStr">
        <is>
          <t>Ting et al. 2017</t>
        </is>
      </c>
      <c r="B59" s="86" t="inlineStr">
        <is>
          <t>DL</t>
        </is>
      </c>
      <c r="C59" s="86" t="inlineStr">
        <is>
          <t>Selena+</t>
        </is>
      </c>
      <c r="D59" s="84" t="inlineStr">
        <is>
          <t>NR</t>
        </is>
      </c>
      <c r="E59" s="84" t="inlineStr">
        <is>
          <t>ai_only</t>
        </is>
      </c>
      <c r="F59" s="86" t="inlineStr">
        <is>
          <t>original</t>
        </is>
      </c>
      <c r="G59" s="86" t="inlineStr">
        <is>
          <t>retrospective</t>
        </is>
      </c>
      <c r="H59" s="84" t="inlineStr">
        <is>
          <t>cross-sectional</t>
        </is>
      </c>
      <c r="I59" s="84" t="inlineStr">
        <is>
          <t>yes</t>
        </is>
      </c>
      <c r="J59" s="84" t="inlineStr">
        <is>
          <t>national screening programme</t>
        </is>
      </c>
      <c r="K59" s="86" t="inlineStr">
        <is>
          <t>high</t>
        </is>
      </c>
      <c r="L59" s="86" t="inlineStr">
        <is>
          <t>primary</t>
        </is>
      </c>
      <c r="M59" s="86" t="inlineStr">
        <is>
          <t>yes</t>
        </is>
      </c>
      <c r="N59" s="86" t="inlineStr">
        <is>
          <t>vtdr</t>
        </is>
      </c>
      <c r="O59" s="86" t="inlineStr">
        <is>
          <t>yes</t>
        </is>
      </c>
      <c r="P59" s="86" t="inlineStr">
        <is>
          <t>mixed</t>
        </is>
      </c>
      <c r="Q59" s="86" t="inlineStr">
        <is>
          <t>desktop</t>
        </is>
      </c>
      <c r="R59" s="84" t="inlineStr">
        <is>
          <t>NR</t>
        </is>
      </c>
      <c r="S59" s="84" t="inlineStr">
        <is>
          <t>sidrp</t>
        </is>
      </c>
      <c r="T59" s="86" t="inlineStr">
        <is>
          <t>icdr</t>
        </is>
      </c>
      <c r="U59" s="84" t="inlineStr">
        <is>
          <t>ITT</t>
        </is>
      </c>
      <c r="V59" s="86" t="inlineStr">
        <is>
          <t>expert panel</t>
        </is>
      </c>
      <c r="W59" s="86" t="inlineStr">
        <is>
          <t>yes</t>
        </is>
      </c>
      <c r="X59" s="86" t="inlineStr">
        <is>
          <t>fundus</t>
        </is>
      </c>
      <c r="Y59" s="32" t="inlineStr">
        <is>
          <t>2</t>
        </is>
      </c>
      <c r="Z59" s="86" t="inlineStr">
        <is>
          <t>no</t>
        </is>
      </c>
      <c r="AA59" s="86" t="inlineStr">
        <is>
          <t>yes</t>
        </is>
      </c>
      <c r="AB59" s="86" t="inlineStr">
        <is>
          <t>no</t>
        </is>
      </c>
      <c r="AC59" s="84" t="inlineStr">
        <is>
          <t>NR</t>
        </is>
      </c>
      <c r="AD59" s="86" t="inlineStr">
        <is>
          <t>VGG</t>
        </is>
      </c>
      <c r="AE59" s="86" t="inlineStr">
        <is>
          <t>mixed</t>
        </is>
      </c>
      <c r="AF59" s="86" t="inlineStr">
        <is>
          <t>NR</t>
        </is>
      </c>
      <c r="AG59" s="86" t="inlineStr">
        <is>
          <t>NR</t>
        </is>
      </c>
      <c r="AH59" s="86" t="n">
        <v>35948</v>
      </c>
      <c r="AI59" s="104" t="n">
        <v>0.017</v>
      </c>
      <c r="AJ59" s="104" t="n">
        <v>598</v>
      </c>
      <c r="AK59" s="104" t="n">
        <v>35350</v>
      </c>
      <c r="AL59" s="104" t="n">
        <v>1</v>
      </c>
      <c r="AM59" s="104" t="n">
        <v>0.911</v>
      </c>
      <c r="AN59" s="86" t="n">
        <v>598</v>
      </c>
      <c r="AO59" s="86" t="n">
        <v>0</v>
      </c>
      <c r="AP59" s="86" t="n">
        <v>32204</v>
      </c>
      <c r="AQ59" s="86" t="n">
        <v>3146</v>
      </c>
    </row>
    <row r="60" ht="16" customHeight="1" s="55">
      <c r="A60" s="88" t="inlineStr">
        <is>
          <t>Ting et al. 2017</t>
        </is>
      </c>
      <c r="B60" s="86" t="inlineStr">
        <is>
          <t>Reader</t>
        </is>
      </c>
      <c r="C60" s="86" t="inlineStr">
        <is>
          <t>retinaspecialist</t>
        </is>
      </c>
      <c r="D60" s="84" t="inlineStr">
        <is>
          <t>retinaspecialist</t>
        </is>
      </c>
      <c r="E60" s="84" t="inlineStr">
        <is>
          <t>human_only</t>
        </is>
      </c>
      <c r="F60" s="86" t="inlineStr">
        <is>
          <t>original</t>
        </is>
      </c>
      <c r="G60" s="86" t="inlineStr">
        <is>
          <t>retrospective</t>
        </is>
      </c>
      <c r="H60" s="84" t="inlineStr">
        <is>
          <t>cross-sectional</t>
        </is>
      </c>
      <c r="I60" s="84" t="inlineStr">
        <is>
          <t>yes</t>
        </is>
      </c>
      <c r="J60" s="84" t="inlineStr">
        <is>
          <t>national screening programme</t>
        </is>
      </c>
      <c r="K60" s="86" t="inlineStr">
        <is>
          <t>high</t>
        </is>
      </c>
      <c r="L60" s="86" t="inlineStr">
        <is>
          <t>primary</t>
        </is>
      </c>
      <c r="M60" s="86" t="inlineStr">
        <is>
          <t>yes</t>
        </is>
      </c>
      <c r="N60" s="86" t="inlineStr">
        <is>
          <t>rdr</t>
        </is>
      </c>
      <c r="O60" s="86" t="inlineStr">
        <is>
          <t>yes</t>
        </is>
      </c>
      <c r="P60" s="86" t="inlineStr">
        <is>
          <t>mixed</t>
        </is>
      </c>
      <c r="Q60" s="86" t="inlineStr">
        <is>
          <t>desktop</t>
        </is>
      </c>
      <c r="R60" s="84" t="inlineStr">
        <is>
          <t>NR</t>
        </is>
      </c>
      <c r="S60" s="84" t="inlineStr">
        <is>
          <t>sidrp</t>
        </is>
      </c>
      <c r="T60" s="86" t="inlineStr">
        <is>
          <t>icdr</t>
        </is>
      </c>
      <c r="U60" s="84" t="inlineStr">
        <is>
          <t>ITT</t>
        </is>
      </c>
      <c r="V60" s="86" t="inlineStr">
        <is>
          <t>expert panel</t>
        </is>
      </c>
      <c r="W60" s="86" t="inlineStr">
        <is>
          <t>yes</t>
        </is>
      </c>
      <c r="X60" s="86" t="inlineStr">
        <is>
          <t>fundus</t>
        </is>
      </c>
      <c r="Y60" s="32" t="inlineStr">
        <is>
          <t>2</t>
        </is>
      </c>
      <c r="Z60" s="86" t="inlineStr">
        <is>
          <t>no</t>
        </is>
      </c>
      <c r="AA60" s="86" t="inlineStr">
        <is>
          <t>yes</t>
        </is>
      </c>
      <c r="AB60" s="86" t="inlineStr">
        <is>
          <t>no</t>
        </is>
      </c>
      <c r="AC60" s="84" t="inlineStr">
        <is>
          <t>NR</t>
        </is>
      </c>
      <c r="AD60" s="86" t="inlineStr">
        <is>
          <t>VGG</t>
        </is>
      </c>
      <c r="AE60" s="86" t="inlineStr">
        <is>
          <t>mixed</t>
        </is>
      </c>
      <c r="AF60" s="86" t="inlineStr">
        <is>
          <t>NR</t>
        </is>
      </c>
      <c r="AG60" s="86" t="inlineStr">
        <is>
          <t>NR</t>
        </is>
      </c>
      <c r="AH60" s="86" t="n">
        <v>35948</v>
      </c>
      <c r="AI60" s="104" t="n">
        <v>0.029</v>
      </c>
      <c r="AJ60" s="104" t="n">
        <v>1053</v>
      </c>
      <c r="AK60" s="104" t="n">
        <v>34895</v>
      </c>
      <c r="AL60" s="104" t="n">
        <v>0.912</v>
      </c>
      <c r="AM60" s="104" t="n">
        <v>0.993</v>
      </c>
      <c r="AN60" s="86" t="n">
        <v>960</v>
      </c>
      <c r="AO60" s="86" t="n">
        <v>93</v>
      </c>
      <c r="AP60" s="86" t="n">
        <v>34651</v>
      </c>
      <c r="AQ60" s="86" t="n">
        <v>244</v>
      </c>
    </row>
    <row r="61" ht="16" customHeight="1" s="55">
      <c r="A61" s="88" t="inlineStr">
        <is>
          <t>Ting et al. 2017</t>
        </is>
      </c>
      <c r="B61" s="86" t="inlineStr">
        <is>
          <t>Reader</t>
        </is>
      </c>
      <c r="C61" s="86" t="inlineStr">
        <is>
          <t>retinaspecialist</t>
        </is>
      </c>
      <c r="D61" s="84" t="inlineStr">
        <is>
          <t>retinaspecialist</t>
        </is>
      </c>
      <c r="E61" s="84" t="inlineStr">
        <is>
          <t>human_only</t>
        </is>
      </c>
      <c r="F61" s="86" t="inlineStr">
        <is>
          <t>original</t>
        </is>
      </c>
      <c r="G61" s="86" t="inlineStr">
        <is>
          <t>retrospective</t>
        </is>
      </c>
      <c r="H61" s="84" t="inlineStr">
        <is>
          <t>cross-sectional</t>
        </is>
      </c>
      <c r="I61" s="84" t="inlineStr">
        <is>
          <t>yes</t>
        </is>
      </c>
      <c r="J61" s="84" t="inlineStr">
        <is>
          <t>national screening programme</t>
        </is>
      </c>
      <c r="K61" s="86" t="inlineStr">
        <is>
          <t>high</t>
        </is>
      </c>
      <c r="L61" s="86" t="inlineStr">
        <is>
          <t>primary</t>
        </is>
      </c>
      <c r="M61" s="86" t="inlineStr">
        <is>
          <t>yes</t>
        </is>
      </c>
      <c r="N61" s="86" t="inlineStr">
        <is>
          <t>vtdr</t>
        </is>
      </c>
      <c r="O61" s="86" t="inlineStr">
        <is>
          <t>yes</t>
        </is>
      </c>
      <c r="P61" s="86" t="inlineStr">
        <is>
          <t>mixed</t>
        </is>
      </c>
      <c r="Q61" s="86" t="inlineStr">
        <is>
          <t>desktop</t>
        </is>
      </c>
      <c r="R61" s="84" t="inlineStr">
        <is>
          <t>NR</t>
        </is>
      </c>
      <c r="S61" s="84" t="inlineStr">
        <is>
          <t>sidrp</t>
        </is>
      </c>
      <c r="T61" s="86" t="inlineStr">
        <is>
          <t>icdr</t>
        </is>
      </c>
      <c r="U61" s="84" t="inlineStr">
        <is>
          <t>ITT</t>
        </is>
      </c>
      <c r="V61" s="86" t="inlineStr">
        <is>
          <t>expert panel</t>
        </is>
      </c>
      <c r="W61" s="86" t="inlineStr">
        <is>
          <t>yes</t>
        </is>
      </c>
      <c r="X61" s="86" t="inlineStr">
        <is>
          <t>fundus</t>
        </is>
      </c>
      <c r="Y61" s="32" t="inlineStr">
        <is>
          <t>2</t>
        </is>
      </c>
      <c r="Z61" s="86" t="inlineStr">
        <is>
          <t>no</t>
        </is>
      </c>
      <c r="AA61" s="86" t="inlineStr">
        <is>
          <t>yes</t>
        </is>
      </c>
      <c r="AB61" s="86" t="inlineStr">
        <is>
          <t>no</t>
        </is>
      </c>
      <c r="AC61" s="84" t="inlineStr">
        <is>
          <t>NR</t>
        </is>
      </c>
      <c r="AD61" s="86" t="inlineStr">
        <is>
          <t>VGG</t>
        </is>
      </c>
      <c r="AE61" s="86" t="inlineStr">
        <is>
          <t>mixed</t>
        </is>
      </c>
      <c r="AF61" s="86" t="inlineStr">
        <is>
          <t>NR</t>
        </is>
      </c>
      <c r="AG61" s="86" t="inlineStr">
        <is>
          <t>NR</t>
        </is>
      </c>
      <c r="AH61" s="86" t="n">
        <v>35948</v>
      </c>
      <c r="AI61" s="104" t="n">
        <v>0.017</v>
      </c>
      <c r="AJ61" s="104" t="n">
        <v>598</v>
      </c>
      <c r="AK61" s="104" t="n">
        <v>35350</v>
      </c>
      <c r="AL61" s="104" t="n">
        <v>0.885</v>
      </c>
      <c r="AM61" s="104" t="n">
        <v>0.996</v>
      </c>
      <c r="AN61" s="86" t="n">
        <v>529</v>
      </c>
      <c r="AO61" s="86" t="n">
        <v>69</v>
      </c>
      <c r="AP61" s="86" t="n">
        <v>35209</v>
      </c>
      <c r="AQ61" s="86" t="n">
        <v>141</v>
      </c>
    </row>
    <row r="62" ht="16" customHeight="1" s="55">
      <c r="A62" s="88" t="inlineStr">
        <is>
          <t>Li et al. 2024b</t>
        </is>
      </c>
      <c r="B62" s="86" t="inlineStr">
        <is>
          <t>DL</t>
        </is>
      </c>
      <c r="C62" s="86" t="inlineStr">
        <is>
          <t>DeepDR-Transformer (standard images)</t>
        </is>
      </c>
      <c r="D62" s="84" t="inlineStr">
        <is>
          <t>NR</t>
        </is>
      </c>
      <c r="E62" s="84" t="inlineStr">
        <is>
          <t>ai_only</t>
        </is>
      </c>
      <c r="F62" s="86" t="inlineStr">
        <is>
          <t>original</t>
        </is>
      </c>
      <c r="G62" s="86" t="inlineStr">
        <is>
          <t>retrospective</t>
        </is>
      </c>
      <c r="H62" s="84" t="inlineStr">
        <is>
          <t>cross-sectional</t>
        </is>
      </c>
      <c r="I62" s="84" t="inlineStr">
        <is>
          <t>yes</t>
        </is>
      </c>
      <c r="J62" s="84" t="inlineStr">
        <is>
          <t>health examination centers</t>
        </is>
      </c>
      <c r="K62" s="86" t="inlineStr">
        <is>
          <t>middle</t>
        </is>
      </c>
      <c r="L62" s="86" t="inlineStr">
        <is>
          <t>primary</t>
        </is>
      </c>
      <c r="M62" s="86" t="inlineStr">
        <is>
          <t>yes</t>
        </is>
      </c>
      <c r="N62" s="86" t="inlineStr">
        <is>
          <t>rdr</t>
        </is>
      </c>
      <c r="O62" s="86" t="inlineStr">
        <is>
          <t>yes</t>
        </is>
      </c>
      <c r="P62" s="86" t="inlineStr">
        <is>
          <t>mixed</t>
        </is>
      </c>
      <c r="Q62" s="86" t="inlineStr">
        <is>
          <t>desktop</t>
        </is>
      </c>
      <c r="R62" s="84" t="inlineStr">
        <is>
          <t>multiple</t>
        </is>
      </c>
      <c r="S62" s="84" t="inlineStr">
        <is>
          <t>ikang</t>
        </is>
      </c>
      <c r="T62" s="86" t="inlineStr">
        <is>
          <t>icdr</t>
        </is>
      </c>
      <c r="U62" s="84" t="inlineStr">
        <is>
          <t>PP</t>
        </is>
      </c>
      <c r="V62" s="86" t="inlineStr">
        <is>
          <t>expert panel</t>
        </is>
      </c>
      <c r="W62" s="56" t="inlineStr">
        <is>
          <t>no</t>
        </is>
      </c>
      <c r="X62" s="86" t="inlineStr">
        <is>
          <t>fundus</t>
        </is>
      </c>
      <c r="Y62" s="86" t="inlineStr">
        <is>
          <t>NR</t>
        </is>
      </c>
      <c r="Z62" s="58" t="inlineStr">
        <is>
          <t>yes</t>
        </is>
      </c>
      <c r="AA62" s="58" t="inlineStr">
        <is>
          <t>no</t>
        </is>
      </c>
      <c r="AB62" s="58" t="inlineStr">
        <is>
          <t>no</t>
        </is>
      </c>
      <c r="AC62" s="84" t="inlineStr">
        <is>
          <t>yes</t>
        </is>
      </c>
      <c r="AD62" s="58" t="inlineStr">
        <is>
          <t>ResNet</t>
        </is>
      </c>
      <c r="AE62" s="86" t="inlineStr">
        <is>
          <t>mixed</t>
        </is>
      </c>
      <c r="AF62" s="56" t="inlineStr">
        <is>
          <t>high</t>
        </is>
      </c>
      <c r="AG62" s="56" t="inlineStr">
        <is>
          <t>high</t>
        </is>
      </c>
      <c r="AH62" s="86" t="n">
        <v>500</v>
      </c>
      <c r="AI62" s="86" t="n">
        <v>0.5</v>
      </c>
      <c r="AJ62" s="86" t="n">
        <v>250</v>
      </c>
      <c r="AK62" s="86" t="n">
        <v>250</v>
      </c>
      <c r="AL62" s="86" t="n">
        <v>0.948</v>
      </c>
      <c r="AM62" s="86" t="n">
        <v>0.82</v>
      </c>
      <c r="AN62" s="86" t="n">
        <v>237</v>
      </c>
      <c r="AO62" s="86" t="n">
        <v>13</v>
      </c>
      <c r="AP62" s="86" t="n">
        <v>205</v>
      </c>
      <c r="AQ62" s="86" t="n">
        <v>45</v>
      </c>
    </row>
    <row r="63" ht="16" customHeight="1" s="55">
      <c r="A63" s="88" t="inlineStr">
        <is>
          <t>Li et al. 2024b</t>
        </is>
      </c>
      <c r="B63" s="86" t="inlineStr">
        <is>
          <t>DL</t>
        </is>
      </c>
      <c r="C63" s="86" t="inlineStr">
        <is>
          <t>DeepDR-Transformer (portable images)</t>
        </is>
      </c>
      <c r="D63" s="84" t="inlineStr">
        <is>
          <t>NR</t>
        </is>
      </c>
      <c r="E63" s="84" t="inlineStr">
        <is>
          <t>ai_only</t>
        </is>
      </c>
      <c r="F63" s="86" t="inlineStr">
        <is>
          <t>original</t>
        </is>
      </c>
      <c r="G63" s="86" t="inlineStr">
        <is>
          <t>retrospective</t>
        </is>
      </c>
      <c r="H63" s="84" t="inlineStr">
        <is>
          <t>cross-sectional</t>
        </is>
      </c>
      <c r="I63" s="84" t="inlineStr">
        <is>
          <t>yes</t>
        </is>
      </c>
      <c r="J63" s="84" t="inlineStr">
        <is>
          <t>health examination centers</t>
        </is>
      </c>
      <c r="K63" s="86" t="inlineStr">
        <is>
          <t>middle</t>
        </is>
      </c>
      <c r="L63" s="86" t="inlineStr">
        <is>
          <t>primary</t>
        </is>
      </c>
      <c r="M63" s="86" t="inlineStr">
        <is>
          <t>yes</t>
        </is>
      </c>
      <c r="N63" s="86" t="inlineStr">
        <is>
          <t>rdr</t>
        </is>
      </c>
      <c r="O63" s="86" t="inlineStr">
        <is>
          <t>yes</t>
        </is>
      </c>
      <c r="P63" s="86" t="inlineStr">
        <is>
          <t>mixed</t>
        </is>
      </c>
      <c r="Q63" s="86" t="inlineStr">
        <is>
          <t>portable</t>
        </is>
      </c>
      <c r="R63" s="84" t="inlineStr">
        <is>
          <t>multiple</t>
        </is>
      </c>
      <c r="S63" s="84" t="inlineStr">
        <is>
          <t>ikang</t>
        </is>
      </c>
      <c r="T63" s="86" t="inlineStr">
        <is>
          <t>icdr</t>
        </is>
      </c>
      <c r="U63" s="84" t="inlineStr">
        <is>
          <t>PP</t>
        </is>
      </c>
      <c r="V63" s="86" t="inlineStr">
        <is>
          <t>expert panel</t>
        </is>
      </c>
      <c r="W63" s="56" t="inlineStr">
        <is>
          <t>no</t>
        </is>
      </c>
      <c r="X63" s="86" t="inlineStr">
        <is>
          <t>fundus</t>
        </is>
      </c>
      <c r="Y63" s="86" t="inlineStr">
        <is>
          <t>NR</t>
        </is>
      </c>
      <c r="Z63" s="58" t="inlineStr">
        <is>
          <t>yes</t>
        </is>
      </c>
      <c r="AA63" s="58" t="inlineStr">
        <is>
          <t>no</t>
        </is>
      </c>
      <c r="AB63" s="58" t="inlineStr">
        <is>
          <t>no</t>
        </is>
      </c>
      <c r="AC63" s="84" t="inlineStr">
        <is>
          <t>yes</t>
        </is>
      </c>
      <c r="AD63" s="58" t="inlineStr">
        <is>
          <t>ResNet</t>
        </is>
      </c>
      <c r="AE63" s="86" t="inlineStr">
        <is>
          <t>mixed</t>
        </is>
      </c>
      <c r="AF63" s="56" t="inlineStr">
        <is>
          <t>high</t>
        </is>
      </c>
      <c r="AG63" s="56" t="inlineStr">
        <is>
          <t>high</t>
        </is>
      </c>
      <c r="AH63" s="86" t="n">
        <v>500</v>
      </c>
      <c r="AI63" s="86" t="n">
        <v>0.5</v>
      </c>
      <c r="AJ63" s="86" t="n">
        <v>250</v>
      </c>
      <c r="AK63" s="86" t="n">
        <v>250</v>
      </c>
      <c r="AL63" s="86" t="n">
        <v>0.916</v>
      </c>
      <c r="AM63" s="86" t="n">
        <v>0.912</v>
      </c>
      <c r="AN63" s="86" t="n">
        <v>229</v>
      </c>
      <c r="AO63" s="86" t="n">
        <v>21</v>
      </c>
      <c r="AP63" s="86" t="n">
        <v>228</v>
      </c>
      <c r="AQ63" s="86" t="n">
        <v>22</v>
      </c>
    </row>
    <row r="64" ht="16" customHeight="1" s="55">
      <c r="A64" s="88" t="inlineStr">
        <is>
          <t>Li et al. 2024b</t>
        </is>
      </c>
      <c r="B64" s="86" t="inlineStr">
        <is>
          <t>DL</t>
        </is>
      </c>
      <c r="C64" s="86" t="inlineStr">
        <is>
          <t>DeepDR-Transformer (Singapore graders set)</t>
        </is>
      </c>
      <c r="D64" s="84" t="inlineStr">
        <is>
          <t>NR</t>
        </is>
      </c>
      <c r="E64" s="84" t="inlineStr">
        <is>
          <t>ai_only</t>
        </is>
      </c>
      <c r="F64" s="86" t="inlineStr">
        <is>
          <t>original</t>
        </is>
      </c>
      <c r="G64" s="86" t="inlineStr">
        <is>
          <t>retrospective</t>
        </is>
      </c>
      <c r="H64" s="84" t="inlineStr">
        <is>
          <t>cross-sectional</t>
        </is>
      </c>
      <c r="I64" s="84" t="inlineStr">
        <is>
          <t>yes</t>
        </is>
      </c>
      <c r="J64" s="84" t="inlineStr">
        <is>
          <t>health examination centers</t>
        </is>
      </c>
      <c r="K64" s="86" t="inlineStr">
        <is>
          <t>middle</t>
        </is>
      </c>
      <c r="L64" s="86" t="inlineStr">
        <is>
          <t>primary</t>
        </is>
      </c>
      <c r="M64" s="86" t="inlineStr">
        <is>
          <t>yes</t>
        </is>
      </c>
      <c r="N64" s="86" t="inlineStr">
        <is>
          <t>rdr</t>
        </is>
      </c>
      <c r="O64" s="86" t="inlineStr">
        <is>
          <t>yes</t>
        </is>
      </c>
      <c r="P64" s="86" t="inlineStr">
        <is>
          <t>mixed</t>
        </is>
      </c>
      <c r="Q64" s="86" t="inlineStr">
        <is>
          <t>desktop</t>
        </is>
      </c>
      <c r="R64" s="84" t="inlineStr">
        <is>
          <t>multiple</t>
        </is>
      </c>
      <c r="S64" s="84" t="inlineStr">
        <is>
          <t>ikang</t>
        </is>
      </c>
      <c r="T64" s="86" t="inlineStr">
        <is>
          <t>icdr</t>
        </is>
      </c>
      <c r="U64" s="84" t="inlineStr">
        <is>
          <t>PP</t>
        </is>
      </c>
      <c r="V64" s="86" t="inlineStr">
        <is>
          <t>expert panel</t>
        </is>
      </c>
      <c r="W64" s="56" t="inlineStr">
        <is>
          <t>no</t>
        </is>
      </c>
      <c r="X64" s="86" t="inlineStr">
        <is>
          <t>fundus</t>
        </is>
      </c>
      <c r="Y64" s="86" t="inlineStr">
        <is>
          <t>NR</t>
        </is>
      </c>
      <c r="Z64" s="58" t="inlineStr">
        <is>
          <t>yes</t>
        </is>
      </c>
      <c r="AA64" s="58" t="inlineStr">
        <is>
          <t>no</t>
        </is>
      </c>
      <c r="AB64" s="58" t="inlineStr">
        <is>
          <t>no</t>
        </is>
      </c>
      <c r="AC64" s="84" t="inlineStr">
        <is>
          <t>yes</t>
        </is>
      </c>
      <c r="AD64" s="58" t="inlineStr">
        <is>
          <t>ResNet</t>
        </is>
      </c>
      <c r="AE64" s="86" t="inlineStr">
        <is>
          <t>mixed</t>
        </is>
      </c>
      <c r="AF64" s="56" t="inlineStr">
        <is>
          <t>high</t>
        </is>
      </c>
      <c r="AG64" s="56" t="inlineStr">
        <is>
          <t>high</t>
        </is>
      </c>
      <c r="AH64" s="86" t="n">
        <v>300</v>
      </c>
      <c r="AI64" s="86" t="n">
        <v>0.5</v>
      </c>
      <c r="AJ64" s="86" t="n">
        <v>150</v>
      </c>
      <c r="AK64" s="86" t="n">
        <v>150</v>
      </c>
      <c r="AL64" s="86" t="n">
        <v>0.982</v>
      </c>
      <c r="AM64" s="86" t="n">
        <v>0.832</v>
      </c>
      <c r="AN64" s="86" t="n">
        <v>147</v>
      </c>
      <c r="AO64" s="86" t="n">
        <v>3</v>
      </c>
      <c r="AP64" s="86" t="n">
        <v>125</v>
      </c>
      <c r="AQ64" s="86" t="n">
        <v>25</v>
      </c>
    </row>
    <row r="65" ht="16" customHeight="1" s="55">
      <c r="A65" s="88" t="inlineStr">
        <is>
          <t>Li et al. 2024b</t>
        </is>
      </c>
      <c r="B65" s="86" t="inlineStr">
        <is>
          <t>Reader</t>
        </is>
      </c>
      <c r="C65" s="86" t="inlineStr">
        <is>
          <t>PCP1 junior (standard urban, round1)</t>
        </is>
      </c>
      <c r="D65" s="84" t="inlineStr">
        <is>
          <t>physician</t>
        </is>
      </c>
      <c r="E65" s="84" t="inlineStr">
        <is>
          <t>human_only</t>
        </is>
      </c>
      <c r="F65" s="86" t="inlineStr">
        <is>
          <t>original</t>
        </is>
      </c>
      <c r="G65" s="86" t="inlineStr">
        <is>
          <t>retrospective</t>
        </is>
      </c>
      <c r="H65" s="84" t="inlineStr">
        <is>
          <t>cross-sectional</t>
        </is>
      </c>
      <c r="I65" s="84" t="inlineStr">
        <is>
          <t>yes</t>
        </is>
      </c>
      <c r="J65" s="84" t="inlineStr">
        <is>
          <t>health examination centers</t>
        </is>
      </c>
      <c r="K65" s="86" t="inlineStr">
        <is>
          <t>middle</t>
        </is>
      </c>
      <c r="L65" s="86" t="inlineStr">
        <is>
          <t>primary</t>
        </is>
      </c>
      <c r="M65" s="86" t="inlineStr">
        <is>
          <t>yes</t>
        </is>
      </c>
      <c r="N65" s="86" t="inlineStr">
        <is>
          <t>rdr</t>
        </is>
      </c>
      <c r="O65" s="86" t="inlineStr">
        <is>
          <t>yes</t>
        </is>
      </c>
      <c r="P65" s="86" t="inlineStr">
        <is>
          <t>mixed</t>
        </is>
      </c>
      <c r="Q65" s="86" t="inlineStr">
        <is>
          <t>desktop</t>
        </is>
      </c>
      <c r="R65" s="84" t="inlineStr">
        <is>
          <t>multiple</t>
        </is>
      </c>
      <c r="S65" s="84" t="inlineStr">
        <is>
          <t>ikang</t>
        </is>
      </c>
      <c r="T65" s="86" t="inlineStr">
        <is>
          <t>icdr</t>
        </is>
      </c>
      <c r="U65" s="84" t="inlineStr">
        <is>
          <t>PP</t>
        </is>
      </c>
      <c r="V65" s="86" t="inlineStr">
        <is>
          <t>expert panel</t>
        </is>
      </c>
      <c r="W65" s="56" t="inlineStr">
        <is>
          <t>no</t>
        </is>
      </c>
      <c r="X65" s="86" t="inlineStr">
        <is>
          <t>fundus</t>
        </is>
      </c>
      <c r="Y65" s="86" t="inlineStr">
        <is>
          <t>NR</t>
        </is>
      </c>
      <c r="Z65" s="67" t="inlineStr">
        <is>
          <t>yes</t>
        </is>
      </c>
      <c r="AA65" s="58" t="inlineStr">
        <is>
          <t>no</t>
        </is>
      </c>
      <c r="AB65" s="58" t="inlineStr">
        <is>
          <t>no</t>
        </is>
      </c>
      <c r="AC65" s="84" t="inlineStr">
        <is>
          <t>yes</t>
        </is>
      </c>
      <c r="AD65" s="86" t="inlineStr">
        <is>
          <t>NR</t>
        </is>
      </c>
      <c r="AE65" s="86" t="inlineStr">
        <is>
          <t>mixed</t>
        </is>
      </c>
      <c r="AF65" s="56" t="inlineStr">
        <is>
          <t>high</t>
        </is>
      </c>
      <c r="AG65" s="56" t="inlineStr">
        <is>
          <t>high</t>
        </is>
      </c>
      <c r="AH65" s="86" t="n">
        <v>500</v>
      </c>
      <c r="AI65" s="86" t="n">
        <v>0.5</v>
      </c>
      <c r="AJ65" s="86" t="n">
        <v>250</v>
      </c>
      <c r="AK65" s="86" t="n">
        <v>250</v>
      </c>
      <c r="AL65" s="86" t="n">
        <v>0.452</v>
      </c>
      <c r="AM65" s="86" t="n">
        <v>0.924</v>
      </c>
      <c r="AN65" s="86" t="n">
        <v>113</v>
      </c>
      <c r="AO65" s="86" t="n">
        <v>137</v>
      </c>
      <c r="AP65" s="86" t="n">
        <v>231</v>
      </c>
      <c r="AQ65" s="86" t="n">
        <v>19</v>
      </c>
    </row>
    <row r="66" ht="16" customHeight="1" s="55">
      <c r="A66" s="88" t="inlineStr">
        <is>
          <t>Li et al. 2024b</t>
        </is>
      </c>
      <c r="B66" s="86" t="inlineStr">
        <is>
          <t>Reader</t>
        </is>
      </c>
      <c r="C66" s="86" t="inlineStr">
        <is>
          <t>PCP2 junior (standard urban, round1)</t>
        </is>
      </c>
      <c r="D66" s="84" t="inlineStr">
        <is>
          <t>physician</t>
        </is>
      </c>
      <c r="E66" s="84" t="inlineStr">
        <is>
          <t>human_only</t>
        </is>
      </c>
      <c r="F66" s="86" t="inlineStr">
        <is>
          <t>original</t>
        </is>
      </c>
      <c r="G66" s="86" t="inlineStr">
        <is>
          <t>retrospective</t>
        </is>
      </c>
      <c r="H66" s="84" t="inlineStr">
        <is>
          <t>cross-sectional</t>
        </is>
      </c>
      <c r="I66" s="84" t="inlineStr">
        <is>
          <t>yes</t>
        </is>
      </c>
      <c r="J66" s="84" t="inlineStr">
        <is>
          <t>health examination centers</t>
        </is>
      </c>
      <c r="K66" s="86" t="inlineStr">
        <is>
          <t>middle</t>
        </is>
      </c>
      <c r="L66" s="86" t="inlineStr">
        <is>
          <t>primary</t>
        </is>
      </c>
      <c r="M66" s="86" t="inlineStr">
        <is>
          <t>yes</t>
        </is>
      </c>
      <c r="N66" s="86" t="inlineStr">
        <is>
          <t>rdr</t>
        </is>
      </c>
      <c r="O66" s="86" t="inlineStr">
        <is>
          <t>yes</t>
        </is>
      </c>
      <c r="P66" s="86" t="inlineStr">
        <is>
          <t>mixed</t>
        </is>
      </c>
      <c r="Q66" s="86" t="inlineStr">
        <is>
          <t>desktop</t>
        </is>
      </c>
      <c r="R66" s="84" t="inlineStr">
        <is>
          <t>multiple</t>
        </is>
      </c>
      <c r="S66" s="84" t="inlineStr">
        <is>
          <t>ikang</t>
        </is>
      </c>
      <c r="T66" s="86" t="inlineStr">
        <is>
          <t>icdr</t>
        </is>
      </c>
      <c r="U66" s="84" t="inlineStr">
        <is>
          <t>PP</t>
        </is>
      </c>
      <c r="V66" s="86" t="inlineStr">
        <is>
          <t>expert panel</t>
        </is>
      </c>
      <c r="W66" s="56" t="inlineStr">
        <is>
          <t>no</t>
        </is>
      </c>
      <c r="X66" s="86" t="inlineStr">
        <is>
          <t>fundus</t>
        </is>
      </c>
      <c r="Y66" s="86" t="inlineStr">
        <is>
          <t>NR</t>
        </is>
      </c>
      <c r="Z66" s="58" t="inlineStr">
        <is>
          <t>yes</t>
        </is>
      </c>
      <c r="AA66" s="58" t="inlineStr">
        <is>
          <t>no</t>
        </is>
      </c>
      <c r="AB66" s="58" t="inlineStr">
        <is>
          <t>no</t>
        </is>
      </c>
      <c r="AC66" s="84" t="inlineStr">
        <is>
          <t>yes</t>
        </is>
      </c>
      <c r="AD66" s="86" t="inlineStr">
        <is>
          <t>NR</t>
        </is>
      </c>
      <c r="AE66" s="86" t="inlineStr">
        <is>
          <t>mixed</t>
        </is>
      </c>
      <c r="AF66" s="56" t="inlineStr">
        <is>
          <t>high</t>
        </is>
      </c>
      <c r="AG66" s="56" t="inlineStr">
        <is>
          <t>high</t>
        </is>
      </c>
      <c r="AH66" s="86" t="n">
        <v>500</v>
      </c>
      <c r="AI66" s="86" t="n">
        <v>0.5</v>
      </c>
      <c r="AJ66" s="86" t="n">
        <v>250</v>
      </c>
      <c r="AK66" s="86" t="n">
        <v>250</v>
      </c>
      <c r="AL66" s="86" t="n">
        <v>0.372</v>
      </c>
      <c r="AM66" s="86" t="n">
        <v>0.948</v>
      </c>
      <c r="AN66" s="86" t="n">
        <v>93</v>
      </c>
      <c r="AO66" s="86" t="n">
        <v>157</v>
      </c>
      <c r="AP66" s="86" t="n">
        <v>237</v>
      </c>
      <c r="AQ66" s="86" t="n">
        <v>13</v>
      </c>
    </row>
    <row r="67" ht="16" customHeight="1" s="55">
      <c r="A67" s="88" t="inlineStr">
        <is>
          <t>Li et al. 2024b</t>
        </is>
      </c>
      <c r="B67" s="86" t="inlineStr">
        <is>
          <t>Reader</t>
        </is>
      </c>
      <c r="C67" s="86" t="inlineStr">
        <is>
          <t>PCP3 intermediate (standard urban, round1)</t>
        </is>
      </c>
      <c r="D67" s="84" t="inlineStr">
        <is>
          <t>physician</t>
        </is>
      </c>
      <c r="E67" s="84" t="inlineStr">
        <is>
          <t>human_only</t>
        </is>
      </c>
      <c r="F67" s="86" t="inlineStr">
        <is>
          <t>original</t>
        </is>
      </c>
      <c r="G67" s="86" t="inlineStr">
        <is>
          <t>retrospective</t>
        </is>
      </c>
      <c r="H67" s="84" t="inlineStr">
        <is>
          <t>cross-sectional</t>
        </is>
      </c>
      <c r="I67" s="84" t="inlineStr">
        <is>
          <t>yes</t>
        </is>
      </c>
      <c r="J67" s="84" t="inlineStr">
        <is>
          <t>health examination centers</t>
        </is>
      </c>
      <c r="K67" s="86" t="inlineStr">
        <is>
          <t>middle</t>
        </is>
      </c>
      <c r="L67" s="86" t="inlineStr">
        <is>
          <t>primary</t>
        </is>
      </c>
      <c r="M67" s="86" t="inlineStr">
        <is>
          <t>yes</t>
        </is>
      </c>
      <c r="N67" s="86" t="inlineStr">
        <is>
          <t>rdr</t>
        </is>
      </c>
      <c r="O67" s="86" t="inlineStr">
        <is>
          <t>yes</t>
        </is>
      </c>
      <c r="P67" s="86" t="inlineStr">
        <is>
          <t>mixed</t>
        </is>
      </c>
      <c r="Q67" s="86" t="inlineStr">
        <is>
          <t>desktop</t>
        </is>
      </c>
      <c r="R67" s="84" t="inlineStr">
        <is>
          <t>multiple</t>
        </is>
      </c>
      <c r="S67" s="84" t="inlineStr">
        <is>
          <t>ikang</t>
        </is>
      </c>
      <c r="T67" s="86" t="inlineStr">
        <is>
          <t>icdr</t>
        </is>
      </c>
      <c r="U67" s="84" t="inlineStr">
        <is>
          <t>PP</t>
        </is>
      </c>
      <c r="V67" s="86" t="inlineStr">
        <is>
          <t>expert panel</t>
        </is>
      </c>
      <c r="W67" s="56" t="inlineStr">
        <is>
          <t>no</t>
        </is>
      </c>
      <c r="X67" s="86" t="inlineStr">
        <is>
          <t>fundus</t>
        </is>
      </c>
      <c r="Y67" s="86" t="inlineStr">
        <is>
          <t>NR</t>
        </is>
      </c>
      <c r="Z67" s="58" t="inlineStr">
        <is>
          <t>yes</t>
        </is>
      </c>
      <c r="AA67" s="58" t="inlineStr">
        <is>
          <t>no</t>
        </is>
      </c>
      <c r="AB67" s="58" t="inlineStr">
        <is>
          <t>no</t>
        </is>
      </c>
      <c r="AC67" s="84" t="inlineStr">
        <is>
          <t>yes</t>
        </is>
      </c>
      <c r="AD67" s="86" t="inlineStr">
        <is>
          <t>NR</t>
        </is>
      </c>
      <c r="AE67" s="86" t="inlineStr">
        <is>
          <t>mixed</t>
        </is>
      </c>
      <c r="AF67" s="56" t="inlineStr">
        <is>
          <t>high</t>
        </is>
      </c>
      <c r="AG67" s="56" t="inlineStr">
        <is>
          <t>high</t>
        </is>
      </c>
      <c r="AH67" s="86" t="n">
        <v>500</v>
      </c>
      <c r="AI67" s="86" t="n">
        <v>0.5</v>
      </c>
      <c r="AJ67" s="86" t="n">
        <v>250</v>
      </c>
      <c r="AK67" s="86" t="n">
        <v>250</v>
      </c>
      <c r="AL67" s="86" t="n">
        <v>0.784</v>
      </c>
      <c r="AM67" s="86" t="n">
        <v>0.844</v>
      </c>
      <c r="AN67" s="86" t="n">
        <v>196</v>
      </c>
      <c r="AO67" s="86" t="n">
        <v>54</v>
      </c>
      <c r="AP67" s="86" t="n">
        <v>211</v>
      </c>
      <c r="AQ67" s="86" t="n">
        <v>39</v>
      </c>
    </row>
    <row r="68" ht="16" customHeight="1" s="55">
      <c r="A68" s="88" t="inlineStr">
        <is>
          <t>Li et al. 2024b</t>
        </is>
      </c>
      <c r="B68" s="86" t="inlineStr">
        <is>
          <t>Reader</t>
        </is>
      </c>
      <c r="C68" s="86" t="inlineStr">
        <is>
          <t>PCP4 intermediate (standard urban, round1)</t>
        </is>
      </c>
      <c r="D68" s="84" t="inlineStr">
        <is>
          <t>physician</t>
        </is>
      </c>
      <c r="E68" s="84" t="inlineStr">
        <is>
          <t>human_only</t>
        </is>
      </c>
      <c r="F68" s="86" t="inlineStr">
        <is>
          <t>original</t>
        </is>
      </c>
      <c r="G68" s="86" t="inlineStr">
        <is>
          <t>retrospective</t>
        </is>
      </c>
      <c r="H68" s="84" t="inlineStr">
        <is>
          <t>cross-sectional</t>
        </is>
      </c>
      <c r="I68" s="84" t="inlineStr">
        <is>
          <t>yes</t>
        </is>
      </c>
      <c r="J68" s="84" t="inlineStr">
        <is>
          <t>health examination centers</t>
        </is>
      </c>
      <c r="K68" s="86" t="inlineStr">
        <is>
          <t>middle</t>
        </is>
      </c>
      <c r="L68" s="86" t="inlineStr">
        <is>
          <t>primary</t>
        </is>
      </c>
      <c r="M68" s="86" t="inlineStr">
        <is>
          <t>yes</t>
        </is>
      </c>
      <c r="N68" s="86" t="inlineStr">
        <is>
          <t>rdr</t>
        </is>
      </c>
      <c r="O68" s="86" t="inlineStr">
        <is>
          <t>yes</t>
        </is>
      </c>
      <c r="P68" s="86" t="inlineStr">
        <is>
          <t>mixed</t>
        </is>
      </c>
      <c r="Q68" s="86" t="inlineStr">
        <is>
          <t>desktop</t>
        </is>
      </c>
      <c r="R68" s="84" t="inlineStr">
        <is>
          <t>multiple</t>
        </is>
      </c>
      <c r="S68" s="84" t="inlineStr">
        <is>
          <t>ikang</t>
        </is>
      </c>
      <c r="T68" s="86" t="inlineStr">
        <is>
          <t>icdr</t>
        </is>
      </c>
      <c r="U68" s="84" t="inlineStr">
        <is>
          <t>PP</t>
        </is>
      </c>
      <c r="V68" s="86" t="inlineStr">
        <is>
          <t>expert panel</t>
        </is>
      </c>
      <c r="W68" s="56" t="inlineStr">
        <is>
          <t>no</t>
        </is>
      </c>
      <c r="X68" s="86" t="inlineStr">
        <is>
          <t>fundus</t>
        </is>
      </c>
      <c r="Y68" s="86" t="inlineStr">
        <is>
          <t>NR</t>
        </is>
      </c>
      <c r="Z68" s="58" t="inlineStr">
        <is>
          <t>yes</t>
        </is>
      </c>
      <c r="AA68" s="58" t="inlineStr">
        <is>
          <t>no</t>
        </is>
      </c>
      <c r="AB68" s="58" t="inlineStr">
        <is>
          <t>no</t>
        </is>
      </c>
      <c r="AC68" s="84" t="inlineStr">
        <is>
          <t>yes</t>
        </is>
      </c>
      <c r="AD68" s="86" t="inlineStr">
        <is>
          <t>NR</t>
        </is>
      </c>
      <c r="AE68" s="86" t="inlineStr">
        <is>
          <t>mixed</t>
        </is>
      </c>
      <c r="AF68" s="56" t="inlineStr">
        <is>
          <t>high</t>
        </is>
      </c>
      <c r="AG68" s="56" t="inlineStr">
        <is>
          <t>high</t>
        </is>
      </c>
      <c r="AH68" s="86" t="n">
        <v>500</v>
      </c>
      <c r="AI68" s="86" t="n">
        <v>0.5</v>
      </c>
      <c r="AJ68" s="86" t="n">
        <v>250</v>
      </c>
      <c r="AK68" s="86" t="n">
        <v>250</v>
      </c>
      <c r="AL68" s="86" t="n">
        <v>0.788</v>
      </c>
      <c r="AM68" s="86" t="n">
        <v>0.9</v>
      </c>
      <c r="AN68" s="86" t="n">
        <v>197</v>
      </c>
      <c r="AO68" s="86" t="n">
        <v>53</v>
      </c>
      <c r="AP68" s="86" t="n">
        <v>225</v>
      </c>
      <c r="AQ68" s="86" t="n">
        <v>25</v>
      </c>
    </row>
    <row r="69" ht="16" customHeight="1" s="55">
      <c r="A69" s="88" t="inlineStr">
        <is>
          <t>Li et al. 2024b</t>
        </is>
      </c>
      <c r="B69" s="86" t="inlineStr">
        <is>
          <t>Reader</t>
        </is>
      </c>
      <c r="C69" s="86" t="inlineStr">
        <is>
          <t>PCP5 senior (standard urban, round1)</t>
        </is>
      </c>
      <c r="D69" s="84" t="inlineStr">
        <is>
          <t>physician</t>
        </is>
      </c>
      <c r="E69" s="84" t="inlineStr">
        <is>
          <t>human_only</t>
        </is>
      </c>
      <c r="F69" s="86" t="inlineStr">
        <is>
          <t>original</t>
        </is>
      </c>
      <c r="G69" s="86" t="inlineStr">
        <is>
          <t>retrospective</t>
        </is>
      </c>
      <c r="H69" s="84" t="inlineStr">
        <is>
          <t>cross-sectional</t>
        </is>
      </c>
      <c r="I69" s="84" t="inlineStr">
        <is>
          <t>yes</t>
        </is>
      </c>
      <c r="J69" s="84" t="inlineStr">
        <is>
          <t>health examination centers</t>
        </is>
      </c>
      <c r="K69" s="86" t="inlineStr">
        <is>
          <t>middle</t>
        </is>
      </c>
      <c r="L69" s="86" t="inlineStr">
        <is>
          <t>primary</t>
        </is>
      </c>
      <c r="M69" s="86" t="inlineStr">
        <is>
          <t>yes</t>
        </is>
      </c>
      <c r="N69" s="86" t="inlineStr">
        <is>
          <t>rdr</t>
        </is>
      </c>
      <c r="O69" s="86" t="inlineStr">
        <is>
          <t>yes</t>
        </is>
      </c>
      <c r="P69" s="86" t="inlineStr">
        <is>
          <t>mixed</t>
        </is>
      </c>
      <c r="Q69" s="86" t="inlineStr">
        <is>
          <t>desktop</t>
        </is>
      </c>
      <c r="R69" s="84" t="inlineStr">
        <is>
          <t>multiple</t>
        </is>
      </c>
      <c r="S69" s="84" t="inlineStr">
        <is>
          <t>ikang</t>
        </is>
      </c>
      <c r="T69" s="86" t="inlineStr">
        <is>
          <t>icdr</t>
        </is>
      </c>
      <c r="U69" s="84" t="inlineStr">
        <is>
          <t>PP</t>
        </is>
      </c>
      <c r="V69" s="86" t="inlineStr">
        <is>
          <t>expert panel</t>
        </is>
      </c>
      <c r="W69" s="56" t="inlineStr">
        <is>
          <t>no</t>
        </is>
      </c>
      <c r="X69" s="86" t="inlineStr">
        <is>
          <t>fundus</t>
        </is>
      </c>
      <c r="Y69" s="86" t="inlineStr">
        <is>
          <t>NR</t>
        </is>
      </c>
      <c r="Z69" s="58" t="inlineStr">
        <is>
          <t>yes</t>
        </is>
      </c>
      <c r="AA69" s="58" t="inlineStr">
        <is>
          <t>no</t>
        </is>
      </c>
      <c r="AB69" s="58" t="inlineStr">
        <is>
          <t>no</t>
        </is>
      </c>
      <c r="AC69" s="84" t="inlineStr">
        <is>
          <t>yes</t>
        </is>
      </c>
      <c r="AD69" s="86" t="inlineStr">
        <is>
          <t>NR</t>
        </is>
      </c>
      <c r="AE69" s="86" t="inlineStr">
        <is>
          <t>mixed</t>
        </is>
      </c>
      <c r="AF69" s="56" t="inlineStr">
        <is>
          <t>high</t>
        </is>
      </c>
      <c r="AG69" s="56" t="inlineStr">
        <is>
          <t>high</t>
        </is>
      </c>
      <c r="AH69" s="86" t="n">
        <v>500</v>
      </c>
      <c r="AI69" s="86" t="n">
        <v>0.5</v>
      </c>
      <c r="AJ69" s="86" t="n">
        <v>250</v>
      </c>
      <c r="AK69" s="86" t="n">
        <v>250</v>
      </c>
      <c r="AL69" s="86" t="n">
        <v>0.792</v>
      </c>
      <c r="AM69" s="86" t="n">
        <v>0.9360000000000001</v>
      </c>
      <c r="AN69" s="86" t="n">
        <v>198</v>
      </c>
      <c r="AO69" s="86" t="n">
        <v>52</v>
      </c>
      <c r="AP69" s="86" t="n">
        <v>234</v>
      </c>
      <c r="AQ69" s="86" t="n">
        <v>16</v>
      </c>
    </row>
    <row r="70" ht="16" customHeight="1" s="55">
      <c r="A70" s="88" t="inlineStr">
        <is>
          <t>Li et al. 2024b</t>
        </is>
      </c>
      <c r="B70" s="86" t="inlineStr">
        <is>
          <t>Reader</t>
        </is>
      </c>
      <c r="C70" s="86" t="inlineStr">
        <is>
          <t>PCP6 senior (standard urban, round1)</t>
        </is>
      </c>
      <c r="D70" s="84" t="inlineStr">
        <is>
          <t>physician</t>
        </is>
      </c>
      <c r="E70" s="84" t="inlineStr">
        <is>
          <t>human_only</t>
        </is>
      </c>
      <c r="F70" s="86" t="inlineStr">
        <is>
          <t>original</t>
        </is>
      </c>
      <c r="G70" s="86" t="inlineStr">
        <is>
          <t>retrospective</t>
        </is>
      </c>
      <c r="H70" s="84" t="inlineStr">
        <is>
          <t>cross-sectional</t>
        </is>
      </c>
      <c r="I70" s="84" t="inlineStr">
        <is>
          <t>yes</t>
        </is>
      </c>
      <c r="J70" s="84" t="inlineStr">
        <is>
          <t>health examination centers</t>
        </is>
      </c>
      <c r="K70" s="86" t="inlineStr">
        <is>
          <t>middle</t>
        </is>
      </c>
      <c r="L70" s="86" t="inlineStr">
        <is>
          <t>primary</t>
        </is>
      </c>
      <c r="M70" s="86" t="inlineStr">
        <is>
          <t>yes</t>
        </is>
      </c>
      <c r="N70" s="86" t="inlineStr">
        <is>
          <t>rdr</t>
        </is>
      </c>
      <c r="O70" s="86" t="inlineStr">
        <is>
          <t>yes</t>
        </is>
      </c>
      <c r="P70" s="86" t="inlineStr">
        <is>
          <t>mixed</t>
        </is>
      </c>
      <c r="Q70" s="86" t="inlineStr">
        <is>
          <t>desktop</t>
        </is>
      </c>
      <c r="R70" s="84" t="inlineStr">
        <is>
          <t>multiple</t>
        </is>
      </c>
      <c r="S70" s="84" t="inlineStr">
        <is>
          <t>ikang</t>
        </is>
      </c>
      <c r="T70" s="86" t="inlineStr">
        <is>
          <t>icdr</t>
        </is>
      </c>
      <c r="U70" s="84" t="inlineStr">
        <is>
          <t>PP</t>
        </is>
      </c>
      <c r="V70" s="86" t="inlineStr">
        <is>
          <t>expert panel</t>
        </is>
      </c>
      <c r="W70" s="56" t="inlineStr">
        <is>
          <t>no</t>
        </is>
      </c>
      <c r="X70" s="86" t="inlineStr">
        <is>
          <t>fundus</t>
        </is>
      </c>
      <c r="Y70" s="86" t="inlineStr">
        <is>
          <t>NR</t>
        </is>
      </c>
      <c r="Z70" s="58" t="inlineStr">
        <is>
          <t>yes</t>
        </is>
      </c>
      <c r="AA70" s="58" t="inlineStr">
        <is>
          <t>no</t>
        </is>
      </c>
      <c r="AB70" s="58" t="inlineStr">
        <is>
          <t>no</t>
        </is>
      </c>
      <c r="AC70" s="84" t="inlineStr">
        <is>
          <t>yes</t>
        </is>
      </c>
      <c r="AD70" s="86" t="inlineStr">
        <is>
          <t>NR</t>
        </is>
      </c>
      <c r="AE70" s="86" t="inlineStr">
        <is>
          <t>mixed</t>
        </is>
      </c>
      <c r="AF70" s="56" t="inlineStr">
        <is>
          <t>high</t>
        </is>
      </c>
      <c r="AG70" s="56" t="inlineStr">
        <is>
          <t>high</t>
        </is>
      </c>
      <c r="AH70" s="86" t="n">
        <v>500</v>
      </c>
      <c r="AI70" s="86" t="n">
        <v>0.5</v>
      </c>
      <c r="AJ70" s="86" t="n">
        <v>250</v>
      </c>
      <c r="AK70" s="86" t="n">
        <v>250</v>
      </c>
      <c r="AL70" s="86" t="n">
        <v>0.8159999999999999</v>
      </c>
      <c r="AM70" s="86" t="n">
        <v>0.9360000000000001</v>
      </c>
      <c r="AN70" s="86" t="n">
        <v>204</v>
      </c>
      <c r="AO70" s="86" t="n">
        <v>46</v>
      </c>
      <c r="AP70" s="86" t="n">
        <v>234</v>
      </c>
      <c r="AQ70" s="86" t="n">
        <v>16</v>
      </c>
    </row>
    <row r="71" ht="16" customHeight="1" s="55">
      <c r="A71" s="88" t="inlineStr">
        <is>
          <t>Li et al. 2024b</t>
        </is>
      </c>
      <c r="B71" s="86" t="inlineStr">
        <is>
          <t>Reader</t>
        </is>
      </c>
      <c r="C71" s="86" t="inlineStr">
        <is>
          <t>PCP7 junior (standard rural, round1)</t>
        </is>
      </c>
      <c r="D71" s="84" t="inlineStr">
        <is>
          <t>physician</t>
        </is>
      </c>
      <c r="E71" s="84" t="inlineStr">
        <is>
          <t>human_only</t>
        </is>
      </c>
      <c r="F71" s="86" t="inlineStr">
        <is>
          <t>original</t>
        </is>
      </c>
      <c r="G71" s="86" t="inlineStr">
        <is>
          <t>retrospective</t>
        </is>
      </c>
      <c r="H71" s="84" t="inlineStr">
        <is>
          <t>cross-sectional</t>
        </is>
      </c>
      <c r="I71" s="84" t="inlineStr">
        <is>
          <t>yes</t>
        </is>
      </c>
      <c r="J71" s="84" t="inlineStr">
        <is>
          <t>health examination centers</t>
        </is>
      </c>
      <c r="K71" s="86" t="inlineStr">
        <is>
          <t>middle</t>
        </is>
      </c>
      <c r="L71" s="86" t="inlineStr">
        <is>
          <t>primary</t>
        </is>
      </c>
      <c r="M71" s="86" t="inlineStr">
        <is>
          <t>yes</t>
        </is>
      </c>
      <c r="N71" s="86" t="inlineStr">
        <is>
          <t>rdr</t>
        </is>
      </c>
      <c r="O71" s="86" t="inlineStr">
        <is>
          <t>yes</t>
        </is>
      </c>
      <c r="P71" s="86" t="inlineStr">
        <is>
          <t>mixed</t>
        </is>
      </c>
      <c r="Q71" s="86" t="inlineStr">
        <is>
          <t>desktop</t>
        </is>
      </c>
      <c r="R71" s="84" t="inlineStr">
        <is>
          <t>multiple</t>
        </is>
      </c>
      <c r="S71" s="84" t="inlineStr">
        <is>
          <t>ikang</t>
        </is>
      </c>
      <c r="T71" s="86" t="inlineStr">
        <is>
          <t>icdr</t>
        </is>
      </c>
      <c r="U71" s="84" t="inlineStr">
        <is>
          <t>PP</t>
        </is>
      </c>
      <c r="V71" s="86" t="inlineStr">
        <is>
          <t>expert panel</t>
        </is>
      </c>
      <c r="W71" s="56" t="inlineStr">
        <is>
          <t>no</t>
        </is>
      </c>
      <c r="X71" s="86" t="inlineStr">
        <is>
          <t>fundus</t>
        </is>
      </c>
      <c r="Y71" s="86" t="inlineStr">
        <is>
          <t>NR</t>
        </is>
      </c>
      <c r="Z71" s="58" t="inlineStr">
        <is>
          <t>yes</t>
        </is>
      </c>
      <c r="AA71" s="58" t="inlineStr">
        <is>
          <t>no</t>
        </is>
      </c>
      <c r="AB71" s="58" t="inlineStr">
        <is>
          <t>no</t>
        </is>
      </c>
      <c r="AC71" s="84" t="inlineStr">
        <is>
          <t>yes</t>
        </is>
      </c>
      <c r="AD71" s="86" t="inlineStr">
        <is>
          <t>NR</t>
        </is>
      </c>
      <c r="AE71" s="86" t="inlineStr">
        <is>
          <t>mixed</t>
        </is>
      </c>
      <c r="AF71" s="56" t="inlineStr">
        <is>
          <t>high</t>
        </is>
      </c>
      <c r="AG71" s="56" t="inlineStr">
        <is>
          <t>high</t>
        </is>
      </c>
      <c r="AH71" s="86" t="n">
        <v>500</v>
      </c>
      <c r="AI71" s="86" t="n">
        <v>0.5</v>
      </c>
      <c r="AJ71" s="86" t="n">
        <v>250</v>
      </c>
      <c r="AK71" s="86" t="n">
        <v>250</v>
      </c>
      <c r="AL71" s="86" t="n">
        <v>0.464</v>
      </c>
      <c r="AM71" s="86" t="n">
        <v>0.96</v>
      </c>
      <c r="AN71" s="86" t="n">
        <v>116</v>
      </c>
      <c r="AO71" s="86" t="n">
        <v>134</v>
      </c>
      <c r="AP71" s="86" t="n">
        <v>240</v>
      </c>
      <c r="AQ71" s="86" t="n">
        <v>10</v>
      </c>
    </row>
    <row r="72" ht="16" customHeight="1" s="55">
      <c r="A72" s="88" t="inlineStr">
        <is>
          <t>Li et al. 2024b</t>
        </is>
      </c>
      <c r="B72" s="86" t="inlineStr">
        <is>
          <t>Reader</t>
        </is>
      </c>
      <c r="C72" s="86" t="inlineStr">
        <is>
          <t>PCP8 junior (standard rural, round1)</t>
        </is>
      </c>
      <c r="D72" s="84" t="inlineStr">
        <is>
          <t>physician</t>
        </is>
      </c>
      <c r="E72" s="84" t="inlineStr">
        <is>
          <t>human_only</t>
        </is>
      </c>
      <c r="F72" s="86" t="inlineStr">
        <is>
          <t>original</t>
        </is>
      </c>
      <c r="G72" s="86" t="inlineStr">
        <is>
          <t>retrospective</t>
        </is>
      </c>
      <c r="H72" s="84" t="inlineStr">
        <is>
          <t>cross-sectional</t>
        </is>
      </c>
      <c r="I72" s="84" t="inlineStr">
        <is>
          <t>yes</t>
        </is>
      </c>
      <c r="J72" s="84" t="inlineStr">
        <is>
          <t>health examination centers</t>
        </is>
      </c>
      <c r="K72" s="86" t="inlineStr">
        <is>
          <t>middle</t>
        </is>
      </c>
      <c r="L72" s="86" t="inlineStr">
        <is>
          <t>primary</t>
        </is>
      </c>
      <c r="M72" s="86" t="inlineStr">
        <is>
          <t>yes</t>
        </is>
      </c>
      <c r="N72" s="86" t="inlineStr">
        <is>
          <t>rdr</t>
        </is>
      </c>
      <c r="O72" s="86" t="inlineStr">
        <is>
          <t>yes</t>
        </is>
      </c>
      <c r="P72" s="86" t="inlineStr">
        <is>
          <t>mixed</t>
        </is>
      </c>
      <c r="Q72" s="86" t="inlineStr">
        <is>
          <t>desktop</t>
        </is>
      </c>
      <c r="R72" s="84" t="inlineStr">
        <is>
          <t>multiple</t>
        </is>
      </c>
      <c r="S72" s="84" t="inlineStr">
        <is>
          <t>ikang</t>
        </is>
      </c>
      <c r="T72" s="86" t="inlineStr">
        <is>
          <t>icdr</t>
        </is>
      </c>
      <c r="U72" s="84" t="inlineStr">
        <is>
          <t>PP</t>
        </is>
      </c>
      <c r="V72" s="86" t="inlineStr">
        <is>
          <t>expert panel</t>
        </is>
      </c>
      <c r="W72" s="56" t="inlineStr">
        <is>
          <t>no</t>
        </is>
      </c>
      <c r="X72" s="86" t="inlineStr">
        <is>
          <t>fundus</t>
        </is>
      </c>
      <c r="Y72" s="86" t="inlineStr">
        <is>
          <t>NR</t>
        </is>
      </c>
      <c r="Z72" s="58" t="inlineStr">
        <is>
          <t>yes</t>
        </is>
      </c>
      <c r="AA72" s="58" t="inlineStr">
        <is>
          <t>no</t>
        </is>
      </c>
      <c r="AB72" s="58" t="inlineStr">
        <is>
          <t>no</t>
        </is>
      </c>
      <c r="AC72" s="84" t="inlineStr">
        <is>
          <t>yes</t>
        </is>
      </c>
      <c r="AD72" s="86" t="inlineStr">
        <is>
          <t>NR</t>
        </is>
      </c>
      <c r="AE72" s="86" t="inlineStr">
        <is>
          <t>mixed</t>
        </is>
      </c>
      <c r="AF72" s="56" t="inlineStr">
        <is>
          <t>high</t>
        </is>
      </c>
      <c r="AG72" s="56" t="inlineStr">
        <is>
          <t>high</t>
        </is>
      </c>
      <c r="AH72" s="86" t="n">
        <v>500</v>
      </c>
      <c r="AI72" s="86" t="n">
        <v>0.5</v>
      </c>
      <c r="AJ72" s="86" t="n">
        <v>250</v>
      </c>
      <c r="AK72" s="86" t="n">
        <v>250</v>
      </c>
      <c r="AL72" s="86" t="n">
        <v>0.52</v>
      </c>
      <c r="AM72" s="86" t="n">
        <v>0.964</v>
      </c>
      <c r="AN72" s="86" t="n">
        <v>130</v>
      </c>
      <c r="AO72" s="86" t="n">
        <v>120</v>
      </c>
      <c r="AP72" s="86" t="n">
        <v>241</v>
      </c>
      <c r="AQ72" s="86" t="n">
        <v>9</v>
      </c>
    </row>
    <row r="73" ht="16" customHeight="1" s="55">
      <c r="A73" s="88" t="inlineStr">
        <is>
          <t>Li et al. 2024b</t>
        </is>
      </c>
      <c r="B73" s="86" t="inlineStr">
        <is>
          <t>Reader</t>
        </is>
      </c>
      <c r="C73" s="86" t="inlineStr">
        <is>
          <t>PCP9 intermediate (standard rural, round1)</t>
        </is>
      </c>
      <c r="D73" s="84" t="inlineStr">
        <is>
          <t>physician</t>
        </is>
      </c>
      <c r="E73" s="84" t="inlineStr">
        <is>
          <t>human_only</t>
        </is>
      </c>
      <c r="F73" s="86" t="inlineStr">
        <is>
          <t>original</t>
        </is>
      </c>
      <c r="G73" s="86" t="inlineStr">
        <is>
          <t>retrospective</t>
        </is>
      </c>
      <c r="H73" s="84" t="inlineStr">
        <is>
          <t>cross-sectional</t>
        </is>
      </c>
      <c r="I73" s="84" t="inlineStr">
        <is>
          <t>yes</t>
        </is>
      </c>
      <c r="J73" s="84" t="inlineStr">
        <is>
          <t>health examination centers</t>
        </is>
      </c>
      <c r="K73" s="86" t="inlineStr">
        <is>
          <t>middle</t>
        </is>
      </c>
      <c r="L73" s="86" t="inlineStr">
        <is>
          <t>primary</t>
        </is>
      </c>
      <c r="M73" s="86" t="inlineStr">
        <is>
          <t>yes</t>
        </is>
      </c>
      <c r="N73" s="86" t="inlineStr">
        <is>
          <t>rdr</t>
        </is>
      </c>
      <c r="O73" s="86" t="inlineStr">
        <is>
          <t>yes</t>
        </is>
      </c>
      <c r="P73" s="86" t="inlineStr">
        <is>
          <t>mixed</t>
        </is>
      </c>
      <c r="Q73" s="86" t="inlineStr">
        <is>
          <t>desktop</t>
        </is>
      </c>
      <c r="R73" s="84" t="inlineStr">
        <is>
          <t>multiple</t>
        </is>
      </c>
      <c r="S73" s="84" t="inlineStr">
        <is>
          <t>ikang</t>
        </is>
      </c>
      <c r="T73" s="86" t="inlineStr">
        <is>
          <t>icdr</t>
        </is>
      </c>
      <c r="U73" s="84" t="inlineStr">
        <is>
          <t>PP</t>
        </is>
      </c>
      <c r="V73" s="86" t="inlineStr">
        <is>
          <t>expert panel</t>
        </is>
      </c>
      <c r="W73" s="56" t="inlineStr">
        <is>
          <t>no</t>
        </is>
      </c>
      <c r="X73" s="86" t="inlineStr">
        <is>
          <t>fundus</t>
        </is>
      </c>
      <c r="Y73" s="86" t="inlineStr">
        <is>
          <t>NR</t>
        </is>
      </c>
      <c r="Z73" s="58" t="inlineStr">
        <is>
          <t>yes</t>
        </is>
      </c>
      <c r="AA73" s="58" t="inlineStr">
        <is>
          <t>no</t>
        </is>
      </c>
      <c r="AB73" s="58" t="inlineStr">
        <is>
          <t>no</t>
        </is>
      </c>
      <c r="AC73" s="84" t="inlineStr">
        <is>
          <t>yes</t>
        </is>
      </c>
      <c r="AD73" s="86" t="inlineStr">
        <is>
          <t>NR</t>
        </is>
      </c>
      <c r="AE73" s="86" t="inlineStr">
        <is>
          <t>mixed</t>
        </is>
      </c>
      <c r="AF73" s="56" t="inlineStr">
        <is>
          <t>high</t>
        </is>
      </c>
      <c r="AG73" s="56" t="inlineStr">
        <is>
          <t>high</t>
        </is>
      </c>
      <c r="AH73" s="86" t="n">
        <v>500</v>
      </c>
      <c r="AI73" s="86" t="n">
        <v>0.5</v>
      </c>
      <c r="AJ73" s="86" t="n">
        <v>250</v>
      </c>
      <c r="AK73" s="86" t="n">
        <v>250</v>
      </c>
      <c r="AL73" s="86" t="n">
        <v>0.584</v>
      </c>
      <c r="AM73" s="86" t="n">
        <v>0.972</v>
      </c>
      <c r="AN73" s="86" t="n">
        <v>146</v>
      </c>
      <c r="AO73" s="86" t="n">
        <v>104</v>
      </c>
      <c r="AP73" s="86" t="n">
        <v>243</v>
      </c>
      <c r="AQ73" s="86" t="n">
        <v>7</v>
      </c>
    </row>
    <row r="74" ht="16" customHeight="1" s="55">
      <c r="A74" s="88" t="inlineStr">
        <is>
          <t>Li et al. 2024b</t>
        </is>
      </c>
      <c r="B74" s="86" t="inlineStr">
        <is>
          <t>Reader</t>
        </is>
      </c>
      <c r="C74" s="86" t="inlineStr">
        <is>
          <t>PCP10 intermediate (standard rural, round1)</t>
        </is>
      </c>
      <c r="D74" s="84" t="inlineStr">
        <is>
          <t>physician</t>
        </is>
      </c>
      <c r="E74" s="84" t="inlineStr">
        <is>
          <t>human_only</t>
        </is>
      </c>
      <c r="F74" s="86" t="inlineStr">
        <is>
          <t>original</t>
        </is>
      </c>
      <c r="G74" s="86" t="inlineStr">
        <is>
          <t>retrospective</t>
        </is>
      </c>
      <c r="H74" s="84" t="inlineStr">
        <is>
          <t>cross-sectional</t>
        </is>
      </c>
      <c r="I74" s="84" t="inlineStr">
        <is>
          <t>yes</t>
        </is>
      </c>
      <c r="J74" s="84" t="inlineStr">
        <is>
          <t>health examination centers</t>
        </is>
      </c>
      <c r="K74" s="86" t="inlineStr">
        <is>
          <t>middle</t>
        </is>
      </c>
      <c r="L74" s="86" t="inlineStr">
        <is>
          <t>primary</t>
        </is>
      </c>
      <c r="M74" s="86" t="inlineStr">
        <is>
          <t>yes</t>
        </is>
      </c>
      <c r="N74" s="86" t="inlineStr">
        <is>
          <t>rdr</t>
        </is>
      </c>
      <c r="O74" s="86" t="inlineStr">
        <is>
          <t>yes</t>
        </is>
      </c>
      <c r="P74" s="86" t="inlineStr">
        <is>
          <t>mixed</t>
        </is>
      </c>
      <c r="Q74" s="86" t="inlineStr">
        <is>
          <t>desktop</t>
        </is>
      </c>
      <c r="R74" s="84" t="inlineStr">
        <is>
          <t>multiple</t>
        </is>
      </c>
      <c r="S74" s="84" t="inlineStr">
        <is>
          <t>ikang</t>
        </is>
      </c>
      <c r="T74" s="86" t="inlineStr">
        <is>
          <t>icdr</t>
        </is>
      </c>
      <c r="U74" s="84" t="inlineStr">
        <is>
          <t>PP</t>
        </is>
      </c>
      <c r="V74" s="86" t="inlineStr">
        <is>
          <t>expert panel</t>
        </is>
      </c>
      <c r="W74" s="56" t="inlineStr">
        <is>
          <t>no</t>
        </is>
      </c>
      <c r="X74" s="86" t="inlineStr">
        <is>
          <t>fundus</t>
        </is>
      </c>
      <c r="Y74" s="86" t="inlineStr">
        <is>
          <t>NR</t>
        </is>
      </c>
      <c r="Z74" s="58" t="inlineStr">
        <is>
          <t>yes</t>
        </is>
      </c>
      <c r="AA74" s="58" t="inlineStr">
        <is>
          <t>no</t>
        </is>
      </c>
      <c r="AB74" s="58" t="inlineStr">
        <is>
          <t>no</t>
        </is>
      </c>
      <c r="AC74" s="84" t="inlineStr">
        <is>
          <t>yes</t>
        </is>
      </c>
      <c r="AD74" s="86" t="inlineStr">
        <is>
          <t>NR</t>
        </is>
      </c>
      <c r="AE74" s="86" t="inlineStr">
        <is>
          <t>mixed</t>
        </is>
      </c>
      <c r="AF74" s="56" t="inlineStr">
        <is>
          <t>high</t>
        </is>
      </c>
      <c r="AG74" s="56" t="inlineStr">
        <is>
          <t>high</t>
        </is>
      </c>
      <c r="AH74" s="86" t="n">
        <v>500</v>
      </c>
      <c r="AI74" s="86" t="n">
        <v>0.5</v>
      </c>
      <c r="AJ74" s="86" t="n">
        <v>250</v>
      </c>
      <c r="AK74" s="86" t="n">
        <v>250</v>
      </c>
      <c r="AL74" s="86" t="n">
        <v>0.544</v>
      </c>
      <c r="AM74" s="86" t="n">
        <v>0.996</v>
      </c>
      <c r="AN74" s="86" t="n">
        <v>136</v>
      </c>
      <c r="AO74" s="86" t="n">
        <v>114</v>
      </c>
      <c r="AP74" s="86" t="n">
        <v>249</v>
      </c>
      <c r="AQ74" s="86" t="n">
        <v>1</v>
      </c>
    </row>
    <row r="75" ht="16" customHeight="1" s="55">
      <c r="A75" s="88" t="inlineStr">
        <is>
          <t>Li et al. 2024b</t>
        </is>
      </c>
      <c r="B75" s="86" t="inlineStr">
        <is>
          <t>Reader</t>
        </is>
      </c>
      <c r="C75" s="86" t="inlineStr">
        <is>
          <t>PCP11 senior (standard rural, round1)</t>
        </is>
      </c>
      <c r="D75" s="84" t="inlineStr">
        <is>
          <t>physician</t>
        </is>
      </c>
      <c r="E75" s="84" t="inlineStr">
        <is>
          <t>human_only</t>
        </is>
      </c>
      <c r="F75" s="86" t="inlineStr">
        <is>
          <t>original</t>
        </is>
      </c>
      <c r="G75" s="86" t="inlineStr">
        <is>
          <t>retrospective</t>
        </is>
      </c>
      <c r="H75" s="84" t="inlineStr">
        <is>
          <t>cross-sectional</t>
        </is>
      </c>
      <c r="I75" s="84" t="inlineStr">
        <is>
          <t>yes</t>
        </is>
      </c>
      <c r="J75" s="84" t="inlineStr">
        <is>
          <t>health examination centers</t>
        </is>
      </c>
      <c r="K75" s="86" t="inlineStr">
        <is>
          <t>middle</t>
        </is>
      </c>
      <c r="L75" s="86" t="inlineStr">
        <is>
          <t>primary</t>
        </is>
      </c>
      <c r="M75" s="86" t="inlineStr">
        <is>
          <t>yes</t>
        </is>
      </c>
      <c r="N75" s="86" t="inlineStr">
        <is>
          <t>rdr</t>
        </is>
      </c>
      <c r="O75" s="86" t="inlineStr">
        <is>
          <t>yes</t>
        </is>
      </c>
      <c r="P75" s="86" t="inlineStr">
        <is>
          <t>mixed</t>
        </is>
      </c>
      <c r="Q75" s="86" t="inlineStr">
        <is>
          <t>desktop</t>
        </is>
      </c>
      <c r="R75" s="84" t="inlineStr">
        <is>
          <t>multiple</t>
        </is>
      </c>
      <c r="S75" s="84" t="inlineStr">
        <is>
          <t>ikang</t>
        </is>
      </c>
      <c r="T75" s="86" t="inlineStr">
        <is>
          <t>icdr</t>
        </is>
      </c>
      <c r="U75" s="84" t="inlineStr">
        <is>
          <t>PP</t>
        </is>
      </c>
      <c r="V75" s="86" t="inlineStr">
        <is>
          <t>expert panel</t>
        </is>
      </c>
      <c r="W75" s="56" t="inlineStr">
        <is>
          <t>no</t>
        </is>
      </c>
      <c r="X75" s="86" t="inlineStr">
        <is>
          <t>fundus</t>
        </is>
      </c>
      <c r="Y75" s="86" t="inlineStr">
        <is>
          <t>NR</t>
        </is>
      </c>
      <c r="Z75" s="58" t="inlineStr">
        <is>
          <t>yes</t>
        </is>
      </c>
      <c r="AA75" s="58" t="inlineStr">
        <is>
          <t>no</t>
        </is>
      </c>
      <c r="AB75" s="58" t="inlineStr">
        <is>
          <t>no</t>
        </is>
      </c>
      <c r="AC75" s="84" t="inlineStr">
        <is>
          <t>yes</t>
        </is>
      </c>
      <c r="AD75" s="86" t="inlineStr">
        <is>
          <t>NR</t>
        </is>
      </c>
      <c r="AE75" s="86" t="inlineStr">
        <is>
          <t>mixed</t>
        </is>
      </c>
      <c r="AF75" s="56" t="inlineStr">
        <is>
          <t>high</t>
        </is>
      </c>
      <c r="AG75" s="56" t="inlineStr">
        <is>
          <t>high</t>
        </is>
      </c>
      <c r="AH75" s="86" t="n">
        <v>500</v>
      </c>
      <c r="AI75" s="86" t="n">
        <v>0.5</v>
      </c>
      <c r="AJ75" s="86" t="n">
        <v>250</v>
      </c>
      <c r="AK75" s="86" t="n">
        <v>250</v>
      </c>
      <c r="AL75" s="86" t="n">
        <v>0.672</v>
      </c>
      <c r="AM75" s="86" t="n">
        <v>0.972</v>
      </c>
      <c r="AN75" s="86" t="n">
        <v>168</v>
      </c>
      <c r="AO75" s="86" t="n">
        <v>82</v>
      </c>
      <c r="AP75" s="86" t="n">
        <v>243</v>
      </c>
      <c r="AQ75" s="86" t="n">
        <v>7</v>
      </c>
    </row>
    <row r="76" ht="16" customHeight="1" s="55">
      <c r="A76" s="88" t="inlineStr">
        <is>
          <t>Li et al. 2024b</t>
        </is>
      </c>
      <c r="B76" s="86" t="inlineStr">
        <is>
          <t>Reader</t>
        </is>
      </c>
      <c r="C76" s="86" t="inlineStr">
        <is>
          <t>PCP12 senior (standard rural, round1)</t>
        </is>
      </c>
      <c r="D76" s="84" t="inlineStr">
        <is>
          <t>physician</t>
        </is>
      </c>
      <c r="E76" s="84" t="inlineStr">
        <is>
          <t>human_only</t>
        </is>
      </c>
      <c r="F76" s="86" t="inlineStr">
        <is>
          <t>original</t>
        </is>
      </c>
      <c r="G76" s="86" t="inlineStr">
        <is>
          <t>retrospective</t>
        </is>
      </c>
      <c r="H76" s="84" t="inlineStr">
        <is>
          <t>cross-sectional</t>
        </is>
      </c>
      <c r="I76" s="84" t="inlineStr">
        <is>
          <t>yes</t>
        </is>
      </c>
      <c r="J76" s="84" t="inlineStr">
        <is>
          <t>health examination centers</t>
        </is>
      </c>
      <c r="K76" s="86" t="inlineStr">
        <is>
          <t>middle</t>
        </is>
      </c>
      <c r="L76" s="86" t="inlineStr">
        <is>
          <t>primary</t>
        </is>
      </c>
      <c r="M76" s="86" t="inlineStr">
        <is>
          <t>yes</t>
        </is>
      </c>
      <c r="N76" s="86" t="inlineStr">
        <is>
          <t>rdr</t>
        </is>
      </c>
      <c r="O76" s="86" t="inlineStr">
        <is>
          <t>yes</t>
        </is>
      </c>
      <c r="P76" s="86" t="inlineStr">
        <is>
          <t>mixed</t>
        </is>
      </c>
      <c r="Q76" s="86" t="inlineStr">
        <is>
          <t>desktop</t>
        </is>
      </c>
      <c r="R76" s="84" t="inlineStr">
        <is>
          <t>multiple</t>
        </is>
      </c>
      <c r="S76" s="84" t="inlineStr">
        <is>
          <t>ikang</t>
        </is>
      </c>
      <c r="T76" s="86" t="inlineStr">
        <is>
          <t>icdr</t>
        </is>
      </c>
      <c r="U76" s="84" t="inlineStr">
        <is>
          <t>PP</t>
        </is>
      </c>
      <c r="V76" s="86" t="inlineStr">
        <is>
          <t>expert panel</t>
        </is>
      </c>
      <c r="W76" s="56" t="inlineStr">
        <is>
          <t>no</t>
        </is>
      </c>
      <c r="X76" s="86" t="inlineStr">
        <is>
          <t>fundus</t>
        </is>
      </c>
      <c r="Y76" s="86" t="inlineStr">
        <is>
          <t>NR</t>
        </is>
      </c>
      <c r="Z76" s="58" t="inlineStr">
        <is>
          <t>yes</t>
        </is>
      </c>
      <c r="AA76" s="58" t="inlineStr">
        <is>
          <t>no</t>
        </is>
      </c>
      <c r="AB76" s="58" t="inlineStr">
        <is>
          <t>no</t>
        </is>
      </c>
      <c r="AC76" s="84" t="inlineStr">
        <is>
          <t>yes</t>
        </is>
      </c>
      <c r="AD76" s="86" t="inlineStr">
        <is>
          <t>NR</t>
        </is>
      </c>
      <c r="AE76" s="86" t="inlineStr">
        <is>
          <t>mixed</t>
        </is>
      </c>
      <c r="AF76" s="56" t="inlineStr">
        <is>
          <t>high</t>
        </is>
      </c>
      <c r="AG76" s="56" t="inlineStr">
        <is>
          <t>high</t>
        </is>
      </c>
      <c r="AH76" s="86" t="n">
        <v>500</v>
      </c>
      <c r="AI76" s="86" t="n">
        <v>0.5</v>
      </c>
      <c r="AJ76" s="86" t="n">
        <v>250</v>
      </c>
      <c r="AK76" s="86" t="n">
        <v>250</v>
      </c>
      <c r="AL76" s="86" t="n">
        <v>0.764</v>
      </c>
      <c r="AM76" s="86" t="n">
        <v>0.928</v>
      </c>
      <c r="AN76" s="86" t="n">
        <v>191</v>
      </c>
      <c r="AO76" s="86" t="n">
        <v>59</v>
      </c>
      <c r="AP76" s="86" t="n">
        <v>232</v>
      </c>
      <c r="AQ76" s="86" t="n">
        <v>18</v>
      </c>
    </row>
    <row r="77" ht="16" customHeight="1" s="55">
      <c r="A77" s="88" t="inlineStr">
        <is>
          <t>Li et al. 2024b</t>
        </is>
      </c>
      <c r="B77" s="86" t="inlineStr">
        <is>
          <t>DL_assisted_reader</t>
        </is>
      </c>
      <c r="C77" s="86" t="inlineStr">
        <is>
          <t>PCP1 junior (standard urban, round2 + DeepDR)</t>
        </is>
      </c>
      <c r="D77" s="84" t="inlineStr">
        <is>
          <t>physician</t>
        </is>
      </c>
      <c r="E77" s="84" t="inlineStr">
        <is>
          <t>human_with_ai</t>
        </is>
      </c>
      <c r="F77" s="86" t="inlineStr">
        <is>
          <t>original</t>
        </is>
      </c>
      <c r="G77" s="86" t="inlineStr">
        <is>
          <t>retrospective</t>
        </is>
      </c>
      <c r="H77" s="84" t="inlineStr">
        <is>
          <t>cross-sectional</t>
        </is>
      </c>
      <c r="I77" s="84" t="inlineStr">
        <is>
          <t>yes</t>
        </is>
      </c>
      <c r="J77" s="84" t="inlineStr">
        <is>
          <t>health examination centers</t>
        </is>
      </c>
      <c r="K77" s="86" t="inlineStr">
        <is>
          <t>middle</t>
        </is>
      </c>
      <c r="L77" s="86" t="inlineStr">
        <is>
          <t>primary</t>
        </is>
      </c>
      <c r="M77" s="86" t="inlineStr">
        <is>
          <t>yes</t>
        </is>
      </c>
      <c r="N77" s="86" t="inlineStr">
        <is>
          <t>rdr</t>
        </is>
      </c>
      <c r="O77" s="86" t="inlineStr">
        <is>
          <t>yes</t>
        </is>
      </c>
      <c r="P77" s="86" t="inlineStr">
        <is>
          <t>mixed</t>
        </is>
      </c>
      <c r="Q77" s="86" t="inlineStr">
        <is>
          <t>desktop</t>
        </is>
      </c>
      <c r="R77" s="84" t="inlineStr">
        <is>
          <t>multiple</t>
        </is>
      </c>
      <c r="S77" s="84" t="inlineStr">
        <is>
          <t>ikang</t>
        </is>
      </c>
      <c r="T77" s="86" t="inlineStr">
        <is>
          <t>icdr</t>
        </is>
      </c>
      <c r="U77" s="84" t="inlineStr">
        <is>
          <t>PP</t>
        </is>
      </c>
      <c r="V77" s="86" t="inlineStr">
        <is>
          <t>expert panel</t>
        </is>
      </c>
      <c r="W77" s="56" t="inlineStr">
        <is>
          <t>no</t>
        </is>
      </c>
      <c r="X77" s="86" t="inlineStr">
        <is>
          <t>fundus</t>
        </is>
      </c>
      <c r="Y77" s="86" t="inlineStr">
        <is>
          <t>NR</t>
        </is>
      </c>
      <c r="Z77" s="58" t="inlineStr">
        <is>
          <t>yes</t>
        </is>
      </c>
      <c r="AA77" s="58" t="inlineStr">
        <is>
          <t>no</t>
        </is>
      </c>
      <c r="AB77" s="58" t="inlineStr">
        <is>
          <t>no</t>
        </is>
      </c>
      <c r="AC77" s="84" t="inlineStr">
        <is>
          <t>yes</t>
        </is>
      </c>
      <c r="AD77" s="58" t="inlineStr">
        <is>
          <t>ResNet</t>
        </is>
      </c>
      <c r="AE77" s="86" t="inlineStr">
        <is>
          <t>mixed</t>
        </is>
      </c>
      <c r="AF77" s="56" t="inlineStr">
        <is>
          <t>high</t>
        </is>
      </c>
      <c r="AG77" s="56" t="inlineStr">
        <is>
          <t>high</t>
        </is>
      </c>
      <c r="AH77" s="86" t="n">
        <v>500</v>
      </c>
      <c r="AI77" s="86" t="n">
        <v>0.5</v>
      </c>
      <c r="AJ77" s="86" t="n">
        <v>250</v>
      </c>
      <c r="AK77" s="86" t="n">
        <v>250</v>
      </c>
      <c r="AL77" s="86" t="n">
        <v>0.8159999999999999</v>
      </c>
      <c r="AM77" s="86" t="n">
        <v>0.948</v>
      </c>
      <c r="AN77" s="86" t="n">
        <v>204</v>
      </c>
      <c r="AO77" s="86" t="n">
        <v>46</v>
      </c>
      <c r="AP77" s="86" t="n">
        <v>237</v>
      </c>
      <c r="AQ77" s="86" t="n">
        <v>13</v>
      </c>
    </row>
    <row r="78" ht="16" customHeight="1" s="55">
      <c r="A78" s="88" t="inlineStr">
        <is>
          <t>Li et al. 2024b</t>
        </is>
      </c>
      <c r="B78" s="86" t="inlineStr">
        <is>
          <t>DL_assisted_reader</t>
        </is>
      </c>
      <c r="C78" s="86" t="inlineStr">
        <is>
          <t>PCP2 junior (standard urban, round2 + DeepDR)</t>
        </is>
      </c>
      <c r="D78" s="84" t="inlineStr">
        <is>
          <t>physician</t>
        </is>
      </c>
      <c r="E78" s="84" t="inlineStr">
        <is>
          <t>human_with_ai</t>
        </is>
      </c>
      <c r="F78" s="86" t="inlineStr">
        <is>
          <t>original</t>
        </is>
      </c>
      <c r="G78" s="86" t="inlineStr">
        <is>
          <t>retrospective</t>
        </is>
      </c>
      <c r="H78" s="84" t="inlineStr">
        <is>
          <t>cross-sectional</t>
        </is>
      </c>
      <c r="I78" s="84" t="inlineStr">
        <is>
          <t>yes</t>
        </is>
      </c>
      <c r="J78" s="84" t="inlineStr">
        <is>
          <t>health examination centers</t>
        </is>
      </c>
      <c r="K78" s="86" t="inlineStr">
        <is>
          <t>middle</t>
        </is>
      </c>
      <c r="L78" s="86" t="inlineStr">
        <is>
          <t>primary</t>
        </is>
      </c>
      <c r="M78" s="86" t="inlineStr">
        <is>
          <t>yes</t>
        </is>
      </c>
      <c r="N78" s="86" t="inlineStr">
        <is>
          <t>rdr</t>
        </is>
      </c>
      <c r="O78" s="86" t="inlineStr">
        <is>
          <t>yes</t>
        </is>
      </c>
      <c r="P78" s="86" t="inlineStr">
        <is>
          <t>mixed</t>
        </is>
      </c>
      <c r="Q78" s="86" t="inlineStr">
        <is>
          <t>desktop</t>
        </is>
      </c>
      <c r="R78" s="84" t="inlineStr">
        <is>
          <t>multiple</t>
        </is>
      </c>
      <c r="S78" s="84" t="inlineStr">
        <is>
          <t>ikang</t>
        </is>
      </c>
      <c r="T78" s="86" t="inlineStr">
        <is>
          <t>icdr</t>
        </is>
      </c>
      <c r="U78" s="84" t="inlineStr">
        <is>
          <t>PP</t>
        </is>
      </c>
      <c r="V78" s="86" t="inlineStr">
        <is>
          <t>expert panel</t>
        </is>
      </c>
      <c r="W78" s="56" t="inlineStr">
        <is>
          <t>no</t>
        </is>
      </c>
      <c r="X78" s="86" t="inlineStr">
        <is>
          <t>fundus</t>
        </is>
      </c>
      <c r="Y78" s="86" t="inlineStr">
        <is>
          <t>NR</t>
        </is>
      </c>
      <c r="Z78" s="58" t="inlineStr">
        <is>
          <t>yes</t>
        </is>
      </c>
      <c r="AA78" s="58" t="inlineStr">
        <is>
          <t>no</t>
        </is>
      </c>
      <c r="AB78" s="58" t="inlineStr">
        <is>
          <t>no</t>
        </is>
      </c>
      <c r="AC78" s="84" t="inlineStr">
        <is>
          <t>yes</t>
        </is>
      </c>
      <c r="AD78" s="58" t="inlineStr">
        <is>
          <t>ResNet</t>
        </is>
      </c>
      <c r="AE78" s="86" t="inlineStr">
        <is>
          <t>mixed</t>
        </is>
      </c>
      <c r="AF78" s="56" t="inlineStr">
        <is>
          <t>high</t>
        </is>
      </c>
      <c r="AG78" s="56" t="inlineStr">
        <is>
          <t>high</t>
        </is>
      </c>
      <c r="AH78" s="86" t="n">
        <v>500</v>
      </c>
      <c r="AI78" s="86" t="n">
        <v>0.5</v>
      </c>
      <c r="AJ78" s="86" t="n">
        <v>250</v>
      </c>
      <c r="AK78" s="86" t="n">
        <v>250</v>
      </c>
      <c r="AL78" s="86" t="n">
        <v>0.78</v>
      </c>
      <c r="AM78" s="86" t="n">
        <v>0.972</v>
      </c>
      <c r="AN78" s="86" t="n">
        <v>195</v>
      </c>
      <c r="AO78" s="86" t="n">
        <v>55</v>
      </c>
      <c r="AP78" s="86" t="n">
        <v>243</v>
      </c>
      <c r="AQ78" s="86" t="n">
        <v>7</v>
      </c>
    </row>
    <row r="79" ht="16" customHeight="1" s="55">
      <c r="A79" s="88" t="inlineStr">
        <is>
          <t>Li et al. 2024b</t>
        </is>
      </c>
      <c r="B79" s="86" t="inlineStr">
        <is>
          <t>DL_assisted_reader</t>
        </is>
      </c>
      <c r="C79" s="86" t="inlineStr">
        <is>
          <t>PCP3 intermediate (standard urban, round2 + DeepDR)</t>
        </is>
      </c>
      <c r="D79" s="84" t="inlineStr">
        <is>
          <t>physician</t>
        </is>
      </c>
      <c r="E79" s="84" t="inlineStr">
        <is>
          <t>human_with_ai</t>
        </is>
      </c>
      <c r="F79" s="86" t="inlineStr">
        <is>
          <t>original</t>
        </is>
      </c>
      <c r="G79" s="86" t="inlineStr">
        <is>
          <t>retrospective</t>
        </is>
      </c>
      <c r="H79" s="84" t="inlineStr">
        <is>
          <t>cross-sectional</t>
        </is>
      </c>
      <c r="I79" s="84" t="inlineStr">
        <is>
          <t>yes</t>
        </is>
      </c>
      <c r="J79" s="84" t="inlineStr">
        <is>
          <t>health examination centers</t>
        </is>
      </c>
      <c r="K79" s="86" t="inlineStr">
        <is>
          <t>middle</t>
        </is>
      </c>
      <c r="L79" s="86" t="inlineStr">
        <is>
          <t>primary</t>
        </is>
      </c>
      <c r="M79" s="86" t="inlineStr">
        <is>
          <t>yes</t>
        </is>
      </c>
      <c r="N79" s="86" t="inlineStr">
        <is>
          <t>rdr</t>
        </is>
      </c>
      <c r="O79" s="86" t="inlineStr">
        <is>
          <t>yes</t>
        </is>
      </c>
      <c r="P79" s="86" t="inlineStr">
        <is>
          <t>mixed</t>
        </is>
      </c>
      <c r="Q79" s="86" t="inlineStr">
        <is>
          <t>desktop</t>
        </is>
      </c>
      <c r="R79" s="84" t="inlineStr">
        <is>
          <t>multiple</t>
        </is>
      </c>
      <c r="S79" s="84" t="inlineStr">
        <is>
          <t>ikang</t>
        </is>
      </c>
      <c r="T79" s="86" t="inlineStr">
        <is>
          <t>icdr</t>
        </is>
      </c>
      <c r="U79" s="84" t="inlineStr">
        <is>
          <t>PP</t>
        </is>
      </c>
      <c r="V79" s="86" t="inlineStr">
        <is>
          <t>expert panel</t>
        </is>
      </c>
      <c r="W79" s="56" t="inlineStr">
        <is>
          <t>no</t>
        </is>
      </c>
      <c r="X79" s="86" t="inlineStr">
        <is>
          <t>fundus</t>
        </is>
      </c>
      <c r="Y79" s="86" t="inlineStr">
        <is>
          <t>NR</t>
        </is>
      </c>
      <c r="Z79" s="58" t="inlineStr">
        <is>
          <t>yes</t>
        </is>
      </c>
      <c r="AA79" s="58" t="inlineStr">
        <is>
          <t>no</t>
        </is>
      </c>
      <c r="AB79" s="58" t="inlineStr">
        <is>
          <t>no</t>
        </is>
      </c>
      <c r="AC79" s="84" t="inlineStr">
        <is>
          <t>yes</t>
        </is>
      </c>
      <c r="AD79" s="58" t="inlineStr">
        <is>
          <t>ResNet</t>
        </is>
      </c>
      <c r="AE79" s="86" t="inlineStr">
        <is>
          <t>mixed</t>
        </is>
      </c>
      <c r="AF79" s="56" t="inlineStr">
        <is>
          <t>high</t>
        </is>
      </c>
      <c r="AG79" s="56" t="inlineStr">
        <is>
          <t>high</t>
        </is>
      </c>
      <c r="AH79" s="86" t="n">
        <v>500</v>
      </c>
      <c r="AI79" s="86" t="n">
        <v>0.5</v>
      </c>
      <c r="AJ79" s="86" t="n">
        <v>250</v>
      </c>
      <c r="AK79" s="86" t="n">
        <v>250</v>
      </c>
      <c r="AL79" s="86" t="n">
        <v>0.832</v>
      </c>
      <c r="AM79" s="86" t="n">
        <v>0.904</v>
      </c>
      <c r="AN79" s="86" t="n">
        <v>208</v>
      </c>
      <c r="AO79" s="86" t="n">
        <v>42</v>
      </c>
      <c r="AP79" s="86" t="n">
        <v>226</v>
      </c>
      <c r="AQ79" s="86" t="n">
        <v>24</v>
      </c>
    </row>
    <row r="80" ht="16" customHeight="1" s="55">
      <c r="A80" s="88" t="inlineStr">
        <is>
          <t>Li et al. 2024b</t>
        </is>
      </c>
      <c r="B80" s="86" t="inlineStr">
        <is>
          <t>DL_assisted_reader</t>
        </is>
      </c>
      <c r="C80" s="86" t="inlineStr">
        <is>
          <t>PCP4 intermediate (standard urban, round2 + DeepDR)</t>
        </is>
      </c>
      <c r="D80" s="84" t="inlineStr">
        <is>
          <t>physician</t>
        </is>
      </c>
      <c r="E80" s="84" t="inlineStr">
        <is>
          <t>human_with_ai</t>
        </is>
      </c>
      <c r="F80" s="86" t="inlineStr">
        <is>
          <t>original</t>
        </is>
      </c>
      <c r="G80" s="86" t="inlineStr">
        <is>
          <t>retrospective</t>
        </is>
      </c>
      <c r="H80" s="84" t="inlineStr">
        <is>
          <t>cross-sectional</t>
        </is>
      </c>
      <c r="I80" s="84" t="inlineStr">
        <is>
          <t>yes</t>
        </is>
      </c>
      <c r="J80" s="84" t="inlineStr">
        <is>
          <t>health examination centers</t>
        </is>
      </c>
      <c r="K80" s="86" t="inlineStr">
        <is>
          <t>middle</t>
        </is>
      </c>
      <c r="L80" s="86" t="inlineStr">
        <is>
          <t>primary</t>
        </is>
      </c>
      <c r="M80" s="86" t="inlineStr">
        <is>
          <t>yes</t>
        </is>
      </c>
      <c r="N80" s="86" t="inlineStr">
        <is>
          <t>rdr</t>
        </is>
      </c>
      <c r="O80" s="86" t="inlineStr">
        <is>
          <t>yes</t>
        </is>
      </c>
      <c r="P80" s="86" t="inlineStr">
        <is>
          <t>mixed</t>
        </is>
      </c>
      <c r="Q80" s="86" t="inlineStr">
        <is>
          <t>desktop</t>
        </is>
      </c>
      <c r="R80" s="84" t="inlineStr">
        <is>
          <t>multiple</t>
        </is>
      </c>
      <c r="S80" s="84" t="inlineStr">
        <is>
          <t>ikang</t>
        </is>
      </c>
      <c r="T80" s="86" t="inlineStr">
        <is>
          <t>icdr</t>
        </is>
      </c>
      <c r="U80" s="84" t="inlineStr">
        <is>
          <t>PP</t>
        </is>
      </c>
      <c r="V80" s="86" t="inlineStr">
        <is>
          <t>expert panel</t>
        </is>
      </c>
      <c r="W80" s="56" t="inlineStr">
        <is>
          <t>no</t>
        </is>
      </c>
      <c r="X80" s="86" t="inlineStr">
        <is>
          <t>fundus</t>
        </is>
      </c>
      <c r="Y80" s="86" t="inlineStr">
        <is>
          <t>NR</t>
        </is>
      </c>
      <c r="Z80" s="58" t="inlineStr">
        <is>
          <t>yes</t>
        </is>
      </c>
      <c r="AA80" s="58" t="inlineStr">
        <is>
          <t>no</t>
        </is>
      </c>
      <c r="AB80" s="58" t="inlineStr">
        <is>
          <t>no</t>
        </is>
      </c>
      <c r="AC80" s="84" t="inlineStr">
        <is>
          <t>yes</t>
        </is>
      </c>
      <c r="AD80" s="58" t="inlineStr">
        <is>
          <t>ResNet</t>
        </is>
      </c>
      <c r="AE80" s="86" t="inlineStr">
        <is>
          <t>mixed</t>
        </is>
      </c>
      <c r="AF80" s="56" t="inlineStr">
        <is>
          <t>high</t>
        </is>
      </c>
      <c r="AG80" s="56" t="inlineStr">
        <is>
          <t>high</t>
        </is>
      </c>
      <c r="AH80" s="86" t="n">
        <v>500</v>
      </c>
      <c r="AI80" s="86" t="n">
        <v>0.5</v>
      </c>
      <c r="AJ80" s="86" t="n">
        <v>250</v>
      </c>
      <c r="AK80" s="86" t="n">
        <v>250</v>
      </c>
      <c r="AL80" s="86" t="n">
        <v>0.852</v>
      </c>
      <c r="AM80" s="86" t="n">
        <v>0.9399999999999999</v>
      </c>
      <c r="AN80" s="86" t="n">
        <v>213</v>
      </c>
      <c r="AO80" s="86" t="n">
        <v>37</v>
      </c>
      <c r="AP80" s="86" t="n">
        <v>235</v>
      </c>
      <c r="AQ80" s="86" t="n">
        <v>15</v>
      </c>
    </row>
    <row r="81" ht="16" customHeight="1" s="55">
      <c r="A81" s="88" t="inlineStr">
        <is>
          <t>Li et al. 2024b</t>
        </is>
      </c>
      <c r="B81" s="86" t="inlineStr">
        <is>
          <t>DL_assisted_reader</t>
        </is>
      </c>
      <c r="C81" s="86" t="inlineStr">
        <is>
          <t>PCP5 senior (standard urban, round2 + DeepDR)</t>
        </is>
      </c>
      <c r="D81" s="84" t="inlineStr">
        <is>
          <t>physician</t>
        </is>
      </c>
      <c r="E81" s="84" t="inlineStr">
        <is>
          <t>human_with_ai</t>
        </is>
      </c>
      <c r="F81" s="86" t="inlineStr">
        <is>
          <t>original</t>
        </is>
      </c>
      <c r="G81" s="86" t="inlineStr">
        <is>
          <t>retrospective</t>
        </is>
      </c>
      <c r="H81" s="84" t="inlineStr">
        <is>
          <t>cross-sectional</t>
        </is>
      </c>
      <c r="I81" s="84" t="inlineStr">
        <is>
          <t>yes</t>
        </is>
      </c>
      <c r="J81" s="84" t="inlineStr">
        <is>
          <t>health examination centers</t>
        </is>
      </c>
      <c r="K81" s="86" t="inlineStr">
        <is>
          <t>middle</t>
        </is>
      </c>
      <c r="L81" s="86" t="inlineStr">
        <is>
          <t>primary</t>
        </is>
      </c>
      <c r="M81" s="86" t="inlineStr">
        <is>
          <t>yes</t>
        </is>
      </c>
      <c r="N81" s="86" t="inlineStr">
        <is>
          <t>rdr</t>
        </is>
      </c>
      <c r="O81" s="86" t="inlineStr">
        <is>
          <t>yes</t>
        </is>
      </c>
      <c r="P81" s="86" t="inlineStr">
        <is>
          <t>mixed</t>
        </is>
      </c>
      <c r="Q81" s="86" t="inlineStr">
        <is>
          <t>desktop</t>
        </is>
      </c>
      <c r="R81" s="84" t="inlineStr">
        <is>
          <t>multiple</t>
        </is>
      </c>
      <c r="S81" s="84" t="inlineStr">
        <is>
          <t>ikang</t>
        </is>
      </c>
      <c r="T81" s="86" t="inlineStr">
        <is>
          <t>icdr</t>
        </is>
      </c>
      <c r="U81" s="84" t="inlineStr">
        <is>
          <t>PP</t>
        </is>
      </c>
      <c r="V81" s="86" t="inlineStr">
        <is>
          <t>expert panel</t>
        </is>
      </c>
      <c r="W81" s="56" t="inlineStr">
        <is>
          <t>no</t>
        </is>
      </c>
      <c r="X81" s="86" t="inlineStr">
        <is>
          <t>fundus</t>
        </is>
      </c>
      <c r="Y81" s="86" t="inlineStr">
        <is>
          <t>NR</t>
        </is>
      </c>
      <c r="Z81" s="58" t="inlineStr">
        <is>
          <t>yes</t>
        </is>
      </c>
      <c r="AA81" s="58" t="inlineStr">
        <is>
          <t>no</t>
        </is>
      </c>
      <c r="AB81" s="58" t="inlineStr">
        <is>
          <t>no</t>
        </is>
      </c>
      <c r="AC81" s="84" t="inlineStr">
        <is>
          <t>yes</t>
        </is>
      </c>
      <c r="AD81" s="58" t="inlineStr">
        <is>
          <t>ResNet</t>
        </is>
      </c>
      <c r="AE81" s="86" t="inlineStr">
        <is>
          <t>mixed</t>
        </is>
      </c>
      <c r="AF81" s="56" t="inlineStr">
        <is>
          <t>high</t>
        </is>
      </c>
      <c r="AG81" s="56" t="inlineStr">
        <is>
          <t>high</t>
        </is>
      </c>
      <c r="AH81" s="86" t="n">
        <v>500</v>
      </c>
      <c r="AI81" s="86" t="n">
        <v>0.5</v>
      </c>
      <c r="AJ81" s="86" t="n">
        <v>250</v>
      </c>
      <c r="AK81" s="86" t="n">
        <v>250</v>
      </c>
      <c r="AL81" s="86" t="n">
        <v>0.972</v>
      </c>
      <c r="AM81" s="86" t="n">
        <v>0.988</v>
      </c>
      <c r="AN81" s="86" t="n">
        <v>243</v>
      </c>
      <c r="AO81" s="86" t="n">
        <v>7</v>
      </c>
      <c r="AP81" s="86" t="n">
        <v>247</v>
      </c>
      <c r="AQ81" s="86" t="n">
        <v>3</v>
      </c>
    </row>
    <row r="82" ht="16" customHeight="1" s="55">
      <c r="A82" s="88" t="inlineStr">
        <is>
          <t>Li et al. 2024b</t>
        </is>
      </c>
      <c r="B82" s="86" t="inlineStr">
        <is>
          <t>DL_assisted_reader</t>
        </is>
      </c>
      <c r="C82" s="86" t="inlineStr">
        <is>
          <t>PCP6 senior (standard urban, round2 + DeepDR)</t>
        </is>
      </c>
      <c r="D82" s="84" t="inlineStr">
        <is>
          <t>physician</t>
        </is>
      </c>
      <c r="E82" s="84" t="inlineStr">
        <is>
          <t>human_with_ai</t>
        </is>
      </c>
      <c r="F82" s="86" t="inlineStr">
        <is>
          <t>original</t>
        </is>
      </c>
      <c r="G82" s="86" t="inlineStr">
        <is>
          <t>retrospective</t>
        </is>
      </c>
      <c r="H82" s="84" t="inlineStr">
        <is>
          <t>cross-sectional</t>
        </is>
      </c>
      <c r="I82" s="84" t="inlineStr">
        <is>
          <t>yes</t>
        </is>
      </c>
      <c r="J82" s="84" t="inlineStr">
        <is>
          <t>health examination centers</t>
        </is>
      </c>
      <c r="K82" s="86" t="inlineStr">
        <is>
          <t>middle</t>
        </is>
      </c>
      <c r="L82" s="86" t="inlineStr">
        <is>
          <t>primary</t>
        </is>
      </c>
      <c r="M82" s="86" t="inlineStr">
        <is>
          <t>yes</t>
        </is>
      </c>
      <c r="N82" s="86" t="inlineStr">
        <is>
          <t>rdr</t>
        </is>
      </c>
      <c r="O82" s="86" t="inlineStr">
        <is>
          <t>yes</t>
        </is>
      </c>
      <c r="P82" s="86" t="inlineStr">
        <is>
          <t>mixed</t>
        </is>
      </c>
      <c r="Q82" s="86" t="inlineStr">
        <is>
          <t>desktop</t>
        </is>
      </c>
      <c r="R82" s="84" t="inlineStr">
        <is>
          <t>multiple</t>
        </is>
      </c>
      <c r="S82" s="84" t="inlineStr">
        <is>
          <t>ikang</t>
        </is>
      </c>
      <c r="T82" s="86" t="inlineStr">
        <is>
          <t>icdr</t>
        </is>
      </c>
      <c r="U82" s="84" t="inlineStr">
        <is>
          <t>PP</t>
        </is>
      </c>
      <c r="V82" s="86" t="inlineStr">
        <is>
          <t>expert panel</t>
        </is>
      </c>
      <c r="W82" s="56" t="inlineStr">
        <is>
          <t>no</t>
        </is>
      </c>
      <c r="X82" s="86" t="inlineStr">
        <is>
          <t>fundus</t>
        </is>
      </c>
      <c r="Y82" s="86" t="inlineStr">
        <is>
          <t>NR</t>
        </is>
      </c>
      <c r="Z82" s="58" t="inlineStr">
        <is>
          <t>yes</t>
        </is>
      </c>
      <c r="AA82" s="58" t="inlineStr">
        <is>
          <t>no</t>
        </is>
      </c>
      <c r="AB82" s="58" t="inlineStr">
        <is>
          <t>no</t>
        </is>
      </c>
      <c r="AC82" s="84" t="inlineStr">
        <is>
          <t>yes</t>
        </is>
      </c>
      <c r="AD82" s="58" t="inlineStr">
        <is>
          <t>ResNet</t>
        </is>
      </c>
      <c r="AE82" s="86" t="inlineStr">
        <is>
          <t>mixed</t>
        </is>
      </c>
      <c r="AF82" s="56" t="inlineStr">
        <is>
          <t>high</t>
        </is>
      </c>
      <c r="AG82" s="56" t="inlineStr">
        <is>
          <t>high</t>
        </is>
      </c>
      <c r="AH82" s="86" t="n">
        <v>500</v>
      </c>
      <c r="AI82" s="86" t="n">
        <v>0.5</v>
      </c>
      <c r="AJ82" s="86" t="n">
        <v>250</v>
      </c>
      <c r="AK82" s="86" t="n">
        <v>250</v>
      </c>
      <c r="AL82" s="86" t="n">
        <v>0.984</v>
      </c>
      <c r="AM82" s="86" t="n">
        <v>0.98</v>
      </c>
      <c r="AN82" s="86" t="n">
        <v>246</v>
      </c>
      <c r="AO82" s="86" t="n">
        <v>4</v>
      </c>
      <c r="AP82" s="86" t="n">
        <v>245</v>
      </c>
      <c r="AQ82" s="86" t="n">
        <v>5</v>
      </c>
    </row>
    <row r="83" ht="16" customHeight="1" s="55">
      <c r="A83" s="88" t="inlineStr">
        <is>
          <t>Li et al. 2024b</t>
        </is>
      </c>
      <c r="B83" s="86" t="inlineStr">
        <is>
          <t>DL_assisted_reader</t>
        </is>
      </c>
      <c r="C83" s="86" t="inlineStr">
        <is>
          <t>PCP7 junior (standard rural, round2 + DeepDR)</t>
        </is>
      </c>
      <c r="D83" s="84" t="inlineStr">
        <is>
          <t>physician</t>
        </is>
      </c>
      <c r="E83" s="84" t="inlineStr">
        <is>
          <t>human_with_ai</t>
        </is>
      </c>
      <c r="F83" s="86" t="inlineStr">
        <is>
          <t>original</t>
        </is>
      </c>
      <c r="G83" s="86" t="inlineStr">
        <is>
          <t>retrospective</t>
        </is>
      </c>
      <c r="H83" s="84" t="inlineStr">
        <is>
          <t>cross-sectional</t>
        </is>
      </c>
      <c r="I83" s="84" t="inlineStr">
        <is>
          <t>yes</t>
        </is>
      </c>
      <c r="J83" s="84" t="inlineStr">
        <is>
          <t>health examination centers</t>
        </is>
      </c>
      <c r="K83" s="86" t="inlineStr">
        <is>
          <t>middle</t>
        </is>
      </c>
      <c r="L83" s="86" t="inlineStr">
        <is>
          <t>primary</t>
        </is>
      </c>
      <c r="M83" s="86" t="inlineStr">
        <is>
          <t>yes</t>
        </is>
      </c>
      <c r="N83" s="86" t="inlineStr">
        <is>
          <t>rdr</t>
        </is>
      </c>
      <c r="O83" s="86" t="inlineStr">
        <is>
          <t>yes</t>
        </is>
      </c>
      <c r="P83" s="86" t="inlineStr">
        <is>
          <t>mixed</t>
        </is>
      </c>
      <c r="Q83" s="86" t="inlineStr">
        <is>
          <t>desktop</t>
        </is>
      </c>
      <c r="R83" s="84" t="inlineStr">
        <is>
          <t>multiple</t>
        </is>
      </c>
      <c r="S83" s="84" t="inlineStr">
        <is>
          <t>ikang</t>
        </is>
      </c>
      <c r="T83" s="86" t="inlineStr">
        <is>
          <t>icdr</t>
        </is>
      </c>
      <c r="U83" s="84" t="inlineStr">
        <is>
          <t>PP</t>
        </is>
      </c>
      <c r="V83" s="86" t="inlineStr">
        <is>
          <t>expert panel</t>
        </is>
      </c>
      <c r="W83" s="56" t="inlineStr">
        <is>
          <t>no</t>
        </is>
      </c>
      <c r="X83" s="86" t="inlineStr">
        <is>
          <t>fundus</t>
        </is>
      </c>
      <c r="Y83" s="86" t="inlineStr">
        <is>
          <t>NR</t>
        </is>
      </c>
      <c r="Z83" s="58" t="inlineStr">
        <is>
          <t>yes</t>
        </is>
      </c>
      <c r="AA83" s="58" t="inlineStr">
        <is>
          <t>no</t>
        </is>
      </c>
      <c r="AB83" s="58" t="inlineStr">
        <is>
          <t>no</t>
        </is>
      </c>
      <c r="AC83" s="84" t="inlineStr">
        <is>
          <t>yes</t>
        </is>
      </c>
      <c r="AD83" s="58" t="inlineStr">
        <is>
          <t>ResNet</t>
        </is>
      </c>
      <c r="AE83" s="86" t="inlineStr">
        <is>
          <t>mixed</t>
        </is>
      </c>
      <c r="AF83" s="56" t="inlineStr">
        <is>
          <t>high</t>
        </is>
      </c>
      <c r="AG83" s="56" t="inlineStr">
        <is>
          <t>high</t>
        </is>
      </c>
      <c r="AH83" s="86" t="n">
        <v>500</v>
      </c>
      <c r="AI83" s="86" t="n">
        <v>0.5</v>
      </c>
      <c r="AJ83" s="86" t="n">
        <v>250</v>
      </c>
      <c r="AK83" s="86" t="n">
        <v>250</v>
      </c>
      <c r="AL83" s="86" t="n">
        <v>0.752</v>
      </c>
      <c r="AM83" s="86" t="n">
        <v>0.98</v>
      </c>
      <c r="AN83" s="86" t="n">
        <v>188</v>
      </c>
      <c r="AO83" s="86" t="n">
        <v>62</v>
      </c>
      <c r="AP83" s="86" t="n">
        <v>245</v>
      </c>
      <c r="AQ83" s="86" t="n">
        <v>5</v>
      </c>
    </row>
    <row r="84" ht="16" customHeight="1" s="55">
      <c r="A84" s="88" t="inlineStr">
        <is>
          <t>Li et al. 2024b</t>
        </is>
      </c>
      <c r="B84" s="86" t="inlineStr">
        <is>
          <t>DL_assisted_reader</t>
        </is>
      </c>
      <c r="C84" s="86" t="inlineStr">
        <is>
          <t>PCP8 junior (standard rural, round2 + DeepDR)</t>
        </is>
      </c>
      <c r="D84" s="84" t="inlineStr">
        <is>
          <t>physician</t>
        </is>
      </c>
      <c r="E84" s="84" t="inlineStr">
        <is>
          <t>human_with_ai</t>
        </is>
      </c>
      <c r="F84" s="86" t="inlineStr">
        <is>
          <t>original</t>
        </is>
      </c>
      <c r="G84" s="86" t="inlineStr">
        <is>
          <t>retrospective</t>
        </is>
      </c>
      <c r="H84" s="84" t="inlineStr">
        <is>
          <t>cross-sectional</t>
        </is>
      </c>
      <c r="I84" s="84" t="inlineStr">
        <is>
          <t>yes</t>
        </is>
      </c>
      <c r="J84" s="84" t="inlineStr">
        <is>
          <t>health examination centers</t>
        </is>
      </c>
      <c r="K84" s="86" t="inlineStr">
        <is>
          <t>middle</t>
        </is>
      </c>
      <c r="L84" s="86" t="inlineStr">
        <is>
          <t>primary</t>
        </is>
      </c>
      <c r="M84" s="86" t="inlineStr">
        <is>
          <t>yes</t>
        </is>
      </c>
      <c r="N84" s="86" t="inlineStr">
        <is>
          <t>rdr</t>
        </is>
      </c>
      <c r="O84" s="86" t="inlineStr">
        <is>
          <t>yes</t>
        </is>
      </c>
      <c r="P84" s="86" t="inlineStr">
        <is>
          <t>mixed</t>
        </is>
      </c>
      <c r="Q84" s="86" t="inlineStr">
        <is>
          <t>desktop</t>
        </is>
      </c>
      <c r="R84" s="84" t="inlineStr">
        <is>
          <t>multiple</t>
        </is>
      </c>
      <c r="S84" s="84" t="inlineStr">
        <is>
          <t>ikang</t>
        </is>
      </c>
      <c r="T84" s="86" t="inlineStr">
        <is>
          <t>icdr</t>
        </is>
      </c>
      <c r="U84" s="84" t="inlineStr">
        <is>
          <t>PP</t>
        </is>
      </c>
      <c r="V84" s="86" t="inlineStr">
        <is>
          <t>expert panel</t>
        </is>
      </c>
      <c r="W84" s="56" t="inlineStr">
        <is>
          <t>no</t>
        </is>
      </c>
      <c r="X84" s="86" t="inlineStr">
        <is>
          <t>fundus</t>
        </is>
      </c>
      <c r="Y84" s="86" t="inlineStr">
        <is>
          <t>NR</t>
        </is>
      </c>
      <c r="Z84" s="58" t="inlineStr">
        <is>
          <t>yes</t>
        </is>
      </c>
      <c r="AA84" s="58" t="inlineStr">
        <is>
          <t>no</t>
        </is>
      </c>
      <c r="AB84" s="58" t="inlineStr">
        <is>
          <t>no</t>
        </is>
      </c>
      <c r="AC84" s="84" t="inlineStr">
        <is>
          <t>yes</t>
        </is>
      </c>
      <c r="AD84" s="58" t="inlineStr">
        <is>
          <t>ResNet</t>
        </is>
      </c>
      <c r="AE84" s="86" t="inlineStr">
        <is>
          <t>mixed</t>
        </is>
      </c>
      <c r="AF84" s="56" t="inlineStr">
        <is>
          <t>high</t>
        </is>
      </c>
      <c r="AG84" s="56" t="inlineStr">
        <is>
          <t>high</t>
        </is>
      </c>
      <c r="AH84" s="86" t="n">
        <v>500</v>
      </c>
      <c r="AI84" s="86" t="n">
        <v>0.5</v>
      </c>
      <c r="AJ84" s="86" t="n">
        <v>250</v>
      </c>
      <c r="AK84" s="86" t="n">
        <v>250</v>
      </c>
      <c r="AL84" s="86" t="n">
        <v>0.82</v>
      </c>
      <c r="AM84" s="86" t="n">
        <v>0.98</v>
      </c>
      <c r="AN84" s="86" t="n">
        <v>205</v>
      </c>
      <c r="AO84" s="86" t="n">
        <v>45</v>
      </c>
      <c r="AP84" s="86" t="n">
        <v>245</v>
      </c>
      <c r="AQ84" s="86" t="n">
        <v>5</v>
      </c>
    </row>
    <row r="85" ht="16" customHeight="1" s="55">
      <c r="A85" s="88" t="inlineStr">
        <is>
          <t>Li et al. 2024b</t>
        </is>
      </c>
      <c r="B85" s="86" t="inlineStr">
        <is>
          <t>DL_assisted_reader</t>
        </is>
      </c>
      <c r="C85" s="86" t="inlineStr">
        <is>
          <t>PCP9 intermediate (standard rural, round2 + DeepDR)</t>
        </is>
      </c>
      <c r="D85" s="84" t="inlineStr">
        <is>
          <t>physician</t>
        </is>
      </c>
      <c r="E85" s="84" t="inlineStr">
        <is>
          <t>human_with_ai</t>
        </is>
      </c>
      <c r="F85" s="86" t="inlineStr">
        <is>
          <t>original</t>
        </is>
      </c>
      <c r="G85" s="86" t="inlineStr">
        <is>
          <t>retrospective</t>
        </is>
      </c>
      <c r="H85" s="84" t="inlineStr">
        <is>
          <t>cross-sectional</t>
        </is>
      </c>
      <c r="I85" s="84" t="inlineStr">
        <is>
          <t>yes</t>
        </is>
      </c>
      <c r="J85" s="84" t="inlineStr">
        <is>
          <t>health examination centers</t>
        </is>
      </c>
      <c r="K85" s="86" t="inlineStr">
        <is>
          <t>middle</t>
        </is>
      </c>
      <c r="L85" s="86" t="inlineStr">
        <is>
          <t>primary</t>
        </is>
      </c>
      <c r="M85" s="86" t="inlineStr">
        <is>
          <t>yes</t>
        </is>
      </c>
      <c r="N85" s="86" t="inlineStr">
        <is>
          <t>rdr</t>
        </is>
      </c>
      <c r="O85" s="86" t="inlineStr">
        <is>
          <t>yes</t>
        </is>
      </c>
      <c r="P85" s="86" t="inlineStr">
        <is>
          <t>mixed</t>
        </is>
      </c>
      <c r="Q85" s="86" t="inlineStr">
        <is>
          <t>desktop</t>
        </is>
      </c>
      <c r="R85" s="84" t="inlineStr">
        <is>
          <t>multiple</t>
        </is>
      </c>
      <c r="S85" s="84" t="inlineStr">
        <is>
          <t>ikang</t>
        </is>
      </c>
      <c r="T85" s="86" t="inlineStr">
        <is>
          <t>icdr</t>
        </is>
      </c>
      <c r="U85" s="84" t="inlineStr">
        <is>
          <t>PP</t>
        </is>
      </c>
      <c r="V85" s="86" t="inlineStr">
        <is>
          <t>expert panel</t>
        </is>
      </c>
      <c r="W85" s="56" t="inlineStr">
        <is>
          <t>no</t>
        </is>
      </c>
      <c r="X85" s="86" t="inlineStr">
        <is>
          <t>fundus</t>
        </is>
      </c>
      <c r="Y85" s="86" t="inlineStr">
        <is>
          <t>NR</t>
        </is>
      </c>
      <c r="Z85" s="58" t="inlineStr">
        <is>
          <t>yes</t>
        </is>
      </c>
      <c r="AA85" s="58" t="inlineStr">
        <is>
          <t>no</t>
        </is>
      </c>
      <c r="AB85" s="58" t="inlineStr">
        <is>
          <t>no</t>
        </is>
      </c>
      <c r="AC85" s="84" t="inlineStr">
        <is>
          <t>yes</t>
        </is>
      </c>
      <c r="AD85" s="58" t="inlineStr">
        <is>
          <t>ResNet</t>
        </is>
      </c>
      <c r="AE85" s="86" t="inlineStr">
        <is>
          <t>mixed</t>
        </is>
      </c>
      <c r="AF85" s="56" t="inlineStr">
        <is>
          <t>high</t>
        </is>
      </c>
      <c r="AG85" s="56" t="inlineStr">
        <is>
          <t>high</t>
        </is>
      </c>
      <c r="AH85" s="86" t="n">
        <v>500</v>
      </c>
      <c r="AI85" s="86" t="n">
        <v>0.5</v>
      </c>
      <c r="AJ85" s="86" t="n">
        <v>250</v>
      </c>
      <c r="AK85" s="86" t="n">
        <v>250</v>
      </c>
      <c r="AL85" s="86" t="n">
        <v>0.84</v>
      </c>
      <c r="AM85" s="86" t="n">
        <v>0.988</v>
      </c>
      <c r="AN85" s="86" t="n">
        <v>210</v>
      </c>
      <c r="AO85" s="86" t="n">
        <v>40</v>
      </c>
      <c r="AP85" s="86" t="n">
        <v>247</v>
      </c>
      <c r="AQ85" s="86" t="n">
        <v>3</v>
      </c>
    </row>
    <row r="86" ht="16" customHeight="1" s="55">
      <c r="A86" s="88" t="inlineStr">
        <is>
          <t>Li et al. 2024b</t>
        </is>
      </c>
      <c r="B86" s="86" t="inlineStr">
        <is>
          <t>DL_assisted_reader</t>
        </is>
      </c>
      <c r="C86" s="86" t="inlineStr">
        <is>
          <t>PCP10 intermediate (standard rural, round2 + DeepDR)</t>
        </is>
      </c>
      <c r="D86" s="84" t="inlineStr">
        <is>
          <t>physician</t>
        </is>
      </c>
      <c r="E86" s="84" t="inlineStr">
        <is>
          <t>human_with_ai</t>
        </is>
      </c>
      <c r="F86" s="86" t="inlineStr">
        <is>
          <t>original</t>
        </is>
      </c>
      <c r="G86" s="86" t="inlineStr">
        <is>
          <t>retrospective</t>
        </is>
      </c>
      <c r="H86" s="84" t="inlineStr">
        <is>
          <t>cross-sectional</t>
        </is>
      </c>
      <c r="I86" s="84" t="inlineStr">
        <is>
          <t>yes</t>
        </is>
      </c>
      <c r="J86" s="84" t="inlineStr">
        <is>
          <t>health examination centers</t>
        </is>
      </c>
      <c r="K86" s="86" t="inlineStr">
        <is>
          <t>middle</t>
        </is>
      </c>
      <c r="L86" s="86" t="inlineStr">
        <is>
          <t>primary</t>
        </is>
      </c>
      <c r="M86" s="86" t="inlineStr">
        <is>
          <t>yes</t>
        </is>
      </c>
      <c r="N86" s="86" t="inlineStr">
        <is>
          <t>rdr</t>
        </is>
      </c>
      <c r="O86" s="86" t="inlineStr">
        <is>
          <t>yes</t>
        </is>
      </c>
      <c r="P86" s="86" t="inlineStr">
        <is>
          <t>mixed</t>
        </is>
      </c>
      <c r="Q86" s="86" t="inlineStr">
        <is>
          <t>desktop</t>
        </is>
      </c>
      <c r="R86" s="84" t="inlineStr">
        <is>
          <t>multiple</t>
        </is>
      </c>
      <c r="S86" s="84" t="inlineStr">
        <is>
          <t>ikang</t>
        </is>
      </c>
      <c r="T86" s="86" t="inlineStr">
        <is>
          <t>icdr</t>
        </is>
      </c>
      <c r="U86" s="84" t="inlineStr">
        <is>
          <t>PP</t>
        </is>
      </c>
      <c r="V86" s="86" t="inlineStr">
        <is>
          <t>expert panel</t>
        </is>
      </c>
      <c r="W86" s="56" t="inlineStr">
        <is>
          <t>no</t>
        </is>
      </c>
      <c r="X86" s="86" t="inlineStr">
        <is>
          <t>fundus</t>
        </is>
      </c>
      <c r="Y86" s="86" t="inlineStr">
        <is>
          <t>NR</t>
        </is>
      </c>
      <c r="Z86" s="58" t="inlineStr">
        <is>
          <t>yes</t>
        </is>
      </c>
      <c r="AA86" s="58" t="inlineStr">
        <is>
          <t>no</t>
        </is>
      </c>
      <c r="AB86" s="58" t="inlineStr">
        <is>
          <t>no</t>
        </is>
      </c>
      <c r="AC86" s="84" t="inlineStr">
        <is>
          <t>yes</t>
        </is>
      </c>
      <c r="AD86" s="58" t="inlineStr">
        <is>
          <t>ResNet</t>
        </is>
      </c>
      <c r="AE86" s="86" t="inlineStr">
        <is>
          <t>mixed</t>
        </is>
      </c>
      <c r="AF86" s="56" t="inlineStr">
        <is>
          <t>high</t>
        </is>
      </c>
      <c r="AG86" s="56" t="inlineStr">
        <is>
          <t>high</t>
        </is>
      </c>
      <c r="AH86" s="86" t="n">
        <v>500</v>
      </c>
      <c r="AI86" s="86" t="n">
        <v>0.5</v>
      </c>
      <c r="AJ86" s="86" t="n">
        <v>250</v>
      </c>
      <c r="AK86" s="86" t="n">
        <v>250</v>
      </c>
      <c r="AL86" s="86" t="n">
        <v>0.86</v>
      </c>
      <c r="AM86" s="86" t="n">
        <v>0.996</v>
      </c>
      <c r="AN86" s="86" t="n">
        <v>215</v>
      </c>
      <c r="AO86" s="86" t="n">
        <v>35</v>
      </c>
      <c r="AP86" s="86" t="n">
        <v>249</v>
      </c>
      <c r="AQ86" s="86" t="n">
        <v>1</v>
      </c>
    </row>
    <row r="87" ht="16" customHeight="1" s="55">
      <c r="A87" s="88" t="inlineStr">
        <is>
          <t>Li et al. 2024b</t>
        </is>
      </c>
      <c r="B87" s="86" t="inlineStr">
        <is>
          <t>DL_assisted_reader</t>
        </is>
      </c>
      <c r="C87" s="86" t="inlineStr">
        <is>
          <t>PCP11 senior (standard rural, round2 + DeepDR)</t>
        </is>
      </c>
      <c r="D87" s="84" t="inlineStr">
        <is>
          <t>physician</t>
        </is>
      </c>
      <c r="E87" s="84" t="inlineStr">
        <is>
          <t>human_with_ai</t>
        </is>
      </c>
      <c r="F87" s="86" t="inlineStr">
        <is>
          <t>original</t>
        </is>
      </c>
      <c r="G87" s="86" t="inlineStr">
        <is>
          <t>retrospective</t>
        </is>
      </c>
      <c r="H87" s="84" t="inlineStr">
        <is>
          <t>cross-sectional</t>
        </is>
      </c>
      <c r="I87" s="84" t="inlineStr">
        <is>
          <t>yes</t>
        </is>
      </c>
      <c r="J87" s="84" t="inlineStr">
        <is>
          <t>health examination centers</t>
        </is>
      </c>
      <c r="K87" s="86" t="inlineStr">
        <is>
          <t>middle</t>
        </is>
      </c>
      <c r="L87" s="86" t="inlineStr">
        <is>
          <t>primary</t>
        </is>
      </c>
      <c r="M87" s="86" t="inlineStr">
        <is>
          <t>yes</t>
        </is>
      </c>
      <c r="N87" s="86" t="inlineStr">
        <is>
          <t>rdr</t>
        </is>
      </c>
      <c r="O87" s="86" t="inlineStr">
        <is>
          <t>yes</t>
        </is>
      </c>
      <c r="P87" s="86" t="inlineStr">
        <is>
          <t>mixed</t>
        </is>
      </c>
      <c r="Q87" s="86" t="inlineStr">
        <is>
          <t>desktop</t>
        </is>
      </c>
      <c r="R87" s="84" t="inlineStr">
        <is>
          <t>multiple</t>
        </is>
      </c>
      <c r="S87" s="84" t="inlineStr">
        <is>
          <t>ikang</t>
        </is>
      </c>
      <c r="T87" s="86" t="inlineStr">
        <is>
          <t>icdr</t>
        </is>
      </c>
      <c r="U87" s="84" t="inlineStr">
        <is>
          <t>PP</t>
        </is>
      </c>
      <c r="V87" s="86" t="inlineStr">
        <is>
          <t>expert panel</t>
        </is>
      </c>
      <c r="W87" s="56" t="inlineStr">
        <is>
          <t>no</t>
        </is>
      </c>
      <c r="X87" s="86" t="inlineStr">
        <is>
          <t>fundus</t>
        </is>
      </c>
      <c r="Y87" s="86" t="inlineStr">
        <is>
          <t>NR</t>
        </is>
      </c>
      <c r="Z87" s="58" t="inlineStr">
        <is>
          <t>yes</t>
        </is>
      </c>
      <c r="AA87" s="58" t="inlineStr">
        <is>
          <t>no</t>
        </is>
      </c>
      <c r="AB87" s="58" t="inlineStr">
        <is>
          <t>no</t>
        </is>
      </c>
      <c r="AC87" s="84" t="inlineStr">
        <is>
          <t>yes</t>
        </is>
      </c>
      <c r="AD87" s="58" t="inlineStr">
        <is>
          <t>ResNet</t>
        </is>
      </c>
      <c r="AE87" s="86" t="inlineStr">
        <is>
          <t>mixed</t>
        </is>
      </c>
      <c r="AF87" s="56" t="inlineStr">
        <is>
          <t>high</t>
        </is>
      </c>
      <c r="AG87" s="56" t="inlineStr">
        <is>
          <t>high</t>
        </is>
      </c>
      <c r="AH87" s="86" t="n">
        <v>500</v>
      </c>
      <c r="AI87" s="86" t="n">
        <v>0.5</v>
      </c>
      <c r="AJ87" s="86" t="n">
        <v>250</v>
      </c>
      <c r="AK87" s="86" t="n">
        <v>250</v>
      </c>
      <c r="AL87" s="86" t="n">
        <v>0.928</v>
      </c>
      <c r="AM87" s="86" t="n">
        <v>0.988</v>
      </c>
      <c r="AN87" s="86" t="n">
        <v>232</v>
      </c>
      <c r="AO87" s="86" t="n">
        <v>18</v>
      </c>
      <c r="AP87" s="86" t="n">
        <v>247</v>
      </c>
      <c r="AQ87" s="86" t="n">
        <v>3</v>
      </c>
    </row>
    <row r="88" ht="16" customHeight="1" s="55">
      <c r="A88" s="88" t="inlineStr">
        <is>
          <t>Li et al. 2024b</t>
        </is>
      </c>
      <c r="B88" s="86" t="inlineStr">
        <is>
          <t>DL_assisted_reader</t>
        </is>
      </c>
      <c r="C88" s="86" t="inlineStr">
        <is>
          <t>PCP12 senior (standard rural, round2 + DeepDR)</t>
        </is>
      </c>
      <c r="D88" s="84" t="inlineStr">
        <is>
          <t>physician</t>
        </is>
      </c>
      <c r="E88" s="84" t="inlineStr">
        <is>
          <t>human_with_ai</t>
        </is>
      </c>
      <c r="F88" s="86" t="inlineStr">
        <is>
          <t>original</t>
        </is>
      </c>
      <c r="G88" s="86" t="inlineStr">
        <is>
          <t>retrospective</t>
        </is>
      </c>
      <c r="H88" s="84" t="inlineStr">
        <is>
          <t>cross-sectional</t>
        </is>
      </c>
      <c r="I88" s="84" t="inlineStr">
        <is>
          <t>yes</t>
        </is>
      </c>
      <c r="J88" s="84" t="inlineStr">
        <is>
          <t>health examination centers</t>
        </is>
      </c>
      <c r="K88" s="86" t="inlineStr">
        <is>
          <t>middle</t>
        </is>
      </c>
      <c r="L88" s="86" t="inlineStr">
        <is>
          <t>primary</t>
        </is>
      </c>
      <c r="M88" s="86" t="inlineStr">
        <is>
          <t>yes</t>
        </is>
      </c>
      <c r="N88" s="86" t="inlineStr">
        <is>
          <t>rdr</t>
        </is>
      </c>
      <c r="O88" s="86" t="inlineStr">
        <is>
          <t>yes</t>
        </is>
      </c>
      <c r="P88" s="86" t="inlineStr">
        <is>
          <t>mixed</t>
        </is>
      </c>
      <c r="Q88" s="86" t="inlineStr">
        <is>
          <t>desktop</t>
        </is>
      </c>
      <c r="R88" s="84" t="inlineStr">
        <is>
          <t>multiple</t>
        </is>
      </c>
      <c r="S88" s="84" t="inlineStr">
        <is>
          <t>ikang</t>
        </is>
      </c>
      <c r="T88" s="86" t="inlineStr">
        <is>
          <t>icdr</t>
        </is>
      </c>
      <c r="U88" s="84" t="inlineStr">
        <is>
          <t>PP</t>
        </is>
      </c>
      <c r="V88" s="86" t="inlineStr">
        <is>
          <t>expert panel</t>
        </is>
      </c>
      <c r="W88" s="56" t="inlineStr">
        <is>
          <t>no</t>
        </is>
      </c>
      <c r="X88" s="86" t="inlineStr">
        <is>
          <t>fundus</t>
        </is>
      </c>
      <c r="Y88" s="86" t="inlineStr">
        <is>
          <t>NR</t>
        </is>
      </c>
      <c r="Z88" s="58" t="inlineStr">
        <is>
          <t>yes</t>
        </is>
      </c>
      <c r="AA88" s="58" t="inlineStr">
        <is>
          <t>no</t>
        </is>
      </c>
      <c r="AB88" s="58" t="inlineStr">
        <is>
          <t>no</t>
        </is>
      </c>
      <c r="AC88" s="84" t="inlineStr">
        <is>
          <t>yes</t>
        </is>
      </c>
      <c r="AD88" s="58" t="inlineStr">
        <is>
          <t>ResNet</t>
        </is>
      </c>
      <c r="AE88" s="86" t="inlineStr">
        <is>
          <t>mixed</t>
        </is>
      </c>
      <c r="AF88" s="56" t="inlineStr">
        <is>
          <t>high</t>
        </is>
      </c>
      <c r="AG88" s="56" t="inlineStr">
        <is>
          <t>high</t>
        </is>
      </c>
      <c r="AH88" s="86" t="n">
        <v>500</v>
      </c>
      <c r="AI88" s="86" t="n">
        <v>0.5</v>
      </c>
      <c r="AJ88" s="86" t="n">
        <v>250</v>
      </c>
      <c r="AK88" s="86" t="n">
        <v>250</v>
      </c>
      <c r="AL88" s="86" t="n">
        <v>0.96</v>
      </c>
      <c r="AM88" s="86" t="n">
        <v>0.996</v>
      </c>
      <c r="AN88" s="86" t="n">
        <v>240</v>
      </c>
      <c r="AO88" s="86" t="n">
        <v>10</v>
      </c>
      <c r="AP88" s="86" t="n">
        <v>249</v>
      </c>
      <c r="AQ88" s="86" t="n">
        <v>1</v>
      </c>
    </row>
    <row r="89" ht="16" customHeight="1" s="55">
      <c r="A89" s="88" t="inlineStr">
        <is>
          <t>Li et al. 2024b</t>
        </is>
      </c>
      <c r="B89" s="86" t="inlineStr">
        <is>
          <t>Reader</t>
        </is>
      </c>
      <c r="C89" s="86" t="inlineStr">
        <is>
          <t>PCP1 junior (portable urban, round1)</t>
        </is>
      </c>
      <c r="D89" s="84" t="inlineStr">
        <is>
          <t>physician</t>
        </is>
      </c>
      <c r="E89" s="84" t="inlineStr">
        <is>
          <t>human_only</t>
        </is>
      </c>
      <c r="F89" s="86" t="inlineStr">
        <is>
          <t>original</t>
        </is>
      </c>
      <c r="G89" s="86" t="inlineStr">
        <is>
          <t>retrospective</t>
        </is>
      </c>
      <c r="H89" s="84" t="inlineStr">
        <is>
          <t>cross-sectional</t>
        </is>
      </c>
      <c r="I89" s="84" t="inlineStr">
        <is>
          <t>yes</t>
        </is>
      </c>
      <c r="J89" s="84" t="inlineStr">
        <is>
          <t>health examination centers</t>
        </is>
      </c>
      <c r="K89" s="86" t="inlineStr">
        <is>
          <t>middle</t>
        </is>
      </c>
      <c r="L89" s="86" t="inlineStr">
        <is>
          <t>primary</t>
        </is>
      </c>
      <c r="M89" s="86" t="inlineStr">
        <is>
          <t>yes</t>
        </is>
      </c>
      <c r="N89" s="86" t="inlineStr">
        <is>
          <t>rdr</t>
        </is>
      </c>
      <c r="O89" s="86" t="inlineStr">
        <is>
          <t>yes</t>
        </is>
      </c>
      <c r="P89" s="86" t="inlineStr">
        <is>
          <t>mixed</t>
        </is>
      </c>
      <c r="Q89" s="86" t="inlineStr">
        <is>
          <t>portable</t>
        </is>
      </c>
      <c r="R89" s="84" t="inlineStr">
        <is>
          <t>multiple</t>
        </is>
      </c>
      <c r="S89" s="84" t="inlineStr">
        <is>
          <t>ikang</t>
        </is>
      </c>
      <c r="T89" s="86" t="inlineStr">
        <is>
          <t>icdr</t>
        </is>
      </c>
      <c r="U89" s="84" t="inlineStr">
        <is>
          <t>PP</t>
        </is>
      </c>
      <c r="V89" s="86" t="inlineStr">
        <is>
          <t>expert panel</t>
        </is>
      </c>
      <c r="W89" s="56" t="inlineStr">
        <is>
          <t>no</t>
        </is>
      </c>
      <c r="X89" s="86" t="inlineStr">
        <is>
          <t>fundus</t>
        </is>
      </c>
      <c r="Y89" s="86" t="inlineStr">
        <is>
          <t>NR</t>
        </is>
      </c>
      <c r="Z89" s="58" t="inlineStr">
        <is>
          <t>yes</t>
        </is>
      </c>
      <c r="AA89" s="58" t="inlineStr">
        <is>
          <t>no</t>
        </is>
      </c>
      <c r="AB89" s="58" t="inlineStr">
        <is>
          <t>no</t>
        </is>
      </c>
      <c r="AC89" s="84" t="inlineStr">
        <is>
          <t>yes</t>
        </is>
      </c>
      <c r="AD89" s="86" t="inlineStr">
        <is>
          <t>NR</t>
        </is>
      </c>
      <c r="AE89" s="86" t="inlineStr">
        <is>
          <t>mixed</t>
        </is>
      </c>
      <c r="AF89" s="56" t="inlineStr">
        <is>
          <t>high</t>
        </is>
      </c>
      <c r="AG89" s="56" t="inlineStr">
        <is>
          <t>high</t>
        </is>
      </c>
      <c r="AH89" s="86" t="n">
        <v>500</v>
      </c>
      <c r="AI89" s="86" t="n">
        <v>0.5</v>
      </c>
      <c r="AJ89" s="86" t="n">
        <v>250</v>
      </c>
      <c r="AK89" s="86" t="n">
        <v>250</v>
      </c>
      <c r="AL89" s="86" t="n">
        <v>0.64</v>
      </c>
      <c r="AM89" s="86" t="n">
        <v>0.928</v>
      </c>
      <c r="AN89" s="86" t="n">
        <v>160</v>
      </c>
      <c r="AO89" s="86" t="n">
        <v>90</v>
      </c>
      <c r="AP89" s="86" t="n">
        <v>232</v>
      </c>
      <c r="AQ89" s="86" t="n">
        <v>18</v>
      </c>
    </row>
    <row r="90" ht="16" customHeight="1" s="55">
      <c r="A90" s="88" t="inlineStr">
        <is>
          <t>Li et al. 2024b</t>
        </is>
      </c>
      <c r="B90" s="86" t="inlineStr">
        <is>
          <t>Reader</t>
        </is>
      </c>
      <c r="C90" s="86" t="inlineStr">
        <is>
          <t>PCP2 junior (portable urban, round1)</t>
        </is>
      </c>
      <c r="D90" s="84" t="inlineStr">
        <is>
          <t>physician</t>
        </is>
      </c>
      <c r="E90" s="84" t="inlineStr">
        <is>
          <t>human_only</t>
        </is>
      </c>
      <c r="F90" s="86" t="inlineStr">
        <is>
          <t>original</t>
        </is>
      </c>
      <c r="G90" s="86" t="inlineStr">
        <is>
          <t>retrospective</t>
        </is>
      </c>
      <c r="H90" s="84" t="inlineStr">
        <is>
          <t>cross-sectional</t>
        </is>
      </c>
      <c r="I90" s="84" t="inlineStr">
        <is>
          <t>yes</t>
        </is>
      </c>
      <c r="J90" s="84" t="inlineStr">
        <is>
          <t>health examination centers</t>
        </is>
      </c>
      <c r="K90" s="86" t="inlineStr">
        <is>
          <t>middle</t>
        </is>
      </c>
      <c r="L90" s="86" t="inlineStr">
        <is>
          <t>primary</t>
        </is>
      </c>
      <c r="M90" s="86" t="inlineStr">
        <is>
          <t>yes</t>
        </is>
      </c>
      <c r="N90" s="86" t="inlineStr">
        <is>
          <t>rdr</t>
        </is>
      </c>
      <c r="O90" s="86" t="inlineStr">
        <is>
          <t>yes</t>
        </is>
      </c>
      <c r="P90" s="86" t="inlineStr">
        <is>
          <t>mixed</t>
        </is>
      </c>
      <c r="Q90" s="86" t="inlineStr">
        <is>
          <t>portable</t>
        </is>
      </c>
      <c r="R90" s="84" t="inlineStr">
        <is>
          <t>multiple</t>
        </is>
      </c>
      <c r="S90" s="84" t="inlineStr">
        <is>
          <t>ikang</t>
        </is>
      </c>
      <c r="T90" s="86" t="inlineStr">
        <is>
          <t>icdr</t>
        </is>
      </c>
      <c r="U90" s="84" t="inlineStr">
        <is>
          <t>PP</t>
        </is>
      </c>
      <c r="V90" s="86" t="inlineStr">
        <is>
          <t>expert panel</t>
        </is>
      </c>
      <c r="W90" s="56" t="inlineStr">
        <is>
          <t>no</t>
        </is>
      </c>
      <c r="X90" s="86" t="inlineStr">
        <is>
          <t>fundus</t>
        </is>
      </c>
      <c r="Y90" s="86" t="inlineStr">
        <is>
          <t>NR</t>
        </is>
      </c>
      <c r="Z90" s="58" t="inlineStr">
        <is>
          <t>yes</t>
        </is>
      </c>
      <c r="AA90" s="58" t="inlineStr">
        <is>
          <t>no</t>
        </is>
      </c>
      <c r="AB90" s="58" t="inlineStr">
        <is>
          <t>no</t>
        </is>
      </c>
      <c r="AC90" s="84" t="inlineStr">
        <is>
          <t>yes</t>
        </is>
      </c>
      <c r="AD90" s="86" t="inlineStr">
        <is>
          <t>NR</t>
        </is>
      </c>
      <c r="AE90" s="86" t="inlineStr">
        <is>
          <t>mixed</t>
        </is>
      </c>
      <c r="AF90" s="56" t="inlineStr">
        <is>
          <t>high</t>
        </is>
      </c>
      <c r="AG90" s="56" t="inlineStr">
        <is>
          <t>high</t>
        </is>
      </c>
      <c r="AH90" s="86" t="n">
        <v>500</v>
      </c>
      <c r="AI90" s="86" t="n">
        <v>0.5</v>
      </c>
      <c r="AJ90" s="86" t="n">
        <v>250</v>
      </c>
      <c r="AK90" s="86" t="n">
        <v>250</v>
      </c>
      <c r="AL90" s="86" t="n">
        <v>0.796</v>
      </c>
      <c r="AM90" s="86" t="n">
        <v>0.696</v>
      </c>
      <c r="AN90" s="86" t="n">
        <v>199</v>
      </c>
      <c r="AO90" s="86" t="n">
        <v>51</v>
      </c>
      <c r="AP90" s="86" t="n">
        <v>174</v>
      </c>
      <c r="AQ90" s="86" t="n">
        <v>76</v>
      </c>
    </row>
    <row r="91" ht="16" customHeight="1" s="55">
      <c r="A91" s="88" t="inlineStr">
        <is>
          <t>Li et al. 2024b</t>
        </is>
      </c>
      <c r="B91" s="86" t="inlineStr">
        <is>
          <t>Reader</t>
        </is>
      </c>
      <c r="C91" s="86" t="inlineStr">
        <is>
          <t>PCP3 intermediate (portable urban, round1)</t>
        </is>
      </c>
      <c r="D91" s="84" t="inlineStr">
        <is>
          <t>physician</t>
        </is>
      </c>
      <c r="E91" s="84" t="inlineStr">
        <is>
          <t>human_only</t>
        </is>
      </c>
      <c r="F91" s="86" t="inlineStr">
        <is>
          <t>original</t>
        </is>
      </c>
      <c r="G91" s="86" t="inlineStr">
        <is>
          <t>retrospective</t>
        </is>
      </c>
      <c r="H91" s="84" t="inlineStr">
        <is>
          <t>cross-sectional</t>
        </is>
      </c>
      <c r="I91" s="84" t="inlineStr">
        <is>
          <t>yes</t>
        </is>
      </c>
      <c r="J91" s="84" t="inlineStr">
        <is>
          <t>health examination centers</t>
        </is>
      </c>
      <c r="K91" s="86" t="inlineStr">
        <is>
          <t>middle</t>
        </is>
      </c>
      <c r="L91" s="86" t="inlineStr">
        <is>
          <t>primary</t>
        </is>
      </c>
      <c r="M91" s="86" t="inlineStr">
        <is>
          <t>yes</t>
        </is>
      </c>
      <c r="N91" s="86" t="inlineStr">
        <is>
          <t>rdr</t>
        </is>
      </c>
      <c r="O91" s="86" t="inlineStr">
        <is>
          <t>yes</t>
        </is>
      </c>
      <c r="P91" s="86" t="inlineStr">
        <is>
          <t>mixed</t>
        </is>
      </c>
      <c r="Q91" s="86" t="inlineStr">
        <is>
          <t>portable</t>
        </is>
      </c>
      <c r="R91" s="84" t="inlineStr">
        <is>
          <t>multiple</t>
        </is>
      </c>
      <c r="S91" s="84" t="inlineStr">
        <is>
          <t>ikang</t>
        </is>
      </c>
      <c r="T91" s="86" t="inlineStr">
        <is>
          <t>icdr</t>
        </is>
      </c>
      <c r="U91" s="84" t="inlineStr">
        <is>
          <t>PP</t>
        </is>
      </c>
      <c r="V91" s="86" t="inlineStr">
        <is>
          <t>expert panel</t>
        </is>
      </c>
      <c r="W91" s="56" t="inlineStr">
        <is>
          <t>no</t>
        </is>
      </c>
      <c r="X91" s="86" t="inlineStr">
        <is>
          <t>fundus</t>
        </is>
      </c>
      <c r="Y91" s="86" t="inlineStr">
        <is>
          <t>NR</t>
        </is>
      </c>
      <c r="Z91" s="58" t="inlineStr">
        <is>
          <t>yes</t>
        </is>
      </c>
      <c r="AA91" s="58" t="inlineStr">
        <is>
          <t>no</t>
        </is>
      </c>
      <c r="AB91" s="58" t="inlineStr">
        <is>
          <t>no</t>
        </is>
      </c>
      <c r="AC91" s="84" t="inlineStr">
        <is>
          <t>yes</t>
        </is>
      </c>
      <c r="AD91" s="86" t="inlineStr">
        <is>
          <t>NR</t>
        </is>
      </c>
      <c r="AE91" s="86" t="inlineStr">
        <is>
          <t>mixed</t>
        </is>
      </c>
      <c r="AF91" s="56" t="inlineStr">
        <is>
          <t>high</t>
        </is>
      </c>
      <c r="AG91" s="56" t="inlineStr">
        <is>
          <t>high</t>
        </is>
      </c>
      <c r="AH91" s="86" t="n">
        <v>500</v>
      </c>
      <c r="AI91" s="86" t="n">
        <v>0.5</v>
      </c>
      <c r="AJ91" s="86" t="n">
        <v>250</v>
      </c>
      <c r="AK91" s="86" t="n">
        <v>250</v>
      </c>
      <c r="AL91" s="86" t="n">
        <v>0.864</v>
      </c>
      <c r="AM91" s="86" t="n">
        <v>0.876</v>
      </c>
      <c r="AN91" s="86" t="n">
        <v>216</v>
      </c>
      <c r="AO91" s="86" t="n">
        <v>34</v>
      </c>
      <c r="AP91" s="86" t="n">
        <v>219</v>
      </c>
      <c r="AQ91" s="86" t="n">
        <v>31</v>
      </c>
    </row>
    <row r="92" ht="16" customHeight="1" s="55">
      <c r="A92" s="88" t="inlineStr">
        <is>
          <t>Li et al. 2024b</t>
        </is>
      </c>
      <c r="B92" s="86" t="inlineStr">
        <is>
          <t>Reader</t>
        </is>
      </c>
      <c r="C92" s="86" t="inlineStr">
        <is>
          <t>PCP4 intermediate (portable urban, round1)</t>
        </is>
      </c>
      <c r="D92" s="84" t="inlineStr">
        <is>
          <t>physician</t>
        </is>
      </c>
      <c r="E92" s="84" t="inlineStr">
        <is>
          <t>human_only</t>
        </is>
      </c>
      <c r="F92" s="86" t="inlineStr">
        <is>
          <t>original</t>
        </is>
      </c>
      <c r="G92" s="86" t="inlineStr">
        <is>
          <t>retrospective</t>
        </is>
      </c>
      <c r="H92" s="84" t="inlineStr">
        <is>
          <t>cross-sectional</t>
        </is>
      </c>
      <c r="I92" s="84" t="inlineStr">
        <is>
          <t>yes</t>
        </is>
      </c>
      <c r="J92" s="84" t="inlineStr">
        <is>
          <t>health examination centers</t>
        </is>
      </c>
      <c r="K92" s="86" t="inlineStr">
        <is>
          <t>middle</t>
        </is>
      </c>
      <c r="L92" s="86" t="inlineStr">
        <is>
          <t>primary</t>
        </is>
      </c>
      <c r="M92" s="86" t="inlineStr">
        <is>
          <t>yes</t>
        </is>
      </c>
      <c r="N92" s="86" t="inlineStr">
        <is>
          <t>rdr</t>
        </is>
      </c>
      <c r="O92" s="86" t="inlineStr">
        <is>
          <t>yes</t>
        </is>
      </c>
      <c r="P92" s="86" t="inlineStr">
        <is>
          <t>mixed</t>
        </is>
      </c>
      <c r="Q92" s="86" t="inlineStr">
        <is>
          <t>portable</t>
        </is>
      </c>
      <c r="R92" s="84" t="inlineStr">
        <is>
          <t>multiple</t>
        </is>
      </c>
      <c r="S92" s="84" t="inlineStr">
        <is>
          <t>ikang</t>
        </is>
      </c>
      <c r="T92" s="86" t="inlineStr">
        <is>
          <t>icdr</t>
        </is>
      </c>
      <c r="U92" s="84" t="inlineStr">
        <is>
          <t>PP</t>
        </is>
      </c>
      <c r="V92" s="86" t="inlineStr">
        <is>
          <t>expert panel</t>
        </is>
      </c>
      <c r="W92" s="56" t="inlineStr">
        <is>
          <t>no</t>
        </is>
      </c>
      <c r="X92" s="86" t="inlineStr">
        <is>
          <t>fundus</t>
        </is>
      </c>
      <c r="Y92" s="86" t="inlineStr">
        <is>
          <t>NR</t>
        </is>
      </c>
      <c r="Z92" s="58" t="inlineStr">
        <is>
          <t>yes</t>
        </is>
      </c>
      <c r="AA92" s="58" t="inlineStr">
        <is>
          <t>no</t>
        </is>
      </c>
      <c r="AB92" s="58" t="inlineStr">
        <is>
          <t>no</t>
        </is>
      </c>
      <c r="AC92" s="84" t="inlineStr">
        <is>
          <t>yes</t>
        </is>
      </c>
      <c r="AD92" s="86" t="inlineStr">
        <is>
          <t>NR</t>
        </is>
      </c>
      <c r="AE92" s="86" t="inlineStr">
        <is>
          <t>mixed</t>
        </is>
      </c>
      <c r="AF92" s="56" t="inlineStr">
        <is>
          <t>high</t>
        </is>
      </c>
      <c r="AG92" s="56" t="inlineStr">
        <is>
          <t>high</t>
        </is>
      </c>
      <c r="AH92" s="86" t="n">
        <v>500</v>
      </c>
      <c r="AI92" s="86" t="n">
        <v>0.5</v>
      </c>
      <c r="AJ92" s="86" t="n">
        <v>250</v>
      </c>
      <c r="AK92" s="86" t="n">
        <v>250</v>
      </c>
      <c r="AL92" s="86" t="n">
        <v>0.824</v>
      </c>
      <c r="AM92" s="86" t="n">
        <v>0.892</v>
      </c>
      <c r="AN92" s="86" t="n">
        <v>206</v>
      </c>
      <c r="AO92" s="86" t="n">
        <v>44</v>
      </c>
      <c r="AP92" s="86" t="n">
        <v>223</v>
      </c>
      <c r="AQ92" s="86" t="n">
        <v>27</v>
      </c>
    </row>
    <row r="93" ht="16" customHeight="1" s="55">
      <c r="A93" s="88" t="inlineStr">
        <is>
          <t>Li et al. 2024b</t>
        </is>
      </c>
      <c r="B93" s="86" t="inlineStr">
        <is>
          <t>Reader</t>
        </is>
      </c>
      <c r="C93" s="86" t="inlineStr">
        <is>
          <t>PCP5 senior (portable urban, round1)</t>
        </is>
      </c>
      <c r="D93" s="84" t="inlineStr">
        <is>
          <t>physician</t>
        </is>
      </c>
      <c r="E93" s="84" t="inlineStr">
        <is>
          <t>human_only</t>
        </is>
      </c>
      <c r="F93" s="86" t="inlineStr">
        <is>
          <t>original</t>
        </is>
      </c>
      <c r="G93" s="86" t="inlineStr">
        <is>
          <t>retrospective</t>
        </is>
      </c>
      <c r="H93" s="84" t="inlineStr">
        <is>
          <t>cross-sectional</t>
        </is>
      </c>
      <c r="I93" s="84" t="inlineStr">
        <is>
          <t>yes</t>
        </is>
      </c>
      <c r="J93" s="84" t="inlineStr">
        <is>
          <t>health examination centers</t>
        </is>
      </c>
      <c r="K93" s="86" t="inlineStr">
        <is>
          <t>middle</t>
        </is>
      </c>
      <c r="L93" s="86" t="inlineStr">
        <is>
          <t>primary</t>
        </is>
      </c>
      <c r="M93" s="86" t="inlineStr">
        <is>
          <t>yes</t>
        </is>
      </c>
      <c r="N93" s="86" t="inlineStr">
        <is>
          <t>rdr</t>
        </is>
      </c>
      <c r="O93" s="86" t="inlineStr">
        <is>
          <t>yes</t>
        </is>
      </c>
      <c r="P93" s="86" t="inlineStr">
        <is>
          <t>mixed</t>
        </is>
      </c>
      <c r="Q93" s="86" t="inlineStr">
        <is>
          <t>portable</t>
        </is>
      </c>
      <c r="R93" s="84" t="inlineStr">
        <is>
          <t>multiple</t>
        </is>
      </c>
      <c r="S93" s="84" t="inlineStr">
        <is>
          <t>ikang</t>
        </is>
      </c>
      <c r="T93" s="86" t="inlineStr">
        <is>
          <t>icdr</t>
        </is>
      </c>
      <c r="U93" s="84" t="inlineStr">
        <is>
          <t>PP</t>
        </is>
      </c>
      <c r="V93" s="86" t="inlineStr">
        <is>
          <t>expert panel</t>
        </is>
      </c>
      <c r="W93" s="56" t="inlineStr">
        <is>
          <t>no</t>
        </is>
      </c>
      <c r="X93" s="86" t="inlineStr">
        <is>
          <t>fundus</t>
        </is>
      </c>
      <c r="Y93" s="86" t="inlineStr">
        <is>
          <t>NR</t>
        </is>
      </c>
      <c r="Z93" s="58" t="inlineStr">
        <is>
          <t>yes</t>
        </is>
      </c>
      <c r="AA93" s="58" t="inlineStr">
        <is>
          <t>no</t>
        </is>
      </c>
      <c r="AB93" s="58" t="inlineStr">
        <is>
          <t>no</t>
        </is>
      </c>
      <c r="AC93" s="84" t="inlineStr">
        <is>
          <t>yes</t>
        </is>
      </c>
      <c r="AD93" s="86" t="inlineStr">
        <is>
          <t>NR</t>
        </is>
      </c>
      <c r="AE93" s="86" t="inlineStr">
        <is>
          <t>mixed</t>
        </is>
      </c>
      <c r="AF93" s="56" t="inlineStr">
        <is>
          <t>high</t>
        </is>
      </c>
      <c r="AG93" s="56" t="inlineStr">
        <is>
          <t>high</t>
        </is>
      </c>
      <c r="AH93" s="86" t="n">
        <v>500</v>
      </c>
      <c r="AI93" s="86" t="n">
        <v>0.5</v>
      </c>
      <c r="AJ93" s="86" t="n">
        <v>250</v>
      </c>
      <c r="AK93" s="86" t="n">
        <v>250</v>
      </c>
      <c r="AL93" s="86" t="n">
        <v>0.908</v>
      </c>
      <c r="AM93" s="86" t="n">
        <v>0.912</v>
      </c>
      <c r="AN93" s="86" t="n">
        <v>227</v>
      </c>
      <c r="AO93" s="86" t="n">
        <v>23</v>
      </c>
      <c r="AP93" s="86" t="n">
        <v>228</v>
      </c>
      <c r="AQ93" s="86" t="n">
        <v>22</v>
      </c>
    </row>
    <row r="94" ht="16" customHeight="1" s="55">
      <c r="A94" s="88" t="inlineStr">
        <is>
          <t>Li et al. 2024b</t>
        </is>
      </c>
      <c r="B94" s="86" t="inlineStr">
        <is>
          <t>Reader</t>
        </is>
      </c>
      <c r="C94" s="86" t="inlineStr">
        <is>
          <t>PCP6 senior (portable urban, round1)</t>
        </is>
      </c>
      <c r="D94" s="84" t="inlineStr">
        <is>
          <t>physician</t>
        </is>
      </c>
      <c r="E94" s="84" t="inlineStr">
        <is>
          <t>human_only</t>
        </is>
      </c>
      <c r="F94" s="86" t="inlineStr">
        <is>
          <t>original</t>
        </is>
      </c>
      <c r="G94" s="86" t="inlineStr">
        <is>
          <t>retrospective</t>
        </is>
      </c>
      <c r="H94" s="84" t="inlineStr">
        <is>
          <t>cross-sectional</t>
        </is>
      </c>
      <c r="I94" s="84" t="inlineStr">
        <is>
          <t>yes</t>
        </is>
      </c>
      <c r="J94" s="84" t="inlineStr">
        <is>
          <t>health examination centers</t>
        </is>
      </c>
      <c r="K94" s="86" t="inlineStr">
        <is>
          <t>middle</t>
        </is>
      </c>
      <c r="L94" s="86" t="inlineStr">
        <is>
          <t>primary</t>
        </is>
      </c>
      <c r="M94" s="86" t="inlineStr">
        <is>
          <t>yes</t>
        </is>
      </c>
      <c r="N94" s="86" t="inlineStr">
        <is>
          <t>rdr</t>
        </is>
      </c>
      <c r="O94" s="86" t="inlineStr">
        <is>
          <t>yes</t>
        </is>
      </c>
      <c r="P94" s="86" t="inlineStr">
        <is>
          <t>mixed</t>
        </is>
      </c>
      <c r="Q94" s="86" t="inlineStr">
        <is>
          <t>portable</t>
        </is>
      </c>
      <c r="R94" s="84" t="inlineStr">
        <is>
          <t>multiple</t>
        </is>
      </c>
      <c r="S94" s="84" t="inlineStr">
        <is>
          <t>ikang</t>
        </is>
      </c>
      <c r="T94" s="86" t="inlineStr">
        <is>
          <t>icdr</t>
        </is>
      </c>
      <c r="U94" s="84" t="inlineStr">
        <is>
          <t>PP</t>
        </is>
      </c>
      <c r="V94" s="86" t="inlineStr">
        <is>
          <t>expert panel</t>
        </is>
      </c>
      <c r="W94" s="56" t="inlineStr">
        <is>
          <t>no</t>
        </is>
      </c>
      <c r="X94" s="86" t="inlineStr">
        <is>
          <t>fundus</t>
        </is>
      </c>
      <c r="Y94" s="86" t="inlineStr">
        <is>
          <t>NR</t>
        </is>
      </c>
      <c r="Z94" s="58" t="inlineStr">
        <is>
          <t>yes</t>
        </is>
      </c>
      <c r="AA94" s="58" t="inlineStr">
        <is>
          <t>no</t>
        </is>
      </c>
      <c r="AB94" s="58" t="inlineStr">
        <is>
          <t>no</t>
        </is>
      </c>
      <c r="AC94" s="84" t="inlineStr">
        <is>
          <t>yes</t>
        </is>
      </c>
      <c r="AD94" s="86" t="inlineStr">
        <is>
          <t>NR</t>
        </is>
      </c>
      <c r="AE94" s="86" t="inlineStr">
        <is>
          <t>mixed</t>
        </is>
      </c>
      <c r="AF94" s="56" t="inlineStr">
        <is>
          <t>high</t>
        </is>
      </c>
      <c r="AG94" s="56" t="inlineStr">
        <is>
          <t>high</t>
        </is>
      </c>
      <c r="AH94" s="86" t="n">
        <v>500</v>
      </c>
      <c r="AI94" s="86" t="n">
        <v>0.5</v>
      </c>
      <c r="AJ94" s="86" t="n">
        <v>250</v>
      </c>
      <c r="AK94" s="86" t="n">
        <v>250</v>
      </c>
      <c r="AL94" s="86" t="n">
        <v>0.896</v>
      </c>
      <c r="AM94" s="86" t="n">
        <v>0.928</v>
      </c>
      <c r="AN94" s="86" t="n">
        <v>224</v>
      </c>
      <c r="AO94" s="86" t="n">
        <v>26</v>
      </c>
      <c r="AP94" s="86" t="n">
        <v>232</v>
      </c>
      <c r="AQ94" s="86" t="n">
        <v>18</v>
      </c>
    </row>
    <row r="95" ht="16" customHeight="1" s="55">
      <c r="A95" s="88" t="inlineStr">
        <is>
          <t>Li et al. 2024b</t>
        </is>
      </c>
      <c r="B95" s="86" t="inlineStr">
        <is>
          <t>Reader</t>
        </is>
      </c>
      <c r="C95" s="86" t="inlineStr">
        <is>
          <t>PCP7 junior (portable rural, round1)</t>
        </is>
      </c>
      <c r="D95" s="84" t="inlineStr">
        <is>
          <t>physician</t>
        </is>
      </c>
      <c r="E95" s="84" t="inlineStr">
        <is>
          <t>human_only</t>
        </is>
      </c>
      <c r="F95" s="86" t="inlineStr">
        <is>
          <t>original</t>
        </is>
      </c>
      <c r="G95" s="86" t="inlineStr">
        <is>
          <t>retrospective</t>
        </is>
      </c>
      <c r="H95" s="84" t="inlineStr">
        <is>
          <t>cross-sectional</t>
        </is>
      </c>
      <c r="I95" s="84" t="inlineStr">
        <is>
          <t>yes</t>
        </is>
      </c>
      <c r="J95" s="84" t="inlineStr">
        <is>
          <t>health examination centers</t>
        </is>
      </c>
      <c r="K95" s="86" t="inlineStr">
        <is>
          <t>middle</t>
        </is>
      </c>
      <c r="L95" s="86" t="inlineStr">
        <is>
          <t>primary</t>
        </is>
      </c>
      <c r="M95" s="86" t="inlineStr">
        <is>
          <t>yes</t>
        </is>
      </c>
      <c r="N95" s="86" t="inlineStr">
        <is>
          <t>rdr</t>
        </is>
      </c>
      <c r="O95" s="86" t="inlineStr">
        <is>
          <t>yes</t>
        </is>
      </c>
      <c r="P95" s="86" t="inlineStr">
        <is>
          <t>mixed</t>
        </is>
      </c>
      <c r="Q95" s="86" t="inlineStr">
        <is>
          <t>portable</t>
        </is>
      </c>
      <c r="R95" s="84" t="inlineStr">
        <is>
          <t>multiple</t>
        </is>
      </c>
      <c r="S95" s="84" t="inlineStr">
        <is>
          <t>ikang</t>
        </is>
      </c>
      <c r="T95" s="86" t="inlineStr">
        <is>
          <t>icdr</t>
        </is>
      </c>
      <c r="U95" s="84" t="inlineStr">
        <is>
          <t>PP</t>
        </is>
      </c>
      <c r="V95" s="86" t="inlineStr">
        <is>
          <t>expert panel</t>
        </is>
      </c>
      <c r="W95" s="56" t="inlineStr">
        <is>
          <t>no</t>
        </is>
      </c>
      <c r="X95" s="86" t="inlineStr">
        <is>
          <t>fundus</t>
        </is>
      </c>
      <c r="Y95" s="86" t="inlineStr">
        <is>
          <t>NR</t>
        </is>
      </c>
      <c r="Z95" s="58" t="inlineStr">
        <is>
          <t>yes</t>
        </is>
      </c>
      <c r="AA95" s="58" t="inlineStr">
        <is>
          <t>no</t>
        </is>
      </c>
      <c r="AB95" s="58" t="inlineStr">
        <is>
          <t>no</t>
        </is>
      </c>
      <c r="AC95" s="84" t="inlineStr">
        <is>
          <t>yes</t>
        </is>
      </c>
      <c r="AD95" s="86" t="inlineStr">
        <is>
          <t>NR</t>
        </is>
      </c>
      <c r="AE95" s="86" t="inlineStr">
        <is>
          <t>mixed</t>
        </is>
      </c>
      <c r="AF95" s="56" t="inlineStr">
        <is>
          <t>high</t>
        </is>
      </c>
      <c r="AG95" s="56" t="inlineStr">
        <is>
          <t>high</t>
        </is>
      </c>
      <c r="AH95" s="86" t="n">
        <v>500</v>
      </c>
      <c r="AI95" s="86" t="n">
        <v>0.5</v>
      </c>
      <c r="AJ95" s="86" t="n">
        <v>250</v>
      </c>
      <c r="AK95" s="86" t="n">
        <v>250</v>
      </c>
      <c r="AL95" s="86" t="n">
        <v>0.712</v>
      </c>
      <c r="AM95" s="86" t="n">
        <v>0.964</v>
      </c>
      <c r="AN95" s="86" t="n">
        <v>178</v>
      </c>
      <c r="AO95" s="86" t="n">
        <v>72</v>
      </c>
      <c r="AP95" s="86" t="n">
        <v>241</v>
      </c>
      <c r="AQ95" s="86" t="n">
        <v>9</v>
      </c>
    </row>
    <row r="96" ht="16" customHeight="1" s="55">
      <c r="A96" s="88" t="inlineStr">
        <is>
          <t>Li et al. 2024b</t>
        </is>
      </c>
      <c r="B96" s="86" t="inlineStr">
        <is>
          <t>Reader</t>
        </is>
      </c>
      <c r="C96" s="86" t="inlineStr">
        <is>
          <t>PCP8 junior (portable rural, round1)</t>
        </is>
      </c>
      <c r="D96" s="84" t="inlineStr">
        <is>
          <t>physician</t>
        </is>
      </c>
      <c r="E96" s="84" t="inlineStr">
        <is>
          <t>human_only</t>
        </is>
      </c>
      <c r="F96" s="86" t="inlineStr">
        <is>
          <t>original</t>
        </is>
      </c>
      <c r="G96" s="86" t="inlineStr">
        <is>
          <t>retrospective</t>
        </is>
      </c>
      <c r="H96" s="84" t="inlineStr">
        <is>
          <t>cross-sectional</t>
        </is>
      </c>
      <c r="I96" s="84" t="inlineStr">
        <is>
          <t>yes</t>
        </is>
      </c>
      <c r="J96" s="84" t="inlineStr">
        <is>
          <t>health examination centers</t>
        </is>
      </c>
      <c r="K96" s="86" t="inlineStr">
        <is>
          <t>middle</t>
        </is>
      </c>
      <c r="L96" s="86" t="inlineStr">
        <is>
          <t>primary</t>
        </is>
      </c>
      <c r="M96" s="86" t="inlineStr">
        <is>
          <t>yes</t>
        </is>
      </c>
      <c r="N96" s="86" t="inlineStr">
        <is>
          <t>rdr</t>
        </is>
      </c>
      <c r="O96" s="86" t="inlineStr">
        <is>
          <t>yes</t>
        </is>
      </c>
      <c r="P96" s="86" t="inlineStr">
        <is>
          <t>mixed</t>
        </is>
      </c>
      <c r="Q96" s="86" t="inlineStr">
        <is>
          <t>portable</t>
        </is>
      </c>
      <c r="R96" s="84" t="inlineStr">
        <is>
          <t>multiple</t>
        </is>
      </c>
      <c r="S96" s="84" t="inlineStr">
        <is>
          <t>ikang</t>
        </is>
      </c>
      <c r="T96" s="86" t="inlineStr">
        <is>
          <t>icdr</t>
        </is>
      </c>
      <c r="U96" s="84" t="inlineStr">
        <is>
          <t>PP</t>
        </is>
      </c>
      <c r="V96" s="86" t="inlineStr">
        <is>
          <t>expert panel</t>
        </is>
      </c>
      <c r="W96" s="56" t="inlineStr">
        <is>
          <t>no</t>
        </is>
      </c>
      <c r="X96" s="86" t="inlineStr">
        <is>
          <t>fundus</t>
        </is>
      </c>
      <c r="Y96" s="86" t="inlineStr">
        <is>
          <t>NR</t>
        </is>
      </c>
      <c r="Z96" s="58" t="inlineStr">
        <is>
          <t>yes</t>
        </is>
      </c>
      <c r="AA96" s="58" t="inlineStr">
        <is>
          <t>no</t>
        </is>
      </c>
      <c r="AB96" s="58" t="inlineStr">
        <is>
          <t>no</t>
        </is>
      </c>
      <c r="AC96" s="84" t="inlineStr">
        <is>
          <t>yes</t>
        </is>
      </c>
      <c r="AD96" s="86" t="inlineStr">
        <is>
          <t>NR</t>
        </is>
      </c>
      <c r="AE96" s="86" t="inlineStr">
        <is>
          <t>mixed</t>
        </is>
      </c>
      <c r="AF96" s="56" t="inlineStr">
        <is>
          <t>high</t>
        </is>
      </c>
      <c r="AG96" s="56" t="inlineStr">
        <is>
          <t>high</t>
        </is>
      </c>
      <c r="AH96" s="86" t="n">
        <v>500</v>
      </c>
      <c r="AI96" s="86" t="n">
        <v>0.5</v>
      </c>
      <c r="AJ96" s="86" t="n">
        <v>250</v>
      </c>
      <c r="AK96" s="86" t="n">
        <v>250</v>
      </c>
      <c r="AL96" s="86" t="n">
        <v>0.76</v>
      </c>
      <c r="AM96" s="86" t="n">
        <v>0.9399999999999999</v>
      </c>
      <c r="AN96" s="86" t="n">
        <v>190</v>
      </c>
      <c r="AO96" s="86" t="n">
        <v>60</v>
      </c>
      <c r="AP96" s="86" t="n">
        <v>235</v>
      </c>
      <c r="AQ96" s="86" t="n">
        <v>15</v>
      </c>
    </row>
    <row r="97" ht="16" customHeight="1" s="55">
      <c r="A97" s="88" t="inlineStr">
        <is>
          <t>Li et al. 2024b</t>
        </is>
      </c>
      <c r="B97" s="86" t="inlineStr">
        <is>
          <t>Reader</t>
        </is>
      </c>
      <c r="C97" s="86" t="inlineStr">
        <is>
          <t>PCP9 intermediate (portable rural, round1)</t>
        </is>
      </c>
      <c r="D97" s="84" t="inlineStr">
        <is>
          <t>physician</t>
        </is>
      </c>
      <c r="E97" s="84" t="inlineStr">
        <is>
          <t>human_only</t>
        </is>
      </c>
      <c r="F97" s="86" t="inlineStr">
        <is>
          <t>original</t>
        </is>
      </c>
      <c r="G97" s="86" t="inlineStr">
        <is>
          <t>retrospective</t>
        </is>
      </c>
      <c r="H97" s="84" t="inlineStr">
        <is>
          <t>cross-sectional</t>
        </is>
      </c>
      <c r="I97" s="84" t="inlineStr">
        <is>
          <t>yes</t>
        </is>
      </c>
      <c r="J97" s="84" t="inlineStr">
        <is>
          <t>health examination centers</t>
        </is>
      </c>
      <c r="K97" s="86" t="inlineStr">
        <is>
          <t>middle</t>
        </is>
      </c>
      <c r="L97" s="86" t="inlineStr">
        <is>
          <t>primary</t>
        </is>
      </c>
      <c r="M97" s="86" t="inlineStr">
        <is>
          <t>yes</t>
        </is>
      </c>
      <c r="N97" s="86" t="inlineStr">
        <is>
          <t>rdr</t>
        </is>
      </c>
      <c r="O97" s="86" t="inlineStr">
        <is>
          <t>yes</t>
        </is>
      </c>
      <c r="P97" s="86" t="inlineStr">
        <is>
          <t>mixed</t>
        </is>
      </c>
      <c r="Q97" s="86" t="inlineStr">
        <is>
          <t>portable</t>
        </is>
      </c>
      <c r="R97" s="84" t="inlineStr">
        <is>
          <t>multiple</t>
        </is>
      </c>
      <c r="S97" s="84" t="inlineStr">
        <is>
          <t>ikang</t>
        </is>
      </c>
      <c r="T97" s="86" t="inlineStr">
        <is>
          <t>icdr</t>
        </is>
      </c>
      <c r="U97" s="84" t="inlineStr">
        <is>
          <t>PP</t>
        </is>
      </c>
      <c r="V97" s="86" t="inlineStr">
        <is>
          <t>expert panel</t>
        </is>
      </c>
      <c r="W97" s="56" t="inlineStr">
        <is>
          <t>no</t>
        </is>
      </c>
      <c r="X97" s="86" t="inlineStr">
        <is>
          <t>fundus</t>
        </is>
      </c>
      <c r="Y97" s="86" t="inlineStr">
        <is>
          <t>NR</t>
        </is>
      </c>
      <c r="Z97" s="58" t="inlineStr">
        <is>
          <t>yes</t>
        </is>
      </c>
      <c r="AA97" s="58" t="inlineStr">
        <is>
          <t>no</t>
        </is>
      </c>
      <c r="AB97" s="58" t="inlineStr">
        <is>
          <t>no</t>
        </is>
      </c>
      <c r="AC97" s="84" t="inlineStr">
        <is>
          <t>yes</t>
        </is>
      </c>
      <c r="AD97" s="86" t="inlineStr">
        <is>
          <t>NR</t>
        </is>
      </c>
      <c r="AE97" s="86" t="inlineStr">
        <is>
          <t>mixed</t>
        </is>
      </c>
      <c r="AF97" s="56" t="inlineStr">
        <is>
          <t>high</t>
        </is>
      </c>
      <c r="AG97" s="56" t="inlineStr">
        <is>
          <t>high</t>
        </is>
      </c>
      <c r="AH97" s="86" t="n">
        <v>500</v>
      </c>
      <c r="AI97" s="86" t="n">
        <v>0.5</v>
      </c>
      <c r="AJ97" s="86" t="n">
        <v>250</v>
      </c>
      <c r="AK97" s="86" t="n">
        <v>250</v>
      </c>
      <c r="AL97" s="86" t="n">
        <v>0.748</v>
      </c>
      <c r="AM97" s="86" t="n">
        <v>0.9320000000000001</v>
      </c>
      <c r="AN97" s="86" t="n">
        <v>187</v>
      </c>
      <c r="AO97" s="86" t="n">
        <v>63</v>
      </c>
      <c r="AP97" s="86" t="n">
        <v>233</v>
      </c>
      <c r="AQ97" s="86" t="n">
        <v>17</v>
      </c>
    </row>
    <row r="98" ht="16" customHeight="1" s="55">
      <c r="A98" s="88" t="inlineStr">
        <is>
          <t>Li et al. 2024b</t>
        </is>
      </c>
      <c r="B98" s="86" t="inlineStr">
        <is>
          <t>Reader</t>
        </is>
      </c>
      <c r="C98" s="86" t="inlineStr">
        <is>
          <t>PCP10 intermediate (portable rural, round1)</t>
        </is>
      </c>
      <c r="D98" s="84" t="inlineStr">
        <is>
          <t>physician</t>
        </is>
      </c>
      <c r="E98" s="84" t="inlineStr">
        <is>
          <t>human_only</t>
        </is>
      </c>
      <c r="F98" s="86" t="inlineStr">
        <is>
          <t>original</t>
        </is>
      </c>
      <c r="G98" s="86" t="inlineStr">
        <is>
          <t>retrospective</t>
        </is>
      </c>
      <c r="H98" s="84" t="inlineStr">
        <is>
          <t>cross-sectional</t>
        </is>
      </c>
      <c r="I98" s="84" t="inlineStr">
        <is>
          <t>yes</t>
        </is>
      </c>
      <c r="J98" s="84" t="inlineStr">
        <is>
          <t>health examination centers</t>
        </is>
      </c>
      <c r="K98" s="86" t="inlineStr">
        <is>
          <t>middle</t>
        </is>
      </c>
      <c r="L98" s="86" t="inlineStr">
        <is>
          <t>primary</t>
        </is>
      </c>
      <c r="M98" s="86" t="inlineStr">
        <is>
          <t>yes</t>
        </is>
      </c>
      <c r="N98" s="86" t="inlineStr">
        <is>
          <t>rdr</t>
        </is>
      </c>
      <c r="O98" s="86" t="inlineStr">
        <is>
          <t>yes</t>
        </is>
      </c>
      <c r="P98" s="86" t="inlineStr">
        <is>
          <t>mixed</t>
        </is>
      </c>
      <c r="Q98" s="86" t="inlineStr">
        <is>
          <t>portable</t>
        </is>
      </c>
      <c r="R98" s="84" t="inlineStr">
        <is>
          <t>multiple</t>
        </is>
      </c>
      <c r="S98" s="84" t="inlineStr">
        <is>
          <t>ikang</t>
        </is>
      </c>
      <c r="T98" s="86" t="inlineStr">
        <is>
          <t>icdr</t>
        </is>
      </c>
      <c r="U98" s="84" t="inlineStr">
        <is>
          <t>PP</t>
        </is>
      </c>
      <c r="V98" s="86" t="inlineStr">
        <is>
          <t>expert panel</t>
        </is>
      </c>
      <c r="W98" s="56" t="inlineStr">
        <is>
          <t>no</t>
        </is>
      </c>
      <c r="X98" s="86" t="inlineStr">
        <is>
          <t>fundus</t>
        </is>
      </c>
      <c r="Y98" s="86" t="inlineStr">
        <is>
          <t>NR</t>
        </is>
      </c>
      <c r="Z98" s="58" t="inlineStr">
        <is>
          <t>yes</t>
        </is>
      </c>
      <c r="AA98" s="58" t="inlineStr">
        <is>
          <t>no</t>
        </is>
      </c>
      <c r="AB98" s="58" t="inlineStr">
        <is>
          <t>no</t>
        </is>
      </c>
      <c r="AC98" s="84" t="inlineStr">
        <is>
          <t>yes</t>
        </is>
      </c>
      <c r="AD98" s="86" t="inlineStr">
        <is>
          <t>NR</t>
        </is>
      </c>
      <c r="AE98" s="86" t="inlineStr">
        <is>
          <t>mixed</t>
        </is>
      </c>
      <c r="AF98" s="56" t="inlineStr">
        <is>
          <t>high</t>
        </is>
      </c>
      <c r="AG98" s="56" t="inlineStr">
        <is>
          <t>high</t>
        </is>
      </c>
      <c r="AH98" s="86" t="n">
        <v>500</v>
      </c>
      <c r="AI98" s="86" t="n">
        <v>0.5</v>
      </c>
      <c r="AJ98" s="86" t="n">
        <v>250</v>
      </c>
      <c r="AK98" s="86" t="n">
        <v>250</v>
      </c>
      <c r="AL98" s="86" t="n">
        <v>0.8120000000000001</v>
      </c>
      <c r="AM98" s="86" t="n">
        <v>0.9320000000000001</v>
      </c>
      <c r="AN98" s="86" t="n">
        <v>203</v>
      </c>
      <c r="AO98" s="86" t="n">
        <v>47</v>
      </c>
      <c r="AP98" s="86" t="n">
        <v>233</v>
      </c>
      <c r="AQ98" s="86" t="n">
        <v>17</v>
      </c>
    </row>
    <row r="99" ht="16" customHeight="1" s="55">
      <c r="A99" s="88" t="inlineStr">
        <is>
          <t>Li et al. 2024b</t>
        </is>
      </c>
      <c r="B99" s="86" t="inlineStr">
        <is>
          <t>Reader</t>
        </is>
      </c>
      <c r="C99" s="86" t="inlineStr">
        <is>
          <t>PCP11 senior (portable rural, round1)</t>
        </is>
      </c>
      <c r="D99" s="84" t="inlineStr">
        <is>
          <t>physician</t>
        </is>
      </c>
      <c r="E99" s="84" t="inlineStr">
        <is>
          <t>human_only</t>
        </is>
      </c>
      <c r="F99" s="86" t="inlineStr">
        <is>
          <t>original</t>
        </is>
      </c>
      <c r="G99" s="86" t="inlineStr">
        <is>
          <t>retrospective</t>
        </is>
      </c>
      <c r="H99" s="84" t="inlineStr">
        <is>
          <t>cross-sectional</t>
        </is>
      </c>
      <c r="I99" s="84" t="inlineStr">
        <is>
          <t>yes</t>
        </is>
      </c>
      <c r="J99" s="84" t="inlineStr">
        <is>
          <t>health examination centers</t>
        </is>
      </c>
      <c r="K99" s="86" t="inlineStr">
        <is>
          <t>middle</t>
        </is>
      </c>
      <c r="L99" s="86" t="inlineStr">
        <is>
          <t>primary</t>
        </is>
      </c>
      <c r="M99" s="86" t="inlineStr">
        <is>
          <t>yes</t>
        </is>
      </c>
      <c r="N99" s="86" t="inlineStr">
        <is>
          <t>rdr</t>
        </is>
      </c>
      <c r="O99" s="86" t="inlineStr">
        <is>
          <t>yes</t>
        </is>
      </c>
      <c r="P99" s="86" t="inlineStr">
        <is>
          <t>mixed</t>
        </is>
      </c>
      <c r="Q99" s="86" t="inlineStr">
        <is>
          <t>portable</t>
        </is>
      </c>
      <c r="R99" s="84" t="inlineStr">
        <is>
          <t>multiple</t>
        </is>
      </c>
      <c r="S99" s="84" t="inlineStr">
        <is>
          <t>ikang</t>
        </is>
      </c>
      <c r="T99" s="86" t="inlineStr">
        <is>
          <t>icdr</t>
        </is>
      </c>
      <c r="U99" s="84" t="inlineStr">
        <is>
          <t>PP</t>
        </is>
      </c>
      <c r="V99" s="86" t="inlineStr">
        <is>
          <t>expert panel</t>
        </is>
      </c>
      <c r="W99" s="56" t="inlineStr">
        <is>
          <t>no</t>
        </is>
      </c>
      <c r="X99" s="86" t="inlineStr">
        <is>
          <t>fundus</t>
        </is>
      </c>
      <c r="Y99" s="86" t="inlineStr">
        <is>
          <t>NR</t>
        </is>
      </c>
      <c r="Z99" s="58" t="inlineStr">
        <is>
          <t>yes</t>
        </is>
      </c>
      <c r="AA99" s="58" t="inlineStr">
        <is>
          <t>no</t>
        </is>
      </c>
      <c r="AB99" s="58" t="inlineStr">
        <is>
          <t>no</t>
        </is>
      </c>
      <c r="AC99" s="84" t="inlineStr">
        <is>
          <t>yes</t>
        </is>
      </c>
      <c r="AD99" s="86" t="inlineStr">
        <is>
          <t>NR</t>
        </is>
      </c>
      <c r="AE99" s="86" t="inlineStr">
        <is>
          <t>mixed</t>
        </is>
      </c>
      <c r="AF99" s="56" t="inlineStr">
        <is>
          <t>high</t>
        </is>
      </c>
      <c r="AG99" s="56" t="inlineStr">
        <is>
          <t>high</t>
        </is>
      </c>
      <c r="AH99" s="86" t="n">
        <v>500</v>
      </c>
      <c r="AI99" s="86" t="n">
        <v>0.5</v>
      </c>
      <c r="AJ99" s="86" t="n">
        <v>250</v>
      </c>
      <c r="AK99" s="86" t="n">
        <v>250</v>
      </c>
      <c r="AL99" s="86" t="n">
        <v>0.604</v>
      </c>
      <c r="AM99" s="86" t="n">
        <v>0.976</v>
      </c>
      <c r="AN99" s="86" t="n">
        <v>151</v>
      </c>
      <c r="AO99" s="86" t="n">
        <v>99</v>
      </c>
      <c r="AP99" s="86" t="n">
        <v>244</v>
      </c>
      <c r="AQ99" s="86" t="n">
        <v>6</v>
      </c>
    </row>
    <row r="100" ht="16" customHeight="1" s="55">
      <c r="A100" s="88" t="inlineStr">
        <is>
          <t>Li et al. 2024b</t>
        </is>
      </c>
      <c r="B100" s="86" t="inlineStr">
        <is>
          <t>Reader</t>
        </is>
      </c>
      <c r="C100" s="86" t="inlineStr">
        <is>
          <t>PCP12 senior (portable rural, round1)</t>
        </is>
      </c>
      <c r="D100" s="84" t="inlineStr">
        <is>
          <t>physician</t>
        </is>
      </c>
      <c r="E100" s="84" t="inlineStr">
        <is>
          <t>human_only</t>
        </is>
      </c>
      <c r="F100" s="86" t="inlineStr">
        <is>
          <t>original</t>
        </is>
      </c>
      <c r="G100" s="86" t="inlineStr">
        <is>
          <t>retrospective</t>
        </is>
      </c>
      <c r="H100" s="84" t="inlineStr">
        <is>
          <t>cross-sectional</t>
        </is>
      </c>
      <c r="I100" s="84" t="inlineStr">
        <is>
          <t>yes</t>
        </is>
      </c>
      <c r="J100" s="84" t="inlineStr">
        <is>
          <t>health examination centers</t>
        </is>
      </c>
      <c r="K100" s="86" t="inlineStr">
        <is>
          <t>middle</t>
        </is>
      </c>
      <c r="L100" s="86" t="inlineStr">
        <is>
          <t>primary</t>
        </is>
      </c>
      <c r="M100" s="86" t="inlineStr">
        <is>
          <t>yes</t>
        </is>
      </c>
      <c r="N100" s="86" t="inlineStr">
        <is>
          <t>rdr</t>
        </is>
      </c>
      <c r="O100" s="86" t="inlineStr">
        <is>
          <t>yes</t>
        </is>
      </c>
      <c r="P100" s="86" t="inlineStr">
        <is>
          <t>mixed</t>
        </is>
      </c>
      <c r="Q100" s="86" t="inlineStr">
        <is>
          <t>portable</t>
        </is>
      </c>
      <c r="R100" s="84" t="inlineStr">
        <is>
          <t>multiple</t>
        </is>
      </c>
      <c r="S100" s="84" t="inlineStr">
        <is>
          <t>ikang</t>
        </is>
      </c>
      <c r="T100" s="86" t="inlineStr">
        <is>
          <t>icdr</t>
        </is>
      </c>
      <c r="U100" s="84" t="inlineStr">
        <is>
          <t>PP</t>
        </is>
      </c>
      <c r="V100" s="86" t="inlineStr">
        <is>
          <t>expert panel</t>
        </is>
      </c>
      <c r="W100" s="56" t="inlineStr">
        <is>
          <t>no</t>
        </is>
      </c>
      <c r="X100" s="86" t="inlineStr">
        <is>
          <t>fundus</t>
        </is>
      </c>
      <c r="Y100" s="86" t="inlineStr">
        <is>
          <t>NR</t>
        </is>
      </c>
      <c r="Z100" s="58" t="inlineStr">
        <is>
          <t>yes</t>
        </is>
      </c>
      <c r="AA100" s="58" t="inlineStr">
        <is>
          <t>no</t>
        </is>
      </c>
      <c r="AB100" s="58" t="inlineStr">
        <is>
          <t>no</t>
        </is>
      </c>
      <c r="AC100" s="84" t="inlineStr">
        <is>
          <t>yes</t>
        </is>
      </c>
      <c r="AD100" s="86" t="inlineStr">
        <is>
          <t>NR</t>
        </is>
      </c>
      <c r="AE100" s="86" t="inlineStr">
        <is>
          <t>mixed</t>
        </is>
      </c>
      <c r="AF100" s="56" t="inlineStr">
        <is>
          <t>high</t>
        </is>
      </c>
      <c r="AG100" s="56" t="inlineStr">
        <is>
          <t>high</t>
        </is>
      </c>
      <c r="AH100" s="86" t="n">
        <v>500</v>
      </c>
      <c r="AI100" s="86" t="n">
        <v>0.5</v>
      </c>
      <c r="AJ100" s="86" t="n">
        <v>250</v>
      </c>
      <c r="AK100" s="86" t="n">
        <v>250</v>
      </c>
      <c r="AL100" s="86" t="n">
        <v>0.536</v>
      </c>
      <c r="AM100" s="86" t="n">
        <v>0.968</v>
      </c>
      <c r="AN100" s="86" t="n">
        <v>134</v>
      </c>
      <c r="AO100" s="86" t="n">
        <v>116</v>
      </c>
      <c r="AP100" s="86" t="n">
        <v>242</v>
      </c>
      <c r="AQ100" s="86" t="n">
        <v>8</v>
      </c>
    </row>
    <row r="101" ht="16" customHeight="1" s="55">
      <c r="A101" s="88" t="inlineStr">
        <is>
          <t>Li et al. 2024b</t>
        </is>
      </c>
      <c r="B101" s="86" t="inlineStr">
        <is>
          <t>DL_assisted_reader</t>
        </is>
      </c>
      <c r="C101" s="86" t="inlineStr">
        <is>
          <t>PCP1 junior (portable urban, round2 + DeepDR)</t>
        </is>
      </c>
      <c r="D101" s="84" t="inlineStr">
        <is>
          <t>physician</t>
        </is>
      </c>
      <c r="E101" s="84" t="inlineStr">
        <is>
          <t>human_with_ai</t>
        </is>
      </c>
      <c r="F101" s="86" t="inlineStr">
        <is>
          <t>original</t>
        </is>
      </c>
      <c r="G101" s="86" t="inlineStr">
        <is>
          <t>retrospective</t>
        </is>
      </c>
      <c r="H101" s="84" t="inlineStr">
        <is>
          <t>cross-sectional</t>
        </is>
      </c>
      <c r="I101" s="84" t="inlineStr">
        <is>
          <t>yes</t>
        </is>
      </c>
      <c r="J101" s="84" t="inlineStr">
        <is>
          <t>health examination centers</t>
        </is>
      </c>
      <c r="K101" s="86" t="inlineStr">
        <is>
          <t>middle</t>
        </is>
      </c>
      <c r="L101" s="86" t="inlineStr">
        <is>
          <t>primary</t>
        </is>
      </c>
      <c r="M101" s="86" t="inlineStr">
        <is>
          <t>yes</t>
        </is>
      </c>
      <c r="N101" s="86" t="inlineStr">
        <is>
          <t>rdr</t>
        </is>
      </c>
      <c r="O101" s="86" t="inlineStr">
        <is>
          <t>yes</t>
        </is>
      </c>
      <c r="P101" s="86" t="inlineStr">
        <is>
          <t>mixed</t>
        </is>
      </c>
      <c r="Q101" s="86" t="inlineStr">
        <is>
          <t>portable</t>
        </is>
      </c>
      <c r="R101" s="84" t="inlineStr">
        <is>
          <t>multiple</t>
        </is>
      </c>
      <c r="S101" s="84" t="inlineStr">
        <is>
          <t>ikang</t>
        </is>
      </c>
      <c r="T101" s="86" t="inlineStr">
        <is>
          <t>icdr</t>
        </is>
      </c>
      <c r="U101" s="84" t="inlineStr">
        <is>
          <t>PP</t>
        </is>
      </c>
      <c r="V101" s="86" t="inlineStr">
        <is>
          <t>expert panel</t>
        </is>
      </c>
      <c r="W101" s="56" t="inlineStr">
        <is>
          <t>no</t>
        </is>
      </c>
      <c r="X101" s="86" t="inlineStr">
        <is>
          <t>fundus</t>
        </is>
      </c>
      <c r="Y101" s="86" t="inlineStr">
        <is>
          <t>NR</t>
        </is>
      </c>
      <c r="Z101" s="58" t="inlineStr">
        <is>
          <t>yes</t>
        </is>
      </c>
      <c r="AA101" s="58" t="inlineStr">
        <is>
          <t>no</t>
        </is>
      </c>
      <c r="AB101" s="58" t="inlineStr">
        <is>
          <t>no</t>
        </is>
      </c>
      <c r="AC101" s="84" t="inlineStr">
        <is>
          <t>yes</t>
        </is>
      </c>
      <c r="AD101" s="58" t="inlineStr">
        <is>
          <t>ResNet</t>
        </is>
      </c>
      <c r="AE101" s="86" t="inlineStr">
        <is>
          <t>mixed</t>
        </is>
      </c>
      <c r="AF101" s="56" t="inlineStr">
        <is>
          <t>high</t>
        </is>
      </c>
      <c r="AG101" s="56" t="inlineStr">
        <is>
          <t>high</t>
        </is>
      </c>
      <c r="AH101" s="86" t="n">
        <v>500</v>
      </c>
      <c r="AI101" s="86" t="n">
        <v>0.5</v>
      </c>
      <c r="AJ101" s="86" t="n">
        <v>250</v>
      </c>
      <c r="AK101" s="86" t="n">
        <v>250</v>
      </c>
      <c r="AL101" s="86" t="n">
        <v>0.784</v>
      </c>
      <c r="AM101" s="86" t="n">
        <v>0.9399999999999999</v>
      </c>
      <c r="AN101" s="86" t="n">
        <v>196</v>
      </c>
      <c r="AO101" s="86" t="n">
        <v>54</v>
      </c>
      <c r="AP101" s="86" t="n">
        <v>235</v>
      </c>
      <c r="AQ101" s="86" t="n">
        <v>15</v>
      </c>
    </row>
    <row r="102" ht="16" customHeight="1" s="55">
      <c r="A102" s="88" t="inlineStr">
        <is>
          <t>Li et al. 2024b</t>
        </is>
      </c>
      <c r="B102" s="86" t="inlineStr">
        <is>
          <t>DL_assisted_reader</t>
        </is>
      </c>
      <c r="C102" s="86" t="inlineStr">
        <is>
          <t>PCP2 junior (portable urban, round2 + DeepDR)</t>
        </is>
      </c>
      <c r="D102" s="84" t="inlineStr">
        <is>
          <t>physician</t>
        </is>
      </c>
      <c r="E102" s="84" t="inlineStr">
        <is>
          <t>human_with_ai</t>
        </is>
      </c>
      <c r="F102" s="86" t="inlineStr">
        <is>
          <t>original</t>
        </is>
      </c>
      <c r="G102" s="86" t="inlineStr">
        <is>
          <t>retrospective</t>
        </is>
      </c>
      <c r="H102" s="84" t="inlineStr">
        <is>
          <t>cross-sectional</t>
        </is>
      </c>
      <c r="I102" s="84" t="inlineStr">
        <is>
          <t>yes</t>
        </is>
      </c>
      <c r="J102" s="84" t="inlineStr">
        <is>
          <t>health examination centers</t>
        </is>
      </c>
      <c r="K102" s="86" t="inlineStr">
        <is>
          <t>middle</t>
        </is>
      </c>
      <c r="L102" s="86" t="inlineStr">
        <is>
          <t>primary</t>
        </is>
      </c>
      <c r="M102" s="86" t="inlineStr">
        <is>
          <t>yes</t>
        </is>
      </c>
      <c r="N102" s="86" t="inlineStr">
        <is>
          <t>rdr</t>
        </is>
      </c>
      <c r="O102" s="86" t="inlineStr">
        <is>
          <t>yes</t>
        </is>
      </c>
      <c r="P102" s="86" t="inlineStr">
        <is>
          <t>mixed</t>
        </is>
      </c>
      <c r="Q102" s="86" t="inlineStr">
        <is>
          <t>portable</t>
        </is>
      </c>
      <c r="R102" s="84" t="inlineStr">
        <is>
          <t>multiple</t>
        </is>
      </c>
      <c r="S102" s="84" t="inlineStr">
        <is>
          <t>ikang</t>
        </is>
      </c>
      <c r="T102" s="86" t="inlineStr">
        <is>
          <t>icdr</t>
        </is>
      </c>
      <c r="U102" s="84" t="inlineStr">
        <is>
          <t>PP</t>
        </is>
      </c>
      <c r="V102" s="86" t="inlineStr">
        <is>
          <t>expert panel</t>
        </is>
      </c>
      <c r="W102" s="56" t="inlineStr">
        <is>
          <t>no</t>
        </is>
      </c>
      <c r="X102" s="86" t="inlineStr">
        <is>
          <t>fundus</t>
        </is>
      </c>
      <c r="Y102" s="86" t="inlineStr">
        <is>
          <t>NR</t>
        </is>
      </c>
      <c r="Z102" s="58" t="inlineStr">
        <is>
          <t>yes</t>
        </is>
      </c>
      <c r="AA102" s="58" t="inlineStr">
        <is>
          <t>no</t>
        </is>
      </c>
      <c r="AB102" s="58" t="inlineStr">
        <is>
          <t>no</t>
        </is>
      </c>
      <c r="AC102" s="84" t="inlineStr">
        <is>
          <t>yes</t>
        </is>
      </c>
      <c r="AD102" s="58" t="inlineStr">
        <is>
          <t>ResNet</t>
        </is>
      </c>
      <c r="AE102" s="86" t="inlineStr">
        <is>
          <t>mixed</t>
        </is>
      </c>
      <c r="AF102" s="56" t="inlineStr">
        <is>
          <t>high</t>
        </is>
      </c>
      <c r="AG102" s="56" t="inlineStr">
        <is>
          <t>high</t>
        </is>
      </c>
      <c r="AH102" s="86" t="n">
        <v>500</v>
      </c>
      <c r="AI102" s="86" t="n">
        <v>0.5</v>
      </c>
      <c r="AJ102" s="86" t="n">
        <v>250</v>
      </c>
      <c r="AK102" s="86" t="n">
        <v>250</v>
      </c>
      <c r="AL102" s="86" t="n">
        <v>0.852</v>
      </c>
      <c r="AM102" s="86" t="n">
        <v>0.82</v>
      </c>
      <c r="AN102" s="86" t="n">
        <v>213</v>
      </c>
      <c r="AO102" s="86" t="n">
        <v>37</v>
      </c>
      <c r="AP102" s="86" t="n">
        <v>205</v>
      </c>
      <c r="AQ102" s="86" t="n">
        <v>45</v>
      </c>
    </row>
    <row r="103" ht="16" customHeight="1" s="55">
      <c r="A103" s="88" t="inlineStr">
        <is>
          <t>Li et al. 2024b</t>
        </is>
      </c>
      <c r="B103" s="86" t="inlineStr">
        <is>
          <t>DL_assisted_reader</t>
        </is>
      </c>
      <c r="C103" s="86" t="inlineStr">
        <is>
          <t>PCP3 intermediate (portable urban, round2 + DeepDR)</t>
        </is>
      </c>
      <c r="D103" s="84" t="inlineStr">
        <is>
          <t>physician</t>
        </is>
      </c>
      <c r="E103" s="84" t="inlineStr">
        <is>
          <t>human_with_ai</t>
        </is>
      </c>
      <c r="F103" s="86" t="inlineStr">
        <is>
          <t>original</t>
        </is>
      </c>
      <c r="G103" s="86" t="inlineStr">
        <is>
          <t>retrospective</t>
        </is>
      </c>
      <c r="H103" s="84" t="inlineStr">
        <is>
          <t>cross-sectional</t>
        </is>
      </c>
      <c r="I103" s="84" t="inlineStr">
        <is>
          <t>yes</t>
        </is>
      </c>
      <c r="J103" s="84" t="inlineStr">
        <is>
          <t>health examination centers</t>
        </is>
      </c>
      <c r="K103" s="86" t="inlineStr">
        <is>
          <t>middle</t>
        </is>
      </c>
      <c r="L103" s="86" t="inlineStr">
        <is>
          <t>primary</t>
        </is>
      </c>
      <c r="M103" s="86" t="inlineStr">
        <is>
          <t>yes</t>
        </is>
      </c>
      <c r="N103" s="86" t="inlineStr">
        <is>
          <t>rdr</t>
        </is>
      </c>
      <c r="O103" s="86" t="inlineStr">
        <is>
          <t>yes</t>
        </is>
      </c>
      <c r="P103" s="86" t="inlineStr">
        <is>
          <t>mixed</t>
        </is>
      </c>
      <c r="Q103" s="86" t="inlineStr">
        <is>
          <t>portable</t>
        </is>
      </c>
      <c r="R103" s="84" t="inlineStr">
        <is>
          <t>multiple</t>
        </is>
      </c>
      <c r="S103" s="84" t="inlineStr">
        <is>
          <t>ikang</t>
        </is>
      </c>
      <c r="T103" s="86" t="inlineStr">
        <is>
          <t>icdr</t>
        </is>
      </c>
      <c r="U103" s="84" t="inlineStr">
        <is>
          <t>PP</t>
        </is>
      </c>
      <c r="V103" s="86" t="inlineStr">
        <is>
          <t>expert panel</t>
        </is>
      </c>
      <c r="W103" s="56" t="inlineStr">
        <is>
          <t>no</t>
        </is>
      </c>
      <c r="X103" s="86" t="inlineStr">
        <is>
          <t>fundus</t>
        </is>
      </c>
      <c r="Y103" s="86" t="inlineStr">
        <is>
          <t>NR</t>
        </is>
      </c>
      <c r="Z103" s="58" t="inlineStr">
        <is>
          <t>yes</t>
        </is>
      </c>
      <c r="AA103" s="58" t="inlineStr">
        <is>
          <t>no</t>
        </is>
      </c>
      <c r="AB103" s="58" t="inlineStr">
        <is>
          <t>no</t>
        </is>
      </c>
      <c r="AC103" s="84" t="inlineStr">
        <is>
          <t>yes</t>
        </is>
      </c>
      <c r="AD103" s="58" t="inlineStr">
        <is>
          <t>ResNet</t>
        </is>
      </c>
      <c r="AE103" s="86" t="inlineStr">
        <is>
          <t>mixed</t>
        </is>
      </c>
      <c r="AF103" s="56" t="inlineStr">
        <is>
          <t>high</t>
        </is>
      </c>
      <c r="AG103" s="56" t="inlineStr">
        <is>
          <t>high</t>
        </is>
      </c>
      <c r="AH103" s="86" t="n">
        <v>500</v>
      </c>
      <c r="AI103" s="86" t="n">
        <v>0.5</v>
      </c>
      <c r="AJ103" s="86" t="n">
        <v>250</v>
      </c>
      <c r="AK103" s="86" t="n">
        <v>250</v>
      </c>
      <c r="AL103" s="86" t="n">
        <v>0.996</v>
      </c>
      <c r="AM103" s="86" t="n">
        <v>0.904</v>
      </c>
      <c r="AN103" s="86" t="n">
        <v>249</v>
      </c>
      <c r="AO103" s="86" t="n">
        <v>1</v>
      </c>
      <c r="AP103" s="86" t="n">
        <v>226</v>
      </c>
      <c r="AQ103" s="86" t="n">
        <v>24</v>
      </c>
    </row>
    <row r="104" ht="16" customHeight="1" s="55">
      <c r="A104" s="88" t="inlineStr">
        <is>
          <t>Li et al. 2024b</t>
        </is>
      </c>
      <c r="B104" s="86" t="inlineStr">
        <is>
          <t>DL_assisted_reader</t>
        </is>
      </c>
      <c r="C104" s="86" t="inlineStr">
        <is>
          <t>PCP4 intermediate (portable urban, round2 + DeepDR)</t>
        </is>
      </c>
      <c r="D104" s="84" t="inlineStr">
        <is>
          <t>physician</t>
        </is>
      </c>
      <c r="E104" s="84" t="inlineStr">
        <is>
          <t>human_with_ai</t>
        </is>
      </c>
      <c r="F104" s="86" t="inlineStr">
        <is>
          <t>original</t>
        </is>
      </c>
      <c r="G104" s="86" t="inlineStr">
        <is>
          <t>retrospective</t>
        </is>
      </c>
      <c r="H104" s="84" t="inlineStr">
        <is>
          <t>cross-sectional</t>
        </is>
      </c>
      <c r="I104" s="84" t="inlineStr">
        <is>
          <t>yes</t>
        </is>
      </c>
      <c r="J104" s="84" t="inlineStr">
        <is>
          <t>health examination centers</t>
        </is>
      </c>
      <c r="K104" s="86" t="inlineStr">
        <is>
          <t>middle</t>
        </is>
      </c>
      <c r="L104" s="86" t="inlineStr">
        <is>
          <t>primary</t>
        </is>
      </c>
      <c r="M104" s="86" t="inlineStr">
        <is>
          <t>yes</t>
        </is>
      </c>
      <c r="N104" s="86" t="inlineStr">
        <is>
          <t>rdr</t>
        </is>
      </c>
      <c r="O104" s="86" t="inlineStr">
        <is>
          <t>yes</t>
        </is>
      </c>
      <c r="P104" s="86" t="inlineStr">
        <is>
          <t>mixed</t>
        </is>
      </c>
      <c r="Q104" s="86" t="inlineStr">
        <is>
          <t>portable</t>
        </is>
      </c>
      <c r="R104" s="84" t="inlineStr">
        <is>
          <t>multiple</t>
        </is>
      </c>
      <c r="S104" s="84" t="inlineStr">
        <is>
          <t>ikang</t>
        </is>
      </c>
      <c r="T104" s="86" t="inlineStr">
        <is>
          <t>icdr</t>
        </is>
      </c>
      <c r="U104" s="84" t="inlineStr">
        <is>
          <t>PP</t>
        </is>
      </c>
      <c r="V104" s="86" t="inlineStr">
        <is>
          <t>expert panel</t>
        </is>
      </c>
      <c r="W104" s="56" t="inlineStr">
        <is>
          <t>no</t>
        </is>
      </c>
      <c r="X104" s="86" t="inlineStr">
        <is>
          <t>fundus</t>
        </is>
      </c>
      <c r="Y104" s="86" t="inlineStr">
        <is>
          <t>NR</t>
        </is>
      </c>
      <c r="Z104" s="58" t="inlineStr">
        <is>
          <t>yes</t>
        </is>
      </c>
      <c r="AA104" s="58" t="inlineStr">
        <is>
          <t>no</t>
        </is>
      </c>
      <c r="AB104" s="58" t="inlineStr">
        <is>
          <t>no</t>
        </is>
      </c>
      <c r="AC104" s="84" t="inlineStr">
        <is>
          <t>yes</t>
        </is>
      </c>
      <c r="AD104" s="58" t="inlineStr">
        <is>
          <t>ResNet</t>
        </is>
      </c>
      <c r="AE104" s="86" t="inlineStr">
        <is>
          <t>mixed</t>
        </is>
      </c>
      <c r="AF104" s="56" t="inlineStr">
        <is>
          <t>high</t>
        </is>
      </c>
      <c r="AG104" s="56" t="inlineStr">
        <is>
          <t>high</t>
        </is>
      </c>
      <c r="AH104" s="86" t="n">
        <v>500</v>
      </c>
      <c r="AI104" s="86" t="n">
        <v>0.5</v>
      </c>
      <c r="AJ104" s="86" t="n">
        <v>250</v>
      </c>
      <c r="AK104" s="86" t="n">
        <v>250</v>
      </c>
      <c r="AL104" s="86" t="n">
        <v>0.896</v>
      </c>
      <c r="AM104" s="86" t="n">
        <v>0.908</v>
      </c>
      <c r="AN104" s="86" t="n">
        <v>224</v>
      </c>
      <c r="AO104" s="86" t="n">
        <v>26</v>
      </c>
      <c r="AP104" s="86" t="n">
        <v>227</v>
      </c>
      <c r="AQ104" s="86" t="n">
        <v>23</v>
      </c>
    </row>
    <row r="105" ht="16" customHeight="1" s="55">
      <c r="A105" s="88" t="inlineStr">
        <is>
          <t>Li et al. 2024b</t>
        </is>
      </c>
      <c r="B105" s="86" t="inlineStr">
        <is>
          <t>DL_assisted_reader</t>
        </is>
      </c>
      <c r="C105" s="86" t="inlineStr">
        <is>
          <t>PCP5 senior (portable urban, round2 + DeepDR)</t>
        </is>
      </c>
      <c r="D105" s="84" t="inlineStr">
        <is>
          <t>physician</t>
        </is>
      </c>
      <c r="E105" s="84" t="inlineStr">
        <is>
          <t>human_with_ai</t>
        </is>
      </c>
      <c r="F105" s="86" t="inlineStr">
        <is>
          <t>original</t>
        </is>
      </c>
      <c r="G105" s="86" t="inlineStr">
        <is>
          <t>retrospective</t>
        </is>
      </c>
      <c r="H105" s="84" t="inlineStr">
        <is>
          <t>cross-sectional</t>
        </is>
      </c>
      <c r="I105" s="84" t="inlineStr">
        <is>
          <t>yes</t>
        </is>
      </c>
      <c r="J105" s="84" t="inlineStr">
        <is>
          <t>health examination centers</t>
        </is>
      </c>
      <c r="K105" s="86" t="inlineStr">
        <is>
          <t>middle</t>
        </is>
      </c>
      <c r="L105" s="86" t="inlineStr">
        <is>
          <t>primary</t>
        </is>
      </c>
      <c r="M105" s="86" t="inlineStr">
        <is>
          <t>yes</t>
        </is>
      </c>
      <c r="N105" s="86" t="inlineStr">
        <is>
          <t>rdr</t>
        </is>
      </c>
      <c r="O105" s="86" t="inlineStr">
        <is>
          <t>yes</t>
        </is>
      </c>
      <c r="P105" s="86" t="inlineStr">
        <is>
          <t>mixed</t>
        </is>
      </c>
      <c r="Q105" s="86" t="inlineStr">
        <is>
          <t>portable</t>
        </is>
      </c>
      <c r="R105" s="84" t="inlineStr">
        <is>
          <t>multiple</t>
        </is>
      </c>
      <c r="S105" s="84" t="inlineStr">
        <is>
          <t>ikang</t>
        </is>
      </c>
      <c r="T105" s="86" t="inlineStr">
        <is>
          <t>icdr</t>
        </is>
      </c>
      <c r="U105" s="84" t="inlineStr">
        <is>
          <t>PP</t>
        </is>
      </c>
      <c r="V105" s="86" t="inlineStr">
        <is>
          <t>expert panel</t>
        </is>
      </c>
      <c r="W105" s="56" t="inlineStr">
        <is>
          <t>no</t>
        </is>
      </c>
      <c r="X105" s="86" t="inlineStr">
        <is>
          <t>fundus</t>
        </is>
      </c>
      <c r="Y105" s="86" t="inlineStr">
        <is>
          <t>NR</t>
        </is>
      </c>
      <c r="Z105" s="58" t="inlineStr">
        <is>
          <t>yes</t>
        </is>
      </c>
      <c r="AA105" s="58" t="inlineStr">
        <is>
          <t>no</t>
        </is>
      </c>
      <c r="AB105" s="58" t="inlineStr">
        <is>
          <t>no</t>
        </is>
      </c>
      <c r="AC105" s="84" t="inlineStr">
        <is>
          <t>yes</t>
        </is>
      </c>
      <c r="AD105" s="58" t="inlineStr">
        <is>
          <t>ResNet</t>
        </is>
      </c>
      <c r="AE105" s="86" t="inlineStr">
        <is>
          <t>mixed</t>
        </is>
      </c>
      <c r="AF105" s="56" t="inlineStr">
        <is>
          <t>high</t>
        </is>
      </c>
      <c r="AG105" s="56" t="inlineStr">
        <is>
          <t>high</t>
        </is>
      </c>
      <c r="AH105" s="86" t="n">
        <v>500</v>
      </c>
      <c r="AI105" s="86" t="n">
        <v>0.5</v>
      </c>
      <c r="AJ105" s="86" t="n">
        <v>250</v>
      </c>
      <c r="AK105" s="86" t="n">
        <v>250</v>
      </c>
      <c r="AL105" s="86" t="n">
        <v>0.98</v>
      </c>
      <c r="AM105" s="86" t="n">
        <v>0.976</v>
      </c>
      <c r="AN105" s="86" t="n">
        <v>245</v>
      </c>
      <c r="AO105" s="86" t="n">
        <v>5</v>
      </c>
      <c r="AP105" s="86" t="n">
        <v>244</v>
      </c>
      <c r="AQ105" s="86" t="n">
        <v>6</v>
      </c>
    </row>
    <row r="106" ht="16" customHeight="1" s="55">
      <c r="A106" s="88" t="inlineStr">
        <is>
          <t>Li et al. 2024b</t>
        </is>
      </c>
      <c r="B106" s="86" t="inlineStr">
        <is>
          <t>DL_assisted_reader</t>
        </is>
      </c>
      <c r="C106" s="86" t="inlineStr">
        <is>
          <t>PCP6 senior (portable urban, round2 + DeepDR)</t>
        </is>
      </c>
      <c r="D106" s="84" t="inlineStr">
        <is>
          <t>physician</t>
        </is>
      </c>
      <c r="E106" s="84" t="inlineStr">
        <is>
          <t>human_with_ai</t>
        </is>
      </c>
      <c r="F106" s="86" t="inlineStr">
        <is>
          <t>original</t>
        </is>
      </c>
      <c r="G106" s="86" t="inlineStr">
        <is>
          <t>retrospective</t>
        </is>
      </c>
      <c r="H106" s="84" t="inlineStr">
        <is>
          <t>cross-sectional</t>
        </is>
      </c>
      <c r="I106" s="84" t="inlineStr">
        <is>
          <t>yes</t>
        </is>
      </c>
      <c r="J106" s="84" t="inlineStr">
        <is>
          <t>health examination centers</t>
        </is>
      </c>
      <c r="K106" s="86" t="inlineStr">
        <is>
          <t>middle</t>
        </is>
      </c>
      <c r="L106" s="86" t="inlineStr">
        <is>
          <t>primary</t>
        </is>
      </c>
      <c r="M106" s="86" t="inlineStr">
        <is>
          <t>yes</t>
        </is>
      </c>
      <c r="N106" s="86" t="inlineStr">
        <is>
          <t>rdr</t>
        </is>
      </c>
      <c r="O106" s="86" t="inlineStr">
        <is>
          <t>yes</t>
        </is>
      </c>
      <c r="P106" s="86" t="inlineStr">
        <is>
          <t>mixed</t>
        </is>
      </c>
      <c r="Q106" s="86" t="inlineStr">
        <is>
          <t>portable</t>
        </is>
      </c>
      <c r="R106" s="84" t="inlineStr">
        <is>
          <t>multiple</t>
        </is>
      </c>
      <c r="S106" s="84" t="inlineStr">
        <is>
          <t>ikang</t>
        </is>
      </c>
      <c r="T106" s="86" t="inlineStr">
        <is>
          <t>icdr</t>
        </is>
      </c>
      <c r="U106" s="84" t="inlineStr">
        <is>
          <t>PP</t>
        </is>
      </c>
      <c r="V106" s="86" t="inlineStr">
        <is>
          <t>expert panel</t>
        </is>
      </c>
      <c r="W106" s="56" t="inlineStr">
        <is>
          <t>no</t>
        </is>
      </c>
      <c r="X106" s="86" t="inlineStr">
        <is>
          <t>fundus</t>
        </is>
      </c>
      <c r="Y106" s="86" t="inlineStr">
        <is>
          <t>NR</t>
        </is>
      </c>
      <c r="Z106" s="58" t="inlineStr">
        <is>
          <t>yes</t>
        </is>
      </c>
      <c r="AA106" s="58" t="inlineStr">
        <is>
          <t>no</t>
        </is>
      </c>
      <c r="AB106" s="58" t="inlineStr">
        <is>
          <t>no</t>
        </is>
      </c>
      <c r="AC106" s="84" t="inlineStr">
        <is>
          <t>yes</t>
        </is>
      </c>
      <c r="AD106" s="58" t="inlineStr">
        <is>
          <t>ResNet</t>
        </is>
      </c>
      <c r="AE106" s="86" t="inlineStr">
        <is>
          <t>mixed</t>
        </is>
      </c>
      <c r="AF106" s="56" t="inlineStr">
        <is>
          <t>high</t>
        </is>
      </c>
      <c r="AG106" s="56" t="inlineStr">
        <is>
          <t>high</t>
        </is>
      </c>
      <c r="AH106" s="86" t="n">
        <v>500</v>
      </c>
      <c r="AI106" s="86" t="n">
        <v>0.5</v>
      </c>
      <c r="AJ106" s="86" t="n">
        <v>250</v>
      </c>
      <c r="AK106" s="86" t="n">
        <v>250</v>
      </c>
      <c r="AL106" s="86" t="n">
        <v>0.98</v>
      </c>
      <c r="AM106" s="86" t="n">
        <v>0.964</v>
      </c>
      <c r="AN106" s="86" t="n">
        <v>245</v>
      </c>
      <c r="AO106" s="86" t="n">
        <v>5</v>
      </c>
      <c r="AP106" s="86" t="n">
        <v>241</v>
      </c>
      <c r="AQ106" s="86" t="n">
        <v>9</v>
      </c>
    </row>
    <row r="107" ht="16" customHeight="1" s="55">
      <c r="A107" s="88" t="inlineStr">
        <is>
          <t>Li et al. 2024b</t>
        </is>
      </c>
      <c r="B107" s="86" t="inlineStr">
        <is>
          <t>DL_assisted_reader</t>
        </is>
      </c>
      <c r="C107" s="86" t="inlineStr">
        <is>
          <t>PCP7 junior (portable rural, round2 + DeepDR)</t>
        </is>
      </c>
      <c r="D107" s="84" t="inlineStr">
        <is>
          <t>physician</t>
        </is>
      </c>
      <c r="E107" s="84" t="inlineStr">
        <is>
          <t>human_with_ai</t>
        </is>
      </c>
      <c r="F107" s="86" t="inlineStr">
        <is>
          <t>original</t>
        </is>
      </c>
      <c r="G107" s="86" t="inlineStr">
        <is>
          <t>retrospective</t>
        </is>
      </c>
      <c r="H107" s="84" t="inlineStr">
        <is>
          <t>cross-sectional</t>
        </is>
      </c>
      <c r="I107" s="84" t="inlineStr">
        <is>
          <t>yes</t>
        </is>
      </c>
      <c r="J107" s="84" t="inlineStr">
        <is>
          <t>health examination centers</t>
        </is>
      </c>
      <c r="K107" s="86" t="inlineStr">
        <is>
          <t>middle</t>
        </is>
      </c>
      <c r="L107" s="86" t="inlineStr">
        <is>
          <t>primary</t>
        </is>
      </c>
      <c r="M107" s="86" t="inlineStr">
        <is>
          <t>yes</t>
        </is>
      </c>
      <c r="N107" s="86" t="inlineStr">
        <is>
          <t>rdr</t>
        </is>
      </c>
      <c r="O107" s="86" t="inlineStr">
        <is>
          <t>yes</t>
        </is>
      </c>
      <c r="P107" s="86" t="inlineStr">
        <is>
          <t>mixed</t>
        </is>
      </c>
      <c r="Q107" s="86" t="inlineStr">
        <is>
          <t>portable</t>
        </is>
      </c>
      <c r="R107" s="84" t="inlineStr">
        <is>
          <t>multiple</t>
        </is>
      </c>
      <c r="S107" s="84" t="inlineStr">
        <is>
          <t>ikang</t>
        </is>
      </c>
      <c r="T107" s="86" t="inlineStr">
        <is>
          <t>icdr</t>
        </is>
      </c>
      <c r="U107" s="84" t="inlineStr">
        <is>
          <t>PP</t>
        </is>
      </c>
      <c r="V107" s="86" t="inlineStr">
        <is>
          <t>expert panel</t>
        </is>
      </c>
      <c r="W107" s="56" t="inlineStr">
        <is>
          <t>no</t>
        </is>
      </c>
      <c r="X107" s="86" t="inlineStr">
        <is>
          <t>fundus</t>
        </is>
      </c>
      <c r="Y107" s="86" t="inlineStr">
        <is>
          <t>NR</t>
        </is>
      </c>
      <c r="Z107" s="58" t="inlineStr">
        <is>
          <t>yes</t>
        </is>
      </c>
      <c r="AA107" s="58" t="inlineStr">
        <is>
          <t>no</t>
        </is>
      </c>
      <c r="AB107" s="58" t="inlineStr">
        <is>
          <t>no</t>
        </is>
      </c>
      <c r="AC107" s="84" t="inlineStr">
        <is>
          <t>yes</t>
        </is>
      </c>
      <c r="AD107" s="58" t="inlineStr">
        <is>
          <t>ResNet</t>
        </is>
      </c>
      <c r="AE107" s="86" t="inlineStr">
        <is>
          <t>mixed</t>
        </is>
      </c>
      <c r="AF107" s="56" t="inlineStr">
        <is>
          <t>high</t>
        </is>
      </c>
      <c r="AG107" s="56" t="inlineStr">
        <is>
          <t>high</t>
        </is>
      </c>
      <c r="AH107" s="86" t="n">
        <v>500</v>
      </c>
      <c r="AI107" s="86" t="n">
        <v>0.5</v>
      </c>
      <c r="AJ107" s="86" t="n">
        <v>250</v>
      </c>
      <c r="AK107" s="86" t="n">
        <v>250</v>
      </c>
      <c r="AL107" s="86" t="n">
        <v>0.876</v>
      </c>
      <c r="AM107" s="86" t="n">
        <v>0.98</v>
      </c>
      <c r="AN107" s="86" t="n">
        <v>219</v>
      </c>
      <c r="AO107" s="86" t="n">
        <v>31</v>
      </c>
      <c r="AP107" s="86" t="n">
        <v>245</v>
      </c>
      <c r="AQ107" s="86" t="n">
        <v>5</v>
      </c>
    </row>
    <row r="108" ht="16" customHeight="1" s="55">
      <c r="A108" s="88" t="inlineStr">
        <is>
          <t>Li et al. 2024b</t>
        </is>
      </c>
      <c r="B108" s="86" t="inlineStr">
        <is>
          <t>DL_assisted_reader</t>
        </is>
      </c>
      <c r="C108" s="86" t="inlineStr">
        <is>
          <t>PCP8 junior (portable rural, round2 + DeepDR)</t>
        </is>
      </c>
      <c r="D108" s="84" t="inlineStr">
        <is>
          <t>physician</t>
        </is>
      </c>
      <c r="E108" s="84" t="inlineStr">
        <is>
          <t>human_with_ai</t>
        </is>
      </c>
      <c r="F108" s="86" t="inlineStr">
        <is>
          <t>original</t>
        </is>
      </c>
      <c r="G108" s="86" t="inlineStr">
        <is>
          <t>retrospective</t>
        </is>
      </c>
      <c r="H108" s="84" t="inlineStr">
        <is>
          <t>cross-sectional</t>
        </is>
      </c>
      <c r="I108" s="84" t="inlineStr">
        <is>
          <t>yes</t>
        </is>
      </c>
      <c r="J108" s="84" t="inlineStr">
        <is>
          <t>health examination centers</t>
        </is>
      </c>
      <c r="K108" s="86" t="inlineStr">
        <is>
          <t>middle</t>
        </is>
      </c>
      <c r="L108" s="86" t="inlineStr">
        <is>
          <t>primary</t>
        </is>
      </c>
      <c r="M108" s="86" t="inlineStr">
        <is>
          <t>yes</t>
        </is>
      </c>
      <c r="N108" s="86" t="inlineStr">
        <is>
          <t>rdr</t>
        </is>
      </c>
      <c r="O108" s="86" t="inlineStr">
        <is>
          <t>yes</t>
        </is>
      </c>
      <c r="P108" s="86" t="inlineStr">
        <is>
          <t>mixed</t>
        </is>
      </c>
      <c r="Q108" s="86" t="inlineStr">
        <is>
          <t>portable</t>
        </is>
      </c>
      <c r="R108" s="84" t="inlineStr">
        <is>
          <t>multiple</t>
        </is>
      </c>
      <c r="S108" s="84" t="inlineStr">
        <is>
          <t>ikang</t>
        </is>
      </c>
      <c r="T108" s="86" t="inlineStr">
        <is>
          <t>icdr</t>
        </is>
      </c>
      <c r="U108" s="84" t="inlineStr">
        <is>
          <t>PP</t>
        </is>
      </c>
      <c r="V108" s="86" t="inlineStr">
        <is>
          <t>expert panel</t>
        </is>
      </c>
      <c r="W108" s="56" t="inlineStr">
        <is>
          <t>no</t>
        </is>
      </c>
      <c r="X108" s="86" t="inlineStr">
        <is>
          <t>fundus</t>
        </is>
      </c>
      <c r="Y108" s="86" t="inlineStr">
        <is>
          <t>NR</t>
        </is>
      </c>
      <c r="Z108" s="58" t="inlineStr">
        <is>
          <t>yes</t>
        </is>
      </c>
      <c r="AA108" s="58" t="inlineStr">
        <is>
          <t>no</t>
        </is>
      </c>
      <c r="AB108" s="58" t="inlineStr">
        <is>
          <t>no</t>
        </is>
      </c>
      <c r="AC108" s="84" t="inlineStr">
        <is>
          <t>yes</t>
        </is>
      </c>
      <c r="AD108" s="58" t="inlineStr">
        <is>
          <t>ResNet</t>
        </is>
      </c>
      <c r="AE108" s="86" t="inlineStr">
        <is>
          <t>mixed</t>
        </is>
      </c>
      <c r="AF108" s="56" t="inlineStr">
        <is>
          <t>high</t>
        </is>
      </c>
      <c r="AG108" s="56" t="inlineStr">
        <is>
          <t>high</t>
        </is>
      </c>
      <c r="AH108" s="86" t="n">
        <v>500</v>
      </c>
      <c r="AI108" s="86" t="n">
        <v>0.5</v>
      </c>
      <c r="AJ108" s="86" t="n">
        <v>250</v>
      </c>
      <c r="AK108" s="86" t="n">
        <v>250</v>
      </c>
      <c r="AL108" s="86" t="n">
        <v>0.824</v>
      </c>
      <c r="AM108" s="86" t="n">
        <v>0.988</v>
      </c>
      <c r="AN108" s="86" t="n">
        <v>206</v>
      </c>
      <c r="AO108" s="86" t="n">
        <v>44</v>
      </c>
      <c r="AP108" s="86" t="n">
        <v>247</v>
      </c>
      <c r="AQ108" s="86" t="n">
        <v>3</v>
      </c>
    </row>
    <row r="109" ht="16" customHeight="1" s="55">
      <c r="A109" s="88" t="inlineStr">
        <is>
          <t>Li et al. 2024b</t>
        </is>
      </c>
      <c r="B109" s="86" t="inlineStr">
        <is>
          <t>DL_assisted_reader</t>
        </is>
      </c>
      <c r="C109" s="86" t="inlineStr">
        <is>
          <t>PCP9 intermediate (portable rural, round2 + DeepDR)</t>
        </is>
      </c>
      <c r="D109" s="84" t="inlineStr">
        <is>
          <t>physician</t>
        </is>
      </c>
      <c r="E109" s="84" t="inlineStr">
        <is>
          <t>human_with_ai</t>
        </is>
      </c>
      <c r="F109" s="86" t="inlineStr">
        <is>
          <t>original</t>
        </is>
      </c>
      <c r="G109" s="86" t="inlineStr">
        <is>
          <t>retrospective</t>
        </is>
      </c>
      <c r="H109" s="84" t="inlineStr">
        <is>
          <t>cross-sectional</t>
        </is>
      </c>
      <c r="I109" s="84" t="inlineStr">
        <is>
          <t>yes</t>
        </is>
      </c>
      <c r="J109" s="84" t="inlineStr">
        <is>
          <t>health examination centers</t>
        </is>
      </c>
      <c r="K109" s="86" t="inlineStr">
        <is>
          <t>middle</t>
        </is>
      </c>
      <c r="L109" s="86" t="inlineStr">
        <is>
          <t>primary</t>
        </is>
      </c>
      <c r="M109" s="86" t="inlineStr">
        <is>
          <t>yes</t>
        </is>
      </c>
      <c r="N109" s="86" t="inlineStr">
        <is>
          <t>rdr</t>
        </is>
      </c>
      <c r="O109" s="86" t="inlineStr">
        <is>
          <t>yes</t>
        </is>
      </c>
      <c r="P109" s="86" t="inlineStr">
        <is>
          <t>mixed</t>
        </is>
      </c>
      <c r="Q109" s="86" t="inlineStr">
        <is>
          <t>portable</t>
        </is>
      </c>
      <c r="R109" s="84" t="inlineStr">
        <is>
          <t>multiple</t>
        </is>
      </c>
      <c r="S109" s="84" t="inlineStr">
        <is>
          <t>ikang</t>
        </is>
      </c>
      <c r="T109" s="86" t="inlineStr">
        <is>
          <t>icdr</t>
        </is>
      </c>
      <c r="U109" s="84" t="inlineStr">
        <is>
          <t>PP</t>
        </is>
      </c>
      <c r="V109" s="86" t="inlineStr">
        <is>
          <t>expert panel</t>
        </is>
      </c>
      <c r="W109" s="56" t="inlineStr">
        <is>
          <t>no</t>
        </is>
      </c>
      <c r="X109" s="86" t="inlineStr">
        <is>
          <t>fundus</t>
        </is>
      </c>
      <c r="Y109" s="86" t="inlineStr">
        <is>
          <t>NR</t>
        </is>
      </c>
      <c r="Z109" s="58" t="inlineStr">
        <is>
          <t>yes</t>
        </is>
      </c>
      <c r="AA109" s="58" t="inlineStr">
        <is>
          <t>no</t>
        </is>
      </c>
      <c r="AB109" s="58" t="inlineStr">
        <is>
          <t>no</t>
        </is>
      </c>
      <c r="AC109" s="84" t="inlineStr">
        <is>
          <t>yes</t>
        </is>
      </c>
      <c r="AD109" s="58" t="inlineStr">
        <is>
          <t>ResNet</t>
        </is>
      </c>
      <c r="AE109" s="86" t="inlineStr">
        <is>
          <t>mixed</t>
        </is>
      </c>
      <c r="AF109" s="56" t="inlineStr">
        <is>
          <t>high</t>
        </is>
      </c>
      <c r="AG109" s="56" t="inlineStr">
        <is>
          <t>high</t>
        </is>
      </c>
      <c r="AH109" s="86" t="n">
        <v>500</v>
      </c>
      <c r="AI109" s="86" t="n">
        <v>0.5</v>
      </c>
      <c r="AJ109" s="86" t="n">
        <v>250</v>
      </c>
      <c r="AK109" s="86" t="n">
        <v>250</v>
      </c>
      <c r="AL109" s="86" t="n">
        <v>0.884</v>
      </c>
      <c r="AM109" s="86" t="n">
        <v>0.98</v>
      </c>
      <c r="AN109" s="86" t="n">
        <v>221</v>
      </c>
      <c r="AO109" s="86" t="n">
        <v>29</v>
      </c>
      <c r="AP109" s="86" t="n">
        <v>245</v>
      </c>
      <c r="AQ109" s="86" t="n">
        <v>5</v>
      </c>
    </row>
    <row r="110" ht="16" customHeight="1" s="55">
      <c r="A110" s="88" t="inlineStr">
        <is>
          <t>Li et al. 2024b</t>
        </is>
      </c>
      <c r="B110" s="86" t="inlineStr">
        <is>
          <t>DL_assisted_reader</t>
        </is>
      </c>
      <c r="C110" s="86" t="inlineStr">
        <is>
          <t>PCP10 intermediate (portable rural, round2 + DeepDR)</t>
        </is>
      </c>
      <c r="D110" s="84" t="inlineStr">
        <is>
          <t>physician</t>
        </is>
      </c>
      <c r="E110" s="84" t="inlineStr">
        <is>
          <t>human_with_ai</t>
        </is>
      </c>
      <c r="F110" s="86" t="inlineStr">
        <is>
          <t>original</t>
        </is>
      </c>
      <c r="G110" s="86" t="inlineStr">
        <is>
          <t>retrospective</t>
        </is>
      </c>
      <c r="H110" s="84" t="inlineStr">
        <is>
          <t>cross-sectional</t>
        </is>
      </c>
      <c r="I110" s="84" t="inlineStr">
        <is>
          <t>yes</t>
        </is>
      </c>
      <c r="J110" s="84" t="inlineStr">
        <is>
          <t>health examination centers</t>
        </is>
      </c>
      <c r="K110" s="86" t="inlineStr">
        <is>
          <t>middle</t>
        </is>
      </c>
      <c r="L110" s="86" t="inlineStr">
        <is>
          <t>primary</t>
        </is>
      </c>
      <c r="M110" s="86" t="inlineStr">
        <is>
          <t>yes</t>
        </is>
      </c>
      <c r="N110" s="86" t="inlineStr">
        <is>
          <t>rdr</t>
        </is>
      </c>
      <c r="O110" s="86" t="inlineStr">
        <is>
          <t>yes</t>
        </is>
      </c>
      <c r="P110" s="86" t="inlineStr">
        <is>
          <t>mixed</t>
        </is>
      </c>
      <c r="Q110" s="86" t="inlineStr">
        <is>
          <t>portable</t>
        </is>
      </c>
      <c r="R110" s="84" t="inlineStr">
        <is>
          <t>multiple</t>
        </is>
      </c>
      <c r="S110" s="84" t="inlineStr">
        <is>
          <t>ikang</t>
        </is>
      </c>
      <c r="T110" s="86" t="inlineStr">
        <is>
          <t>icdr</t>
        </is>
      </c>
      <c r="U110" s="84" t="inlineStr">
        <is>
          <t>PP</t>
        </is>
      </c>
      <c r="V110" s="86" t="inlineStr">
        <is>
          <t>expert panel</t>
        </is>
      </c>
      <c r="W110" s="56" t="inlineStr">
        <is>
          <t>no</t>
        </is>
      </c>
      <c r="X110" s="86" t="inlineStr">
        <is>
          <t>fundus</t>
        </is>
      </c>
      <c r="Y110" s="86" t="inlineStr">
        <is>
          <t>NR</t>
        </is>
      </c>
      <c r="Z110" s="58" t="inlineStr">
        <is>
          <t>yes</t>
        </is>
      </c>
      <c r="AA110" s="58" t="inlineStr">
        <is>
          <t>no</t>
        </is>
      </c>
      <c r="AB110" s="58" t="inlineStr">
        <is>
          <t>no</t>
        </is>
      </c>
      <c r="AC110" s="84" t="inlineStr">
        <is>
          <t>yes</t>
        </is>
      </c>
      <c r="AD110" s="58" t="inlineStr">
        <is>
          <t>ResNet</t>
        </is>
      </c>
      <c r="AE110" s="86" t="inlineStr">
        <is>
          <t>mixed</t>
        </is>
      </c>
      <c r="AF110" s="56" t="inlineStr">
        <is>
          <t>high</t>
        </is>
      </c>
      <c r="AG110" s="56" t="inlineStr">
        <is>
          <t>high</t>
        </is>
      </c>
      <c r="AH110" s="86" t="n">
        <v>500</v>
      </c>
      <c r="AI110" s="86" t="n">
        <v>0.5</v>
      </c>
      <c r="AJ110" s="86" t="n">
        <v>250</v>
      </c>
      <c r="AK110" s="86" t="n">
        <v>250</v>
      </c>
      <c r="AL110" s="86" t="n">
        <v>0.896</v>
      </c>
      <c r="AM110" s="86" t="n">
        <v>0.964</v>
      </c>
      <c r="AN110" s="86" t="n">
        <v>224</v>
      </c>
      <c r="AO110" s="86" t="n">
        <v>26</v>
      </c>
      <c r="AP110" s="86" t="n">
        <v>241</v>
      </c>
      <c r="AQ110" s="86" t="n">
        <v>9</v>
      </c>
    </row>
    <row r="111" ht="16" customHeight="1" s="55">
      <c r="A111" s="88" t="inlineStr">
        <is>
          <t>Li et al. 2024b</t>
        </is>
      </c>
      <c r="B111" s="86" t="inlineStr">
        <is>
          <t>DL_assisted_reader</t>
        </is>
      </c>
      <c r="C111" s="86" t="inlineStr">
        <is>
          <t>PCP11 senior (portable rural, round2 + DeepDR)</t>
        </is>
      </c>
      <c r="D111" s="84" t="inlineStr">
        <is>
          <t>physician</t>
        </is>
      </c>
      <c r="E111" s="84" t="inlineStr">
        <is>
          <t>human_with_ai</t>
        </is>
      </c>
      <c r="F111" s="86" t="inlineStr">
        <is>
          <t>original</t>
        </is>
      </c>
      <c r="G111" s="86" t="inlineStr">
        <is>
          <t>retrospective</t>
        </is>
      </c>
      <c r="H111" s="84" t="inlineStr">
        <is>
          <t>cross-sectional</t>
        </is>
      </c>
      <c r="I111" s="84" t="inlineStr">
        <is>
          <t>yes</t>
        </is>
      </c>
      <c r="J111" s="84" t="inlineStr">
        <is>
          <t>health examination centers</t>
        </is>
      </c>
      <c r="K111" s="86" t="inlineStr">
        <is>
          <t>middle</t>
        </is>
      </c>
      <c r="L111" s="86" t="inlineStr">
        <is>
          <t>primary</t>
        </is>
      </c>
      <c r="M111" s="86" t="inlineStr">
        <is>
          <t>yes</t>
        </is>
      </c>
      <c r="N111" s="86" t="inlineStr">
        <is>
          <t>rdr</t>
        </is>
      </c>
      <c r="O111" s="86" t="inlineStr">
        <is>
          <t>yes</t>
        </is>
      </c>
      <c r="P111" s="86" t="inlineStr">
        <is>
          <t>mixed</t>
        </is>
      </c>
      <c r="Q111" s="86" t="inlineStr">
        <is>
          <t>portable</t>
        </is>
      </c>
      <c r="R111" s="84" t="inlineStr">
        <is>
          <t>multiple</t>
        </is>
      </c>
      <c r="S111" s="84" t="inlineStr">
        <is>
          <t>ikang</t>
        </is>
      </c>
      <c r="T111" s="86" t="inlineStr">
        <is>
          <t>icdr</t>
        </is>
      </c>
      <c r="U111" s="84" t="inlineStr">
        <is>
          <t>PP</t>
        </is>
      </c>
      <c r="V111" s="86" t="inlineStr">
        <is>
          <t>expert panel</t>
        </is>
      </c>
      <c r="W111" s="56" t="inlineStr">
        <is>
          <t>no</t>
        </is>
      </c>
      <c r="X111" s="86" t="inlineStr">
        <is>
          <t>fundus</t>
        </is>
      </c>
      <c r="Y111" s="86" t="inlineStr">
        <is>
          <t>NR</t>
        </is>
      </c>
      <c r="Z111" s="58" t="inlineStr">
        <is>
          <t>yes</t>
        </is>
      </c>
      <c r="AA111" s="58" t="inlineStr">
        <is>
          <t>no</t>
        </is>
      </c>
      <c r="AB111" s="58" t="inlineStr">
        <is>
          <t>no</t>
        </is>
      </c>
      <c r="AC111" s="84" t="inlineStr">
        <is>
          <t>yes</t>
        </is>
      </c>
      <c r="AD111" s="58" t="inlineStr">
        <is>
          <t>ResNet</t>
        </is>
      </c>
      <c r="AE111" s="86" t="inlineStr">
        <is>
          <t>mixed</t>
        </is>
      </c>
      <c r="AF111" s="56" t="inlineStr">
        <is>
          <t>high</t>
        </is>
      </c>
      <c r="AG111" s="56" t="inlineStr">
        <is>
          <t>high</t>
        </is>
      </c>
      <c r="AH111" s="86" t="n">
        <v>500</v>
      </c>
      <c r="AI111" s="86" t="n">
        <v>0.5</v>
      </c>
      <c r="AJ111" s="86" t="n">
        <v>250</v>
      </c>
      <c r="AK111" s="86" t="n">
        <v>250</v>
      </c>
      <c r="AL111" s="86" t="n">
        <v>0.956</v>
      </c>
      <c r="AM111" s="86" t="n">
        <v>0.98</v>
      </c>
      <c r="AN111" s="86" t="n">
        <v>239</v>
      </c>
      <c r="AO111" s="86" t="n">
        <v>11</v>
      </c>
      <c r="AP111" s="86" t="n">
        <v>245</v>
      </c>
      <c r="AQ111" s="86" t="n">
        <v>5</v>
      </c>
    </row>
    <row r="112" ht="16" customHeight="1" s="55">
      <c r="A112" s="88" t="inlineStr">
        <is>
          <t>Li et al. 2024b</t>
        </is>
      </c>
      <c r="B112" s="86" t="inlineStr">
        <is>
          <t>DL_assisted_reader</t>
        </is>
      </c>
      <c r="C112" s="86" t="inlineStr">
        <is>
          <t>PCP12 senior (portable rural, round2 + DeepDR)</t>
        </is>
      </c>
      <c r="D112" s="84" t="inlineStr">
        <is>
          <t>physician</t>
        </is>
      </c>
      <c r="E112" s="84" t="inlineStr">
        <is>
          <t>human_with_ai</t>
        </is>
      </c>
      <c r="F112" s="86" t="inlineStr">
        <is>
          <t>original</t>
        </is>
      </c>
      <c r="G112" s="86" t="inlineStr">
        <is>
          <t>retrospective</t>
        </is>
      </c>
      <c r="H112" s="84" t="inlineStr">
        <is>
          <t>cross-sectional</t>
        </is>
      </c>
      <c r="I112" s="84" t="inlineStr">
        <is>
          <t>yes</t>
        </is>
      </c>
      <c r="J112" s="84" t="inlineStr">
        <is>
          <t>health examination centers</t>
        </is>
      </c>
      <c r="K112" s="86" t="inlineStr">
        <is>
          <t>middle</t>
        </is>
      </c>
      <c r="L112" s="86" t="inlineStr">
        <is>
          <t>primary</t>
        </is>
      </c>
      <c r="M112" s="86" t="inlineStr">
        <is>
          <t>yes</t>
        </is>
      </c>
      <c r="N112" s="86" t="inlineStr">
        <is>
          <t>rdr</t>
        </is>
      </c>
      <c r="O112" s="86" t="inlineStr">
        <is>
          <t>yes</t>
        </is>
      </c>
      <c r="P112" s="86" t="inlineStr">
        <is>
          <t>mixed</t>
        </is>
      </c>
      <c r="Q112" s="86" t="inlineStr">
        <is>
          <t>portable</t>
        </is>
      </c>
      <c r="R112" s="84" t="inlineStr">
        <is>
          <t>multiple</t>
        </is>
      </c>
      <c r="S112" s="84" t="inlineStr">
        <is>
          <t>ikang</t>
        </is>
      </c>
      <c r="T112" s="86" t="inlineStr">
        <is>
          <t>icdr</t>
        </is>
      </c>
      <c r="U112" s="84" t="inlineStr">
        <is>
          <t>PP</t>
        </is>
      </c>
      <c r="V112" s="86" t="inlineStr">
        <is>
          <t>expert panel</t>
        </is>
      </c>
      <c r="W112" s="56" t="inlineStr">
        <is>
          <t>no</t>
        </is>
      </c>
      <c r="X112" s="86" t="inlineStr">
        <is>
          <t>fundus</t>
        </is>
      </c>
      <c r="Y112" s="86" t="inlineStr">
        <is>
          <t>NR</t>
        </is>
      </c>
      <c r="Z112" s="58" t="inlineStr">
        <is>
          <t>yes</t>
        </is>
      </c>
      <c r="AA112" s="58" t="inlineStr">
        <is>
          <t>no</t>
        </is>
      </c>
      <c r="AB112" s="58" t="inlineStr">
        <is>
          <t>no</t>
        </is>
      </c>
      <c r="AC112" s="84" t="inlineStr">
        <is>
          <t>yes</t>
        </is>
      </c>
      <c r="AD112" s="58" t="inlineStr">
        <is>
          <t>ResNet</t>
        </is>
      </c>
      <c r="AE112" s="86" t="inlineStr">
        <is>
          <t>mixed</t>
        </is>
      </c>
      <c r="AF112" s="56" t="inlineStr">
        <is>
          <t>high</t>
        </is>
      </c>
      <c r="AG112" s="56" t="inlineStr">
        <is>
          <t>high</t>
        </is>
      </c>
      <c r="AH112" s="86" t="n">
        <v>500</v>
      </c>
      <c r="AI112" s="86" t="n">
        <v>0.5</v>
      </c>
      <c r="AJ112" s="86" t="n">
        <v>250</v>
      </c>
      <c r="AK112" s="86" t="n">
        <v>250</v>
      </c>
      <c r="AL112" s="86" t="n">
        <v>0.9399999999999999</v>
      </c>
      <c r="AM112" s="86" t="n">
        <v>0.988</v>
      </c>
      <c r="AN112" s="86" t="n">
        <v>235</v>
      </c>
      <c r="AO112" s="86" t="n">
        <v>15</v>
      </c>
      <c r="AP112" s="86" t="n">
        <v>247</v>
      </c>
      <c r="AQ112" s="86" t="n">
        <v>3</v>
      </c>
    </row>
    <row r="113" ht="16" customHeight="1" s="55">
      <c r="A113" s="88" t="inlineStr">
        <is>
          <t>Li et al. 2024b</t>
        </is>
      </c>
      <c r="B113" s="86" t="inlineStr">
        <is>
          <t>Reader</t>
        </is>
      </c>
      <c r="C113" s="86" t="inlineStr">
        <is>
          <t>Grader1 junior (Singapore, round1)</t>
        </is>
      </c>
      <c r="D113" s="84" t="inlineStr">
        <is>
          <t>trainedgrader</t>
        </is>
      </c>
      <c r="E113" s="84" t="inlineStr">
        <is>
          <t>human_only</t>
        </is>
      </c>
      <c r="F113" s="86" t="inlineStr">
        <is>
          <t>original</t>
        </is>
      </c>
      <c r="G113" s="86" t="inlineStr">
        <is>
          <t>retrospective</t>
        </is>
      </c>
      <c r="H113" s="84" t="inlineStr">
        <is>
          <t>cross-sectional</t>
        </is>
      </c>
      <c r="I113" s="84" t="inlineStr">
        <is>
          <t>yes</t>
        </is>
      </c>
      <c r="J113" s="84" t="inlineStr">
        <is>
          <t>health examination centers</t>
        </is>
      </c>
      <c r="K113" s="86" t="inlineStr">
        <is>
          <t>middle</t>
        </is>
      </c>
      <c r="L113" s="86" t="inlineStr">
        <is>
          <t>mixed</t>
        </is>
      </c>
      <c r="M113" s="86" t="inlineStr">
        <is>
          <t>yes</t>
        </is>
      </c>
      <c r="N113" s="86" t="inlineStr">
        <is>
          <t>rdr</t>
        </is>
      </c>
      <c r="O113" s="86" t="inlineStr">
        <is>
          <t>yes</t>
        </is>
      </c>
      <c r="P113" s="86" t="inlineStr">
        <is>
          <t>mixed</t>
        </is>
      </c>
      <c r="Q113" s="86" t="inlineStr">
        <is>
          <t>desktop</t>
        </is>
      </c>
      <c r="R113" s="84" t="inlineStr">
        <is>
          <t>multiple</t>
        </is>
      </c>
      <c r="S113" s="84" t="inlineStr">
        <is>
          <t>ikang</t>
        </is>
      </c>
      <c r="T113" s="86" t="inlineStr">
        <is>
          <t>icdr</t>
        </is>
      </c>
      <c r="U113" s="84" t="inlineStr">
        <is>
          <t>PP</t>
        </is>
      </c>
      <c r="V113" s="86" t="inlineStr">
        <is>
          <t>expert panel</t>
        </is>
      </c>
      <c r="W113" s="56" t="inlineStr">
        <is>
          <t>no</t>
        </is>
      </c>
      <c r="X113" s="86" t="inlineStr">
        <is>
          <t>fundus</t>
        </is>
      </c>
      <c r="Y113" s="86" t="inlineStr">
        <is>
          <t>NR</t>
        </is>
      </c>
      <c r="Z113" s="58" t="inlineStr">
        <is>
          <t>yes</t>
        </is>
      </c>
      <c r="AA113" s="58" t="inlineStr">
        <is>
          <t>no</t>
        </is>
      </c>
      <c r="AB113" s="58" t="inlineStr">
        <is>
          <t>no</t>
        </is>
      </c>
      <c r="AC113" s="84" t="inlineStr">
        <is>
          <t>yes</t>
        </is>
      </c>
      <c r="AD113" s="86" t="inlineStr">
        <is>
          <t>NR</t>
        </is>
      </c>
      <c r="AE113" s="86" t="inlineStr">
        <is>
          <t>mixed</t>
        </is>
      </c>
      <c r="AF113" s="56" t="inlineStr">
        <is>
          <t>high</t>
        </is>
      </c>
      <c r="AG113" s="56" t="inlineStr">
        <is>
          <t>high</t>
        </is>
      </c>
      <c r="AH113" s="86" t="n">
        <v>300</v>
      </c>
      <c r="AI113" s="86" t="n">
        <v>0.5</v>
      </c>
      <c r="AJ113" s="86" t="n">
        <v>150</v>
      </c>
      <c r="AK113" s="86" t="n">
        <v>150</v>
      </c>
      <c r="AL113" s="86" t="n">
        <v>0.967</v>
      </c>
      <c r="AM113" s="86" t="n">
        <v>0.733</v>
      </c>
      <c r="AN113" s="86" t="n">
        <v>145</v>
      </c>
      <c r="AO113" s="86" t="n">
        <v>5</v>
      </c>
      <c r="AP113" s="86" t="n">
        <v>110</v>
      </c>
      <c r="AQ113" s="86" t="n">
        <v>40</v>
      </c>
    </row>
    <row r="114" ht="16" customHeight="1" s="55">
      <c r="A114" s="88" t="inlineStr">
        <is>
          <t>Li et al. 2024b</t>
        </is>
      </c>
      <c r="B114" s="86" t="inlineStr">
        <is>
          <t>Reader</t>
        </is>
      </c>
      <c r="C114" s="86" t="inlineStr">
        <is>
          <t>Grader2 intermediate (Singapore, round1)</t>
        </is>
      </c>
      <c r="D114" s="84" t="inlineStr">
        <is>
          <t>trainedgrader</t>
        </is>
      </c>
      <c r="E114" s="84" t="inlineStr">
        <is>
          <t>human_only</t>
        </is>
      </c>
      <c r="F114" s="86" t="inlineStr">
        <is>
          <t>original</t>
        </is>
      </c>
      <c r="G114" s="86" t="inlineStr">
        <is>
          <t>retrospective</t>
        </is>
      </c>
      <c r="H114" s="84" t="inlineStr">
        <is>
          <t>cross-sectional</t>
        </is>
      </c>
      <c r="I114" s="84" t="inlineStr">
        <is>
          <t>yes</t>
        </is>
      </c>
      <c r="J114" s="84" t="inlineStr">
        <is>
          <t>health examination centers</t>
        </is>
      </c>
      <c r="K114" s="86" t="inlineStr">
        <is>
          <t>middle</t>
        </is>
      </c>
      <c r="L114" s="86" t="inlineStr">
        <is>
          <t>mixed</t>
        </is>
      </c>
      <c r="M114" s="86" t="inlineStr">
        <is>
          <t>yes</t>
        </is>
      </c>
      <c r="N114" s="86" t="inlineStr">
        <is>
          <t>rdr</t>
        </is>
      </c>
      <c r="O114" s="86" t="inlineStr">
        <is>
          <t>yes</t>
        </is>
      </c>
      <c r="P114" s="86" t="inlineStr">
        <is>
          <t>mixed</t>
        </is>
      </c>
      <c r="Q114" s="86" t="inlineStr">
        <is>
          <t>desktop</t>
        </is>
      </c>
      <c r="R114" s="84" t="inlineStr">
        <is>
          <t>multiple</t>
        </is>
      </c>
      <c r="S114" s="84" t="inlineStr">
        <is>
          <t>ikang</t>
        </is>
      </c>
      <c r="T114" s="86" t="inlineStr">
        <is>
          <t>icdr</t>
        </is>
      </c>
      <c r="U114" s="84" t="inlineStr">
        <is>
          <t>PP</t>
        </is>
      </c>
      <c r="V114" s="86" t="inlineStr">
        <is>
          <t>expert panel</t>
        </is>
      </c>
      <c r="W114" s="56" t="inlineStr">
        <is>
          <t>no</t>
        </is>
      </c>
      <c r="X114" s="86" t="inlineStr">
        <is>
          <t>fundus</t>
        </is>
      </c>
      <c r="Y114" s="86" t="inlineStr">
        <is>
          <t>NR</t>
        </is>
      </c>
      <c r="Z114" s="58" t="inlineStr">
        <is>
          <t>yes</t>
        </is>
      </c>
      <c r="AA114" s="58" t="inlineStr">
        <is>
          <t>no</t>
        </is>
      </c>
      <c r="AB114" s="58" t="inlineStr">
        <is>
          <t>no</t>
        </is>
      </c>
      <c r="AC114" s="84" t="inlineStr">
        <is>
          <t>yes</t>
        </is>
      </c>
      <c r="AD114" s="86" t="inlineStr">
        <is>
          <t>NR</t>
        </is>
      </c>
      <c r="AE114" s="86" t="inlineStr">
        <is>
          <t>mixed</t>
        </is>
      </c>
      <c r="AF114" s="56" t="inlineStr">
        <is>
          <t>high</t>
        </is>
      </c>
      <c r="AG114" s="56" t="inlineStr">
        <is>
          <t>high</t>
        </is>
      </c>
      <c r="AH114" s="86" t="n">
        <v>300</v>
      </c>
      <c r="AI114" s="86" t="n">
        <v>0.5</v>
      </c>
      <c r="AJ114" s="86" t="n">
        <v>150</v>
      </c>
      <c r="AK114" s="86" t="n">
        <v>150</v>
      </c>
      <c r="AL114" s="86" t="n">
        <v>0.967</v>
      </c>
      <c r="AM114" s="86" t="n">
        <v>0.727</v>
      </c>
      <c r="AN114" s="86" t="n">
        <v>145</v>
      </c>
      <c r="AO114" s="86" t="n">
        <v>5</v>
      </c>
      <c r="AP114" s="86" t="n">
        <v>109</v>
      </c>
      <c r="AQ114" s="86" t="n">
        <v>41</v>
      </c>
    </row>
    <row r="115" ht="16" customHeight="1" s="55">
      <c r="A115" s="88" t="inlineStr">
        <is>
          <t>Li et al. 2024b</t>
        </is>
      </c>
      <c r="B115" s="86" t="inlineStr">
        <is>
          <t>Reader</t>
        </is>
      </c>
      <c r="C115" s="86" t="inlineStr">
        <is>
          <t>Grader3 senior (Singapore, round1)</t>
        </is>
      </c>
      <c r="D115" s="84" t="inlineStr">
        <is>
          <t>trainedgrader</t>
        </is>
      </c>
      <c r="E115" s="84" t="inlineStr">
        <is>
          <t>human_only</t>
        </is>
      </c>
      <c r="F115" s="86" t="inlineStr">
        <is>
          <t>original</t>
        </is>
      </c>
      <c r="G115" s="86" t="inlineStr">
        <is>
          <t>retrospective</t>
        </is>
      </c>
      <c r="H115" s="84" t="inlineStr">
        <is>
          <t>cross-sectional</t>
        </is>
      </c>
      <c r="I115" s="84" t="inlineStr">
        <is>
          <t>yes</t>
        </is>
      </c>
      <c r="J115" s="84" t="inlineStr">
        <is>
          <t>health examination centers</t>
        </is>
      </c>
      <c r="K115" s="86" t="inlineStr">
        <is>
          <t>middle</t>
        </is>
      </c>
      <c r="L115" s="86" t="inlineStr">
        <is>
          <t>mixed</t>
        </is>
      </c>
      <c r="M115" s="86" t="inlineStr">
        <is>
          <t>yes</t>
        </is>
      </c>
      <c r="N115" s="86" t="inlineStr">
        <is>
          <t>rdr</t>
        </is>
      </c>
      <c r="O115" s="86" t="inlineStr">
        <is>
          <t>yes</t>
        </is>
      </c>
      <c r="P115" s="86" t="inlineStr">
        <is>
          <t>mixed</t>
        </is>
      </c>
      <c r="Q115" s="86" t="inlineStr">
        <is>
          <t>desktop</t>
        </is>
      </c>
      <c r="R115" s="84" t="inlineStr">
        <is>
          <t>multiple</t>
        </is>
      </c>
      <c r="S115" s="84" t="inlineStr">
        <is>
          <t>ikang</t>
        </is>
      </c>
      <c r="T115" s="86" t="inlineStr">
        <is>
          <t>icdr</t>
        </is>
      </c>
      <c r="U115" s="84" t="inlineStr">
        <is>
          <t>PP</t>
        </is>
      </c>
      <c r="V115" s="86" t="inlineStr">
        <is>
          <t>expert panel</t>
        </is>
      </c>
      <c r="W115" s="56" t="inlineStr">
        <is>
          <t>no</t>
        </is>
      </c>
      <c r="X115" s="86" t="inlineStr">
        <is>
          <t>fundus</t>
        </is>
      </c>
      <c r="Y115" s="86" t="inlineStr">
        <is>
          <t>NR</t>
        </is>
      </c>
      <c r="Z115" s="58" t="inlineStr">
        <is>
          <t>yes</t>
        </is>
      </c>
      <c r="AA115" s="58" t="inlineStr">
        <is>
          <t>no</t>
        </is>
      </c>
      <c r="AB115" s="58" t="inlineStr">
        <is>
          <t>no</t>
        </is>
      </c>
      <c r="AC115" s="84" t="inlineStr">
        <is>
          <t>yes</t>
        </is>
      </c>
      <c r="AD115" s="86" t="inlineStr">
        <is>
          <t>NR</t>
        </is>
      </c>
      <c r="AE115" s="86" t="inlineStr">
        <is>
          <t>mixed</t>
        </is>
      </c>
      <c r="AF115" s="56" t="inlineStr">
        <is>
          <t>high</t>
        </is>
      </c>
      <c r="AG115" s="56" t="inlineStr">
        <is>
          <t>high</t>
        </is>
      </c>
      <c r="AH115" s="86" t="n">
        <v>300</v>
      </c>
      <c r="AI115" s="86" t="n">
        <v>0.5</v>
      </c>
      <c r="AJ115" s="86" t="n">
        <v>150</v>
      </c>
      <c r="AK115" s="86" t="n">
        <v>150</v>
      </c>
      <c r="AL115" s="86" t="n">
        <v>0.967</v>
      </c>
      <c r="AM115" s="86" t="n">
        <v>0.727</v>
      </c>
      <c r="AN115" s="86" t="n">
        <v>145</v>
      </c>
      <c r="AO115" s="86" t="n">
        <v>5</v>
      </c>
      <c r="AP115" s="86" t="n">
        <v>109</v>
      </c>
      <c r="AQ115" s="86" t="n">
        <v>41</v>
      </c>
    </row>
    <row r="116" ht="16" customHeight="1" s="55">
      <c r="A116" s="88" t="inlineStr">
        <is>
          <t>Li et al. 2024b</t>
        </is>
      </c>
      <c r="B116" s="86" t="inlineStr">
        <is>
          <t>DL_assisted_reader</t>
        </is>
      </c>
      <c r="C116" s="86" t="inlineStr">
        <is>
          <t>Grader1 junior (Singapore, round2 + DeepDR)</t>
        </is>
      </c>
      <c r="D116" s="84" t="inlineStr">
        <is>
          <t>trainedgrader</t>
        </is>
      </c>
      <c r="E116" s="84" t="inlineStr">
        <is>
          <t>human_with_ai</t>
        </is>
      </c>
      <c r="F116" s="86" t="inlineStr">
        <is>
          <t>original</t>
        </is>
      </c>
      <c r="G116" s="86" t="inlineStr">
        <is>
          <t>retrospective</t>
        </is>
      </c>
      <c r="H116" s="84" t="inlineStr">
        <is>
          <t>cross-sectional</t>
        </is>
      </c>
      <c r="I116" s="84" t="inlineStr">
        <is>
          <t>yes</t>
        </is>
      </c>
      <c r="J116" s="84" t="inlineStr">
        <is>
          <t>health examination centers</t>
        </is>
      </c>
      <c r="K116" s="86" t="inlineStr">
        <is>
          <t>middle</t>
        </is>
      </c>
      <c r="L116" s="86" t="inlineStr">
        <is>
          <t>mixed</t>
        </is>
      </c>
      <c r="M116" s="86" t="inlineStr">
        <is>
          <t>yes</t>
        </is>
      </c>
      <c r="N116" s="86" t="inlineStr">
        <is>
          <t>rdr</t>
        </is>
      </c>
      <c r="O116" s="86" t="inlineStr">
        <is>
          <t>yes</t>
        </is>
      </c>
      <c r="P116" s="86" t="inlineStr">
        <is>
          <t>mixed</t>
        </is>
      </c>
      <c r="Q116" s="86" t="inlineStr">
        <is>
          <t>desktop</t>
        </is>
      </c>
      <c r="R116" s="84" t="inlineStr">
        <is>
          <t>multiple</t>
        </is>
      </c>
      <c r="S116" s="84" t="inlineStr">
        <is>
          <t>ikang</t>
        </is>
      </c>
      <c r="T116" s="86" t="inlineStr">
        <is>
          <t>icdr</t>
        </is>
      </c>
      <c r="U116" s="84" t="inlineStr">
        <is>
          <t>PP</t>
        </is>
      </c>
      <c r="V116" s="86" t="inlineStr">
        <is>
          <t>expert panel</t>
        </is>
      </c>
      <c r="W116" s="56" t="inlineStr">
        <is>
          <t>no</t>
        </is>
      </c>
      <c r="X116" s="86" t="inlineStr">
        <is>
          <t>fundus</t>
        </is>
      </c>
      <c r="Y116" s="86" t="inlineStr">
        <is>
          <t>NR</t>
        </is>
      </c>
      <c r="Z116" s="58" t="inlineStr">
        <is>
          <t>yes</t>
        </is>
      </c>
      <c r="AA116" s="58" t="inlineStr">
        <is>
          <t>no</t>
        </is>
      </c>
      <c r="AB116" s="58" t="inlineStr">
        <is>
          <t>no</t>
        </is>
      </c>
      <c r="AC116" s="84" t="inlineStr">
        <is>
          <t>yes</t>
        </is>
      </c>
      <c r="AD116" s="58" t="inlineStr">
        <is>
          <t>ResNet</t>
        </is>
      </c>
      <c r="AE116" s="86" t="inlineStr">
        <is>
          <t>mixed</t>
        </is>
      </c>
      <c r="AF116" s="56" t="inlineStr">
        <is>
          <t>high</t>
        </is>
      </c>
      <c r="AG116" s="56" t="inlineStr">
        <is>
          <t>high</t>
        </is>
      </c>
      <c r="AH116" s="86" t="n">
        <v>300</v>
      </c>
      <c r="AI116" s="86" t="n">
        <v>0.5</v>
      </c>
      <c r="AJ116" s="86" t="n">
        <v>150</v>
      </c>
      <c r="AK116" s="86" t="n">
        <v>150</v>
      </c>
      <c r="AL116" s="86" t="n">
        <v>0.973</v>
      </c>
      <c r="AM116" s="86" t="n">
        <v>0.887</v>
      </c>
      <c r="AN116" s="86" t="n">
        <v>146</v>
      </c>
      <c r="AO116" s="86" t="n">
        <v>4</v>
      </c>
      <c r="AP116" s="86" t="n">
        <v>133</v>
      </c>
      <c r="AQ116" s="86" t="n">
        <v>17</v>
      </c>
    </row>
    <row r="117" ht="16" customHeight="1" s="55">
      <c r="A117" s="88" t="inlineStr">
        <is>
          <t>Li et al. 2024b</t>
        </is>
      </c>
      <c r="B117" s="86" t="inlineStr">
        <is>
          <t>DL_assisted_reader</t>
        </is>
      </c>
      <c r="C117" s="86" t="inlineStr">
        <is>
          <t>Grader2 intermediate (Singapore, round2 + DeepDR)</t>
        </is>
      </c>
      <c r="D117" s="84" t="inlineStr">
        <is>
          <t>trainedgrader</t>
        </is>
      </c>
      <c r="E117" s="84" t="inlineStr">
        <is>
          <t>human_with_ai</t>
        </is>
      </c>
      <c r="F117" s="86" t="inlineStr">
        <is>
          <t>original</t>
        </is>
      </c>
      <c r="G117" s="86" t="inlineStr">
        <is>
          <t>retrospective</t>
        </is>
      </c>
      <c r="H117" s="84" t="inlineStr">
        <is>
          <t>cross-sectional</t>
        </is>
      </c>
      <c r="I117" s="84" t="inlineStr">
        <is>
          <t>yes</t>
        </is>
      </c>
      <c r="J117" s="84" t="inlineStr">
        <is>
          <t>health examination centers</t>
        </is>
      </c>
      <c r="K117" s="86" t="inlineStr">
        <is>
          <t>middle</t>
        </is>
      </c>
      <c r="L117" s="86" t="inlineStr">
        <is>
          <t>mixed</t>
        </is>
      </c>
      <c r="M117" s="86" t="inlineStr">
        <is>
          <t>yes</t>
        </is>
      </c>
      <c r="N117" s="86" t="inlineStr">
        <is>
          <t>rdr</t>
        </is>
      </c>
      <c r="O117" s="86" t="inlineStr">
        <is>
          <t>yes</t>
        </is>
      </c>
      <c r="P117" s="86" t="inlineStr">
        <is>
          <t>mixed</t>
        </is>
      </c>
      <c r="Q117" s="86" t="inlineStr">
        <is>
          <t>desktop</t>
        </is>
      </c>
      <c r="R117" s="84" t="inlineStr">
        <is>
          <t>multiple</t>
        </is>
      </c>
      <c r="S117" s="84" t="inlineStr">
        <is>
          <t>ikang</t>
        </is>
      </c>
      <c r="T117" s="86" t="inlineStr">
        <is>
          <t>icdr</t>
        </is>
      </c>
      <c r="U117" s="84" t="inlineStr">
        <is>
          <t>PP</t>
        </is>
      </c>
      <c r="V117" s="86" t="inlineStr">
        <is>
          <t>expert panel</t>
        </is>
      </c>
      <c r="W117" s="56" t="inlineStr">
        <is>
          <t>no</t>
        </is>
      </c>
      <c r="X117" s="86" t="inlineStr">
        <is>
          <t>fundus</t>
        </is>
      </c>
      <c r="Y117" s="86" t="inlineStr">
        <is>
          <t>NR</t>
        </is>
      </c>
      <c r="Z117" s="58" t="inlineStr">
        <is>
          <t>yes</t>
        </is>
      </c>
      <c r="AA117" s="58" t="inlineStr">
        <is>
          <t>no</t>
        </is>
      </c>
      <c r="AB117" s="58" t="inlineStr">
        <is>
          <t>no</t>
        </is>
      </c>
      <c r="AC117" s="84" t="inlineStr">
        <is>
          <t>yes</t>
        </is>
      </c>
      <c r="AD117" s="58" t="inlineStr">
        <is>
          <t>ResNet</t>
        </is>
      </c>
      <c r="AE117" s="86" t="inlineStr">
        <is>
          <t>mixed</t>
        </is>
      </c>
      <c r="AF117" s="56" t="inlineStr">
        <is>
          <t>high</t>
        </is>
      </c>
      <c r="AG117" s="56" t="inlineStr">
        <is>
          <t>high</t>
        </is>
      </c>
      <c r="AH117" s="86" t="n">
        <v>300</v>
      </c>
      <c r="AI117" s="86" t="n">
        <v>0.5</v>
      </c>
      <c r="AJ117" s="86" t="n">
        <v>150</v>
      </c>
      <c r="AK117" s="86" t="n">
        <v>150</v>
      </c>
      <c r="AL117" s="86" t="n">
        <v>0.98</v>
      </c>
      <c r="AM117" s="86" t="n">
        <v>0.8070000000000001</v>
      </c>
      <c r="AN117" s="86" t="n">
        <v>147</v>
      </c>
      <c r="AO117" s="86" t="n">
        <v>3</v>
      </c>
      <c r="AP117" s="86" t="n">
        <v>121</v>
      </c>
      <c r="AQ117" s="86" t="n">
        <v>29</v>
      </c>
    </row>
    <row r="118" ht="16" customHeight="1" s="55">
      <c r="A118" s="88" t="inlineStr">
        <is>
          <t>Li et al. 2024b</t>
        </is>
      </c>
      <c r="B118" s="86" t="inlineStr">
        <is>
          <t>DL_assisted_reader</t>
        </is>
      </c>
      <c r="C118" s="86" t="inlineStr">
        <is>
          <t>Grader3 senior (Singapore, round2 + DeepDR)</t>
        </is>
      </c>
      <c r="D118" s="84" t="inlineStr">
        <is>
          <t>trainedgrader</t>
        </is>
      </c>
      <c r="E118" s="84" t="inlineStr">
        <is>
          <t>human_with_ai</t>
        </is>
      </c>
      <c r="F118" s="86" t="inlineStr">
        <is>
          <t>original</t>
        </is>
      </c>
      <c r="G118" s="86" t="inlineStr">
        <is>
          <t>retrospective</t>
        </is>
      </c>
      <c r="H118" s="84" t="inlineStr">
        <is>
          <t>cross-sectional</t>
        </is>
      </c>
      <c r="I118" s="84" t="inlineStr">
        <is>
          <t>yes</t>
        </is>
      </c>
      <c r="J118" s="84" t="inlineStr">
        <is>
          <t>health examination centers</t>
        </is>
      </c>
      <c r="K118" s="86" t="inlineStr">
        <is>
          <t>middle</t>
        </is>
      </c>
      <c r="L118" s="86" t="inlineStr">
        <is>
          <t>mixed</t>
        </is>
      </c>
      <c r="M118" s="86" t="inlineStr">
        <is>
          <t>yes</t>
        </is>
      </c>
      <c r="N118" s="86" t="inlineStr">
        <is>
          <t>rdr</t>
        </is>
      </c>
      <c r="O118" s="86" t="inlineStr">
        <is>
          <t>yes</t>
        </is>
      </c>
      <c r="P118" s="86" t="inlineStr">
        <is>
          <t>mixed</t>
        </is>
      </c>
      <c r="Q118" s="86" t="inlineStr">
        <is>
          <t>desktop</t>
        </is>
      </c>
      <c r="R118" s="84" t="inlineStr">
        <is>
          <t>multiple</t>
        </is>
      </c>
      <c r="S118" s="84" t="inlineStr">
        <is>
          <t>ikang</t>
        </is>
      </c>
      <c r="T118" s="86" t="inlineStr">
        <is>
          <t>icdr</t>
        </is>
      </c>
      <c r="U118" s="84" t="inlineStr">
        <is>
          <t>PP</t>
        </is>
      </c>
      <c r="V118" s="86" t="inlineStr">
        <is>
          <t>expert panel</t>
        </is>
      </c>
      <c r="W118" s="56" t="inlineStr">
        <is>
          <t>no</t>
        </is>
      </c>
      <c r="X118" s="86" t="inlineStr">
        <is>
          <t>fundus</t>
        </is>
      </c>
      <c r="Y118" s="86" t="inlineStr">
        <is>
          <t>NR</t>
        </is>
      </c>
      <c r="Z118" s="58" t="inlineStr">
        <is>
          <t>yes</t>
        </is>
      </c>
      <c r="AA118" s="58" t="inlineStr">
        <is>
          <t>no</t>
        </is>
      </c>
      <c r="AB118" s="58" t="inlineStr">
        <is>
          <t>no</t>
        </is>
      </c>
      <c r="AC118" s="84" t="inlineStr">
        <is>
          <t>yes</t>
        </is>
      </c>
      <c r="AD118" s="58" t="inlineStr">
        <is>
          <t>ResNet</t>
        </is>
      </c>
      <c r="AE118" s="86" t="inlineStr">
        <is>
          <t>mixed</t>
        </is>
      </c>
      <c r="AF118" s="56" t="inlineStr">
        <is>
          <t>high</t>
        </is>
      </c>
      <c r="AG118" s="56" t="inlineStr">
        <is>
          <t>high</t>
        </is>
      </c>
      <c r="AH118" s="86" t="n">
        <v>300</v>
      </c>
      <c r="AI118" s="86" t="n">
        <v>0.5</v>
      </c>
      <c r="AJ118" s="86" t="n">
        <v>150</v>
      </c>
      <c r="AK118" s="86" t="n">
        <v>150</v>
      </c>
      <c r="AL118" s="86" t="n">
        <v>0.973</v>
      </c>
      <c r="AM118" s="86" t="n">
        <v>0.767</v>
      </c>
      <c r="AN118" s="86" t="n">
        <v>146</v>
      </c>
      <c r="AO118" s="86" t="n">
        <v>4</v>
      </c>
      <c r="AP118" s="86" t="n">
        <v>115</v>
      </c>
      <c r="AQ118" s="86" t="n">
        <v>35</v>
      </c>
    </row>
    <row r="119" ht="16" customHeight="1" s="55">
      <c r="A119" s="88" t="inlineStr">
        <is>
          <t>Xie et al. 2020</t>
        </is>
      </c>
      <c r="B119" s="86" t="inlineStr">
        <is>
          <t>Reader</t>
        </is>
      </c>
      <c r="C119" s="86" t="inlineStr">
        <is>
          <t>Two-stage manual grading (primary grader + secondary senior grader)</t>
        </is>
      </c>
      <c r="D119" s="84" t="inlineStr">
        <is>
          <t>trainedgrader</t>
        </is>
      </c>
      <c r="E119" s="84" t="inlineStr">
        <is>
          <t>human_only</t>
        </is>
      </c>
      <c r="F119" s="86" t="inlineStr">
        <is>
          <t>original</t>
        </is>
      </c>
      <c r="G119" s="86" t="inlineStr">
        <is>
          <t>retrospective</t>
        </is>
      </c>
      <c r="H119" s="84" t="inlineStr">
        <is>
          <t>cross-sectional</t>
        </is>
      </c>
      <c r="I119" s="84" t="inlineStr">
        <is>
          <t>no</t>
        </is>
      </c>
      <c r="J119" s="84" t="inlineStr">
        <is>
          <t>national screening programme</t>
        </is>
      </c>
      <c r="K119" s="86" t="inlineStr">
        <is>
          <t>high</t>
        </is>
      </c>
      <c r="L119" s="86" t="inlineStr">
        <is>
          <t>mixed</t>
        </is>
      </c>
      <c r="M119" s="86" t="inlineStr">
        <is>
          <t>no</t>
        </is>
      </c>
      <c r="N119" s="86" t="inlineStr">
        <is>
          <t>rdr</t>
        </is>
      </c>
      <c r="O119" s="86" t="inlineStr">
        <is>
          <t>no</t>
        </is>
      </c>
      <c r="P119" s="86" t="inlineStr">
        <is>
          <t>non-mydriatic</t>
        </is>
      </c>
      <c r="Q119" s="86" t="inlineStr">
        <is>
          <t>desktop</t>
        </is>
      </c>
      <c r="R119" s="84" t="inlineStr">
        <is>
          <t>NR</t>
        </is>
      </c>
      <c r="S119" s="84" t="inlineStr">
        <is>
          <t>sidrp</t>
        </is>
      </c>
      <c r="T119" s="86" t="inlineStr">
        <is>
          <t>icdr</t>
        </is>
      </c>
      <c r="U119" s="84" t="inlineStr">
        <is>
          <t>NR</t>
        </is>
      </c>
      <c r="V119" s="86" t="inlineStr">
        <is>
          <t>reading center</t>
        </is>
      </c>
      <c r="W119" s="56" t="inlineStr">
        <is>
          <t>no</t>
        </is>
      </c>
      <c r="X119" s="86" t="inlineStr">
        <is>
          <t>fundus</t>
        </is>
      </c>
      <c r="Y119" s="86" t="inlineStr">
        <is>
          <t>2</t>
        </is>
      </c>
      <c r="Z119" s="86" t="inlineStr">
        <is>
          <t>yes</t>
        </is>
      </c>
      <c r="AA119" s="86" t="inlineStr">
        <is>
          <t>no</t>
        </is>
      </c>
      <c r="AB119" s="86" t="inlineStr">
        <is>
          <t>yes</t>
        </is>
      </c>
      <c r="AC119" s="84" t="inlineStr">
        <is>
          <t>NR</t>
        </is>
      </c>
      <c r="AD119" s="86" t="inlineStr">
        <is>
          <t>NR</t>
        </is>
      </c>
      <c r="AE119" s="86" t="inlineStr">
        <is>
          <t>asia</t>
        </is>
      </c>
      <c r="AF119" s="86" t="inlineStr">
        <is>
          <t>NR</t>
        </is>
      </c>
      <c r="AG119" s="86" t="inlineStr">
        <is>
          <t>NR</t>
        </is>
      </c>
      <c r="AH119" s="86" t="n">
        <v>39006</v>
      </c>
      <c r="AI119" s="86" t="n">
        <v>0.105</v>
      </c>
      <c r="AJ119" s="86" t="n">
        <v>4096</v>
      </c>
      <c r="AK119" s="86" t="n">
        <v>34910</v>
      </c>
      <c r="AL119" s="86" t="n">
        <v>0.899</v>
      </c>
      <c r="AM119" s="86" t="n">
        <v>0.992</v>
      </c>
      <c r="AN119" s="86" t="n">
        <v>3682</v>
      </c>
      <c r="AO119" s="86" t="n">
        <v>414</v>
      </c>
      <c r="AP119" s="86" t="n">
        <v>34631</v>
      </c>
      <c r="AQ119" s="86" t="n">
        <v>279</v>
      </c>
    </row>
    <row r="120" ht="16" customHeight="1" s="55">
      <c r="A120" s="88" t="inlineStr">
        <is>
          <t>Xie et al. 2020</t>
        </is>
      </c>
      <c r="B120" s="86" t="inlineStr">
        <is>
          <t>DL</t>
        </is>
      </c>
      <c r="C120" s="86" t="inlineStr">
        <is>
          <t>DLS triage first + secondary human grader confirmation</t>
        </is>
      </c>
      <c r="D120" s="84" t="inlineStr">
        <is>
          <t>trainedgrader</t>
        </is>
      </c>
      <c r="E120" s="84" t="inlineStr">
        <is>
          <t>ai_only</t>
        </is>
      </c>
      <c r="F120" s="86" t="inlineStr">
        <is>
          <t>original</t>
        </is>
      </c>
      <c r="G120" s="86" t="inlineStr">
        <is>
          <t>retrospective</t>
        </is>
      </c>
      <c r="H120" s="84" t="inlineStr">
        <is>
          <t>cross-sectional</t>
        </is>
      </c>
      <c r="I120" s="84" t="inlineStr">
        <is>
          <t>no</t>
        </is>
      </c>
      <c r="J120" s="84" t="inlineStr">
        <is>
          <t>national screening programme</t>
        </is>
      </c>
      <c r="K120" s="86" t="inlineStr">
        <is>
          <t>high</t>
        </is>
      </c>
      <c r="L120" s="86" t="inlineStr">
        <is>
          <t>mixed</t>
        </is>
      </c>
      <c r="M120" s="86" t="inlineStr">
        <is>
          <t>no</t>
        </is>
      </c>
      <c r="N120" s="86" t="inlineStr">
        <is>
          <t>rdr</t>
        </is>
      </c>
      <c r="O120" s="86" t="inlineStr">
        <is>
          <t>no</t>
        </is>
      </c>
      <c r="P120" s="86" t="inlineStr">
        <is>
          <t>non-mydriatic</t>
        </is>
      </c>
      <c r="Q120" s="86" t="inlineStr">
        <is>
          <t>desktop</t>
        </is>
      </c>
      <c r="R120" s="84" t="inlineStr">
        <is>
          <t>NR</t>
        </is>
      </c>
      <c r="S120" s="84" t="inlineStr">
        <is>
          <t>sidrp</t>
        </is>
      </c>
      <c r="T120" s="86" t="inlineStr">
        <is>
          <t>icdr</t>
        </is>
      </c>
      <c r="U120" s="84" t="inlineStr">
        <is>
          <t>NR</t>
        </is>
      </c>
      <c r="V120" s="86" t="inlineStr">
        <is>
          <t>reading center</t>
        </is>
      </c>
      <c r="W120" s="56" t="inlineStr">
        <is>
          <t>no</t>
        </is>
      </c>
      <c r="X120" s="86" t="inlineStr">
        <is>
          <t>fundus</t>
        </is>
      </c>
      <c r="Y120" s="86" t="inlineStr">
        <is>
          <t>2</t>
        </is>
      </c>
      <c r="Z120" s="86" t="inlineStr">
        <is>
          <t>yes</t>
        </is>
      </c>
      <c r="AA120" s="86" t="inlineStr">
        <is>
          <t>no</t>
        </is>
      </c>
      <c r="AB120" s="86" t="inlineStr">
        <is>
          <t>yes</t>
        </is>
      </c>
      <c r="AC120" s="84" t="inlineStr">
        <is>
          <t>NR</t>
        </is>
      </c>
      <c r="AD120" s="86" t="inlineStr">
        <is>
          <t>ensemble</t>
        </is>
      </c>
      <c r="AE120" s="86" t="inlineStr">
        <is>
          <t>asia</t>
        </is>
      </c>
      <c r="AF120" s="86" t="inlineStr">
        <is>
          <t>NR</t>
        </is>
      </c>
      <c r="AG120" s="86" t="inlineStr">
        <is>
          <t>NR</t>
        </is>
      </c>
      <c r="AH120" s="86" t="n">
        <v>39006</v>
      </c>
      <c r="AI120" s="86" t="n">
        <v>0.105</v>
      </c>
      <c r="AJ120" s="86" t="n">
        <v>4096</v>
      </c>
      <c r="AK120" s="86" t="n">
        <v>34910</v>
      </c>
      <c r="AL120" s="86" t="n">
        <v>0.899</v>
      </c>
      <c r="AM120" s="86" t="n">
        <v>0.996</v>
      </c>
      <c r="AN120" s="86" t="n">
        <v>3682</v>
      </c>
      <c r="AO120" s="86" t="n">
        <v>414</v>
      </c>
      <c r="AP120" s="86" t="n">
        <v>34770</v>
      </c>
      <c r="AQ120" s="86" t="n">
        <v>140</v>
      </c>
    </row>
    <row r="121" ht="16" customHeight="1" s="55">
      <c r="A121" s="88" t="inlineStr">
        <is>
          <t>Xie et al. 2020</t>
        </is>
      </c>
      <c r="B121" s="86" t="inlineStr">
        <is>
          <t>DL</t>
        </is>
      </c>
      <c r="C121" s="86" t="inlineStr">
        <is>
          <t>DLS standalone (no human grading)</t>
        </is>
      </c>
      <c r="D121" s="84" t="inlineStr">
        <is>
          <t>NR</t>
        </is>
      </c>
      <c r="E121" s="84" t="inlineStr">
        <is>
          <t>ai_only</t>
        </is>
      </c>
      <c r="F121" s="86" t="inlineStr">
        <is>
          <t>original</t>
        </is>
      </c>
      <c r="G121" s="86" t="inlineStr">
        <is>
          <t>retrospective</t>
        </is>
      </c>
      <c r="H121" s="84" t="inlineStr">
        <is>
          <t>cross-sectional</t>
        </is>
      </c>
      <c r="I121" s="84" t="inlineStr">
        <is>
          <t>no</t>
        </is>
      </c>
      <c r="J121" s="84" t="inlineStr">
        <is>
          <t>national screening programme</t>
        </is>
      </c>
      <c r="K121" s="86" t="inlineStr">
        <is>
          <t>high</t>
        </is>
      </c>
      <c r="L121" s="86" t="inlineStr">
        <is>
          <t>mixed</t>
        </is>
      </c>
      <c r="M121" s="86" t="inlineStr">
        <is>
          <t>no</t>
        </is>
      </c>
      <c r="N121" s="86" t="inlineStr">
        <is>
          <t>rdr</t>
        </is>
      </c>
      <c r="O121" s="86" t="inlineStr">
        <is>
          <t>no</t>
        </is>
      </c>
      <c r="P121" s="86" t="inlineStr">
        <is>
          <t>non-mydriatic</t>
        </is>
      </c>
      <c r="Q121" s="86" t="inlineStr">
        <is>
          <t>desktop</t>
        </is>
      </c>
      <c r="R121" s="84" t="inlineStr">
        <is>
          <t>NR</t>
        </is>
      </c>
      <c r="S121" s="84" t="inlineStr">
        <is>
          <t>sidrp</t>
        </is>
      </c>
      <c r="T121" s="86" t="inlineStr">
        <is>
          <t>icdr</t>
        </is>
      </c>
      <c r="U121" s="84" t="inlineStr">
        <is>
          <t>NR</t>
        </is>
      </c>
      <c r="V121" s="86" t="inlineStr">
        <is>
          <t>reading center</t>
        </is>
      </c>
      <c r="W121" s="56" t="inlineStr">
        <is>
          <t>no</t>
        </is>
      </c>
      <c r="X121" s="86" t="inlineStr">
        <is>
          <t>fundus</t>
        </is>
      </c>
      <c r="Y121" s="86" t="inlineStr">
        <is>
          <t>2</t>
        </is>
      </c>
      <c r="Z121" s="86" t="inlineStr">
        <is>
          <t>yes</t>
        </is>
      </c>
      <c r="AA121" s="86" t="inlineStr">
        <is>
          <t>no</t>
        </is>
      </c>
      <c r="AB121" s="86" t="inlineStr">
        <is>
          <t>yes</t>
        </is>
      </c>
      <c r="AC121" s="84" t="inlineStr">
        <is>
          <t>NR</t>
        </is>
      </c>
      <c r="AD121" s="86" t="inlineStr">
        <is>
          <t>ensemble</t>
        </is>
      </c>
      <c r="AE121" s="86" t="inlineStr">
        <is>
          <t>asia</t>
        </is>
      </c>
      <c r="AF121" s="86" t="inlineStr">
        <is>
          <t>NR</t>
        </is>
      </c>
      <c r="AG121" s="86" t="inlineStr">
        <is>
          <t>NR</t>
        </is>
      </c>
      <c r="AH121" s="86" t="n">
        <v>39006</v>
      </c>
      <c r="AI121" s="86" t="n">
        <v>0.105</v>
      </c>
      <c r="AJ121" s="86" t="n">
        <v>4096</v>
      </c>
      <c r="AK121" s="86" t="n">
        <v>34910</v>
      </c>
      <c r="AL121" s="86" t="n">
        <v>0.899</v>
      </c>
      <c r="AM121" s="86" t="n">
        <v>0.8179999999999999</v>
      </c>
      <c r="AN121" s="86" t="n">
        <v>3682</v>
      </c>
      <c r="AO121" s="86" t="n">
        <v>414</v>
      </c>
      <c r="AP121" s="86" t="n">
        <v>28556</v>
      </c>
      <c r="AQ121" s="86" t="n">
        <v>6354</v>
      </c>
    </row>
    <row r="122" ht="16" customHeight="1" s="55">
      <c r="A122" s="88" t="inlineStr">
        <is>
          <t>Pinto et al. 2025</t>
        </is>
      </c>
      <c r="B122" s="86" t="inlineStr">
        <is>
          <t>DL</t>
        </is>
      </c>
      <c r="C122" s="86" t="inlineStr">
        <is>
          <t>NaIA-RD (Task 1: DR screening; eye-level)</t>
        </is>
      </c>
      <c r="D122" s="84" t="inlineStr">
        <is>
          <t>NR</t>
        </is>
      </c>
      <c r="E122" s="84" t="inlineStr">
        <is>
          <t>ai_only</t>
        </is>
      </c>
      <c r="F122" s="86" t="inlineStr">
        <is>
          <t>original</t>
        </is>
      </c>
      <c r="G122" s="86" t="inlineStr">
        <is>
          <t>retrospective</t>
        </is>
      </c>
      <c r="H122" s="84" t="inlineStr">
        <is>
          <t>cohort</t>
        </is>
      </c>
      <c r="I122" s="84" t="inlineStr">
        <is>
          <t>no</t>
        </is>
      </c>
      <c r="J122" s="84" t="inlineStr">
        <is>
          <t>tele-screening programme</t>
        </is>
      </c>
      <c r="K122" s="86" t="inlineStr">
        <is>
          <t>high</t>
        </is>
      </c>
      <c r="L122" s="86" t="inlineStr">
        <is>
          <t>mixed</t>
        </is>
      </c>
      <c r="M122" s="86" t="inlineStr">
        <is>
          <t>yes</t>
        </is>
      </c>
      <c r="N122" s="86" t="inlineStr">
        <is>
          <t>rdr</t>
        </is>
      </c>
      <c r="O122" s="86" t="inlineStr">
        <is>
          <t>no</t>
        </is>
      </c>
      <c r="P122" s="86" t="inlineStr">
        <is>
          <t>non-mydriatic</t>
        </is>
      </c>
      <c r="Q122" s="86" t="inlineStr">
        <is>
          <t>desktop</t>
        </is>
      </c>
      <c r="R122" s="84" t="inlineStr">
        <is>
          <t>NR</t>
        </is>
      </c>
      <c r="S122" s="84" t="inlineStr">
        <is>
          <t>pinto_2025</t>
        </is>
      </c>
      <c r="T122" s="86" t="inlineStr">
        <is>
          <t>icdr</t>
        </is>
      </c>
      <c r="U122" s="84" t="inlineStr">
        <is>
          <t>ITT</t>
        </is>
      </c>
      <c r="V122" s="86" t="inlineStr">
        <is>
          <t>expert panel</t>
        </is>
      </c>
      <c r="W122" s="56" t="inlineStr">
        <is>
          <t>no</t>
        </is>
      </c>
      <c r="X122" s="86" t="inlineStr">
        <is>
          <t>fundus</t>
        </is>
      </c>
      <c r="Y122" s="86" t="inlineStr">
        <is>
          <t>2</t>
        </is>
      </c>
      <c r="Z122" s="32" t="inlineStr">
        <is>
          <t>no</t>
        </is>
      </c>
      <c r="AA122" s="86" t="inlineStr">
        <is>
          <t>no</t>
        </is>
      </c>
      <c r="AB122" s="58" t="inlineStr">
        <is>
          <t>no</t>
        </is>
      </c>
      <c r="AC122" s="84" t="inlineStr">
        <is>
          <t>no</t>
        </is>
      </c>
      <c r="AD122" s="86" t="inlineStr">
        <is>
          <t>ResNet</t>
        </is>
      </c>
      <c r="AE122" s="86" t="inlineStr">
        <is>
          <t>europe</t>
        </is>
      </c>
      <c r="AF122" s="57" t="inlineStr">
        <is>
          <t>high</t>
        </is>
      </c>
      <c r="AG122" s="57" t="inlineStr">
        <is>
          <t>high</t>
        </is>
      </c>
      <c r="AH122" s="86" t="n">
        <v>489</v>
      </c>
      <c r="AI122" s="86" t="n">
        <v>0.276</v>
      </c>
      <c r="AJ122" s="86" t="n">
        <v>135</v>
      </c>
      <c r="AK122" s="86" t="n">
        <v>354</v>
      </c>
      <c r="AL122" s="86" t="n">
        <v>0.925</v>
      </c>
      <c r="AM122" s="86" t="n">
        <v>0.924</v>
      </c>
      <c r="AN122" s="86" t="n">
        <v>125</v>
      </c>
      <c r="AO122" s="86" t="n">
        <v>10</v>
      </c>
      <c r="AP122" s="86" t="n">
        <v>327</v>
      </c>
      <c r="AQ122" s="86" t="n">
        <v>27</v>
      </c>
    </row>
    <row r="123" ht="16" customHeight="1" s="55">
      <c r="A123" s="88" t="inlineStr">
        <is>
          <t>Pinto et al. 2025</t>
        </is>
      </c>
      <c r="B123" s="86" t="inlineStr">
        <is>
          <t>Reader</t>
        </is>
      </c>
      <c r="C123" s="86" t="inlineStr">
        <is>
          <t>Ophthalmologist 1 (Task 1; eye-level)</t>
        </is>
      </c>
      <c r="D123" s="84" t="inlineStr">
        <is>
          <t>ophthalmologist</t>
        </is>
      </c>
      <c r="E123" s="84" t="inlineStr">
        <is>
          <t>human_only</t>
        </is>
      </c>
      <c r="F123" s="86" t="inlineStr">
        <is>
          <t>original</t>
        </is>
      </c>
      <c r="G123" s="86" t="inlineStr">
        <is>
          <t>retrospective</t>
        </is>
      </c>
      <c r="H123" s="84" t="inlineStr">
        <is>
          <t>cohort</t>
        </is>
      </c>
      <c r="I123" s="84" t="inlineStr">
        <is>
          <t>no</t>
        </is>
      </c>
      <c r="J123" s="84" t="inlineStr">
        <is>
          <t>tele-screening programme</t>
        </is>
      </c>
      <c r="K123" s="86" t="inlineStr">
        <is>
          <t>high</t>
        </is>
      </c>
      <c r="L123" s="86" t="inlineStr">
        <is>
          <t>mixed</t>
        </is>
      </c>
      <c r="M123" s="86" t="inlineStr">
        <is>
          <t>yes</t>
        </is>
      </c>
      <c r="N123" s="86" t="inlineStr">
        <is>
          <t>rdr</t>
        </is>
      </c>
      <c r="O123" s="86" t="inlineStr">
        <is>
          <t>no</t>
        </is>
      </c>
      <c r="P123" s="86" t="inlineStr">
        <is>
          <t>non-mydriatic</t>
        </is>
      </c>
      <c r="Q123" s="86" t="inlineStr">
        <is>
          <t>desktop</t>
        </is>
      </c>
      <c r="R123" s="84" t="inlineStr">
        <is>
          <t>NR</t>
        </is>
      </c>
      <c r="S123" s="84" t="inlineStr">
        <is>
          <t>pinto_2025</t>
        </is>
      </c>
      <c r="T123" s="86" t="inlineStr">
        <is>
          <t>icdr</t>
        </is>
      </c>
      <c r="U123" s="84" t="inlineStr">
        <is>
          <t>ITT</t>
        </is>
      </c>
      <c r="V123" s="86" t="inlineStr">
        <is>
          <t>expert panel</t>
        </is>
      </c>
      <c r="W123" s="56" t="inlineStr">
        <is>
          <t>no</t>
        </is>
      </c>
      <c r="X123" s="86" t="inlineStr">
        <is>
          <t>fundus</t>
        </is>
      </c>
      <c r="Y123" s="86" t="inlineStr">
        <is>
          <t>2</t>
        </is>
      </c>
      <c r="Z123" s="32" t="inlineStr">
        <is>
          <t>no</t>
        </is>
      </c>
      <c r="AA123" s="86" t="inlineStr">
        <is>
          <t>no</t>
        </is>
      </c>
      <c r="AB123" s="86" t="inlineStr">
        <is>
          <t>no</t>
        </is>
      </c>
      <c r="AC123" s="84" t="inlineStr">
        <is>
          <t>no</t>
        </is>
      </c>
      <c r="AD123" s="86" t="inlineStr">
        <is>
          <t>NR</t>
        </is>
      </c>
      <c r="AE123" s="86" t="inlineStr">
        <is>
          <t>europe</t>
        </is>
      </c>
      <c r="AF123" s="57" t="inlineStr">
        <is>
          <t>high</t>
        </is>
      </c>
      <c r="AG123" s="57" t="inlineStr">
        <is>
          <t>high</t>
        </is>
      </c>
      <c r="AH123" s="86" t="n">
        <v>489</v>
      </c>
      <c r="AI123" s="86" t="n">
        <v>0.289</v>
      </c>
      <c r="AJ123" s="86" t="n">
        <v>141</v>
      </c>
      <c r="AK123" s="86" t="n">
        <v>348</v>
      </c>
      <c r="AL123" s="86" t="n">
        <v>0.894</v>
      </c>
      <c r="AM123" s="86" t="n">
        <v>0.947</v>
      </c>
      <c r="AN123" s="86" t="n">
        <v>126</v>
      </c>
      <c r="AO123" s="86" t="n">
        <v>15</v>
      </c>
      <c r="AP123" s="86" t="n">
        <v>330</v>
      </c>
      <c r="AQ123" s="86" t="n">
        <v>18</v>
      </c>
    </row>
    <row r="124" ht="16" customHeight="1" s="55">
      <c r="A124" s="88" t="inlineStr">
        <is>
          <t>Pinto et al. 2025</t>
        </is>
      </c>
      <c r="B124" s="86" t="inlineStr">
        <is>
          <t>Reader</t>
        </is>
      </c>
      <c r="C124" s="86" t="inlineStr">
        <is>
          <t>Ophthalmologist 2 (Task 1; eye-level)</t>
        </is>
      </c>
      <c r="D124" s="84" t="inlineStr">
        <is>
          <t>ophthalmologist</t>
        </is>
      </c>
      <c r="E124" s="84" t="inlineStr">
        <is>
          <t>human_only</t>
        </is>
      </c>
      <c r="F124" s="86" t="inlineStr">
        <is>
          <t>original</t>
        </is>
      </c>
      <c r="G124" s="86" t="inlineStr">
        <is>
          <t>retrospective</t>
        </is>
      </c>
      <c r="H124" s="84" t="inlineStr">
        <is>
          <t>cohort</t>
        </is>
      </c>
      <c r="I124" s="84" t="inlineStr">
        <is>
          <t>no</t>
        </is>
      </c>
      <c r="J124" s="84" t="inlineStr">
        <is>
          <t>tele-screening programme</t>
        </is>
      </c>
      <c r="K124" s="86" t="inlineStr">
        <is>
          <t>high</t>
        </is>
      </c>
      <c r="L124" s="86" t="inlineStr">
        <is>
          <t>mixed</t>
        </is>
      </c>
      <c r="M124" s="86" t="inlineStr">
        <is>
          <t>yes</t>
        </is>
      </c>
      <c r="N124" s="86" t="inlineStr">
        <is>
          <t>rdr</t>
        </is>
      </c>
      <c r="O124" s="86" t="inlineStr">
        <is>
          <t>no</t>
        </is>
      </c>
      <c r="P124" s="86" t="inlineStr">
        <is>
          <t>non-mydriatic</t>
        </is>
      </c>
      <c r="Q124" s="86" t="inlineStr">
        <is>
          <t>desktop</t>
        </is>
      </c>
      <c r="R124" s="84" t="inlineStr">
        <is>
          <t>NR</t>
        </is>
      </c>
      <c r="S124" s="84" t="inlineStr">
        <is>
          <t>pinto_2025</t>
        </is>
      </c>
      <c r="T124" s="86" t="inlineStr">
        <is>
          <t>icdr</t>
        </is>
      </c>
      <c r="U124" s="84" t="inlineStr">
        <is>
          <t>ITT</t>
        </is>
      </c>
      <c r="V124" s="86" t="inlineStr">
        <is>
          <t>expert panel</t>
        </is>
      </c>
      <c r="W124" s="56" t="inlineStr">
        <is>
          <t>no</t>
        </is>
      </c>
      <c r="X124" s="86" t="inlineStr">
        <is>
          <t>fundus</t>
        </is>
      </c>
      <c r="Y124" s="86" t="inlineStr">
        <is>
          <t>2</t>
        </is>
      </c>
      <c r="Z124" s="32" t="inlineStr">
        <is>
          <t>no</t>
        </is>
      </c>
      <c r="AA124" s="86" t="inlineStr">
        <is>
          <t>no</t>
        </is>
      </c>
      <c r="AB124" s="86" t="inlineStr">
        <is>
          <t>no</t>
        </is>
      </c>
      <c r="AC124" s="84" t="inlineStr">
        <is>
          <t>no</t>
        </is>
      </c>
      <c r="AD124" s="86" t="inlineStr">
        <is>
          <t>NR</t>
        </is>
      </c>
      <c r="AE124" s="86" t="inlineStr">
        <is>
          <t>europe</t>
        </is>
      </c>
      <c r="AF124" s="57" t="inlineStr">
        <is>
          <t>high</t>
        </is>
      </c>
      <c r="AG124" s="57" t="inlineStr">
        <is>
          <t>high</t>
        </is>
      </c>
      <c r="AH124" s="86" t="n">
        <v>489</v>
      </c>
      <c r="AI124" s="86" t="n">
        <v>0.305</v>
      </c>
      <c r="AJ124" s="86" t="n">
        <v>149</v>
      </c>
      <c r="AK124" s="86" t="n">
        <v>340</v>
      </c>
      <c r="AL124" s="86" t="n">
        <v>0.784</v>
      </c>
      <c r="AM124" s="86" t="n">
        <v>0.982</v>
      </c>
      <c r="AN124" s="86" t="n">
        <v>117</v>
      </c>
      <c r="AO124" s="86" t="n">
        <v>32</v>
      </c>
      <c r="AP124" s="86" t="n">
        <v>334</v>
      </c>
      <c r="AQ124" s="86" t="n">
        <v>6</v>
      </c>
    </row>
    <row r="125" ht="16" customHeight="1" s="55">
      <c r="A125" s="88" t="inlineStr">
        <is>
          <t>Pinto et al. 2025</t>
        </is>
      </c>
      <c r="B125" s="86" t="inlineStr">
        <is>
          <t>Reader</t>
        </is>
      </c>
      <c r="C125" s="86" t="inlineStr">
        <is>
          <t>Ophthalmologist 3 (Task 1; eye-level)</t>
        </is>
      </c>
      <c r="D125" s="84" t="inlineStr">
        <is>
          <t>ophthalmologist</t>
        </is>
      </c>
      <c r="E125" s="84" t="inlineStr">
        <is>
          <t>human_only</t>
        </is>
      </c>
      <c r="F125" s="86" t="inlineStr">
        <is>
          <t>original</t>
        </is>
      </c>
      <c r="G125" s="86" t="inlineStr">
        <is>
          <t>retrospective</t>
        </is>
      </c>
      <c r="H125" s="84" t="inlineStr">
        <is>
          <t>cohort</t>
        </is>
      </c>
      <c r="I125" s="84" t="inlineStr">
        <is>
          <t>no</t>
        </is>
      </c>
      <c r="J125" s="84" t="inlineStr">
        <is>
          <t>tele-screening programme</t>
        </is>
      </c>
      <c r="K125" s="86" t="inlineStr">
        <is>
          <t>high</t>
        </is>
      </c>
      <c r="L125" s="86" t="inlineStr">
        <is>
          <t>mixed</t>
        </is>
      </c>
      <c r="M125" s="86" t="inlineStr">
        <is>
          <t>yes</t>
        </is>
      </c>
      <c r="N125" s="86" t="inlineStr">
        <is>
          <t>rdr</t>
        </is>
      </c>
      <c r="O125" s="86" t="inlineStr">
        <is>
          <t>no</t>
        </is>
      </c>
      <c r="P125" s="86" t="inlineStr">
        <is>
          <t>non-mydriatic</t>
        </is>
      </c>
      <c r="Q125" s="86" t="inlineStr">
        <is>
          <t>desktop</t>
        </is>
      </c>
      <c r="R125" s="84" t="inlineStr">
        <is>
          <t>NR</t>
        </is>
      </c>
      <c r="S125" s="84" t="inlineStr">
        <is>
          <t>pinto_2025</t>
        </is>
      </c>
      <c r="T125" s="86" t="inlineStr">
        <is>
          <t>icdr</t>
        </is>
      </c>
      <c r="U125" s="84" t="inlineStr">
        <is>
          <t>ITT</t>
        </is>
      </c>
      <c r="V125" s="86" t="inlineStr">
        <is>
          <t>expert panel</t>
        </is>
      </c>
      <c r="W125" s="56" t="inlineStr">
        <is>
          <t>no</t>
        </is>
      </c>
      <c r="X125" s="86" t="inlineStr">
        <is>
          <t>fundus</t>
        </is>
      </c>
      <c r="Y125" s="86" t="inlineStr">
        <is>
          <t>2</t>
        </is>
      </c>
      <c r="Z125" s="32" t="inlineStr">
        <is>
          <t>no</t>
        </is>
      </c>
      <c r="AA125" s="86" t="inlineStr">
        <is>
          <t>no</t>
        </is>
      </c>
      <c r="AB125" s="86" t="inlineStr">
        <is>
          <t>no</t>
        </is>
      </c>
      <c r="AC125" s="84" t="inlineStr">
        <is>
          <t>no</t>
        </is>
      </c>
      <c r="AD125" s="86" t="inlineStr">
        <is>
          <t>NR</t>
        </is>
      </c>
      <c r="AE125" s="86" t="inlineStr">
        <is>
          <t>europe</t>
        </is>
      </c>
      <c r="AF125" s="57" t="inlineStr">
        <is>
          <t>high</t>
        </is>
      </c>
      <c r="AG125" s="57" t="inlineStr">
        <is>
          <t>high</t>
        </is>
      </c>
      <c r="AH125" s="86" t="n">
        <v>489</v>
      </c>
      <c r="AI125" s="86" t="n">
        <v>0.278</v>
      </c>
      <c r="AJ125" s="86" t="n">
        <v>136</v>
      </c>
      <c r="AK125" s="86" t="n">
        <v>353</v>
      </c>
      <c r="AL125" s="86" t="n">
        <v>0.9330000000000001</v>
      </c>
      <c r="AM125" s="86" t="n">
        <v>0.9</v>
      </c>
      <c r="AN125" s="86" t="n">
        <v>127</v>
      </c>
      <c r="AO125" s="86" t="n">
        <v>9</v>
      </c>
      <c r="AP125" s="86" t="n">
        <v>318</v>
      </c>
      <c r="AQ125" s="86" t="n">
        <v>35</v>
      </c>
    </row>
    <row r="126" ht="16" customHeight="1" s="55">
      <c r="A126" s="88" t="inlineStr">
        <is>
          <t>Wu et al. 2025</t>
        </is>
      </c>
      <c r="B126" s="86" t="inlineStr">
        <is>
          <t>Reader</t>
        </is>
      </c>
      <c r="C126" s="86" t="inlineStr">
        <is>
          <t>Primary care center, CFP only — Referable DR (unassisted)</t>
        </is>
      </c>
      <c r="D126" s="84" t="inlineStr">
        <is>
          <t>physician</t>
        </is>
      </c>
      <c r="E126" s="84" t="inlineStr">
        <is>
          <t>human_only</t>
        </is>
      </c>
      <c r="F126" s="86" t="inlineStr">
        <is>
          <t>original</t>
        </is>
      </c>
      <c r="G126" s="86" t="inlineStr">
        <is>
          <t>prospective</t>
        </is>
      </c>
      <c r="H126" s="84" t="inlineStr">
        <is>
          <t>RCT</t>
        </is>
      </c>
      <c r="I126" s="84" t="inlineStr">
        <is>
          <t>yes</t>
        </is>
      </c>
      <c r="J126" s="84" t="inlineStr">
        <is>
          <t>health screening center</t>
        </is>
      </c>
      <c r="K126" s="86" t="inlineStr">
        <is>
          <t>middle</t>
        </is>
      </c>
      <c r="L126" s="86" t="inlineStr">
        <is>
          <t>primary</t>
        </is>
      </c>
      <c r="M126" s="86" t="inlineStr">
        <is>
          <t>yes</t>
        </is>
      </c>
      <c r="N126" s="86" t="inlineStr">
        <is>
          <t>rdr</t>
        </is>
      </c>
      <c r="O126" s="86" t="inlineStr">
        <is>
          <t>yes</t>
        </is>
      </c>
      <c r="P126" s="86" t="inlineStr">
        <is>
          <t>NR</t>
        </is>
      </c>
      <c r="Q126" s="86" t="inlineStr">
        <is>
          <t>desktop</t>
        </is>
      </c>
      <c r="R126" s="84" t="inlineStr">
        <is>
          <t>NR</t>
        </is>
      </c>
      <c r="S126" s="84" t="inlineStr">
        <is>
          <t>wu_2025</t>
        </is>
      </c>
      <c r="T126" s="86" t="inlineStr">
        <is>
          <t>other</t>
        </is>
      </c>
      <c r="U126" s="84" t="inlineStr">
        <is>
          <t>PP</t>
        </is>
      </c>
      <c r="V126" s="86" t="inlineStr">
        <is>
          <t>expert panel</t>
        </is>
      </c>
      <c r="W126" s="56" t="inlineStr">
        <is>
          <t>yes</t>
        </is>
      </c>
      <c r="X126" s="86" t="inlineStr">
        <is>
          <t>fundus</t>
        </is>
      </c>
      <c r="Y126" s="86" t="inlineStr">
        <is>
          <t>NR</t>
        </is>
      </c>
      <c r="Z126" s="86" t="inlineStr">
        <is>
          <t>yes</t>
        </is>
      </c>
      <c r="AA126" s="86" t="inlineStr">
        <is>
          <t>no</t>
        </is>
      </c>
      <c r="AB126" s="86" t="inlineStr">
        <is>
          <t>no</t>
        </is>
      </c>
      <c r="AC126" s="84" t="inlineStr">
        <is>
          <t>yes</t>
        </is>
      </c>
      <c r="AD126" s="86" t="inlineStr">
        <is>
          <t>NR</t>
        </is>
      </c>
      <c r="AE126" s="86" t="inlineStr">
        <is>
          <t>asia</t>
        </is>
      </c>
      <c r="AF126" s="56" t="inlineStr">
        <is>
          <t>high</t>
        </is>
      </c>
      <c r="AG126" s="86" t="inlineStr">
        <is>
          <t>NR</t>
        </is>
      </c>
      <c r="AH126" s="86" t="n">
        <v>133</v>
      </c>
      <c r="AI126" s="86" t="n">
        <v>0.286</v>
      </c>
      <c r="AJ126" s="86" t="n">
        <v>38</v>
      </c>
      <c r="AK126" s="86" t="n">
        <v>95</v>
      </c>
      <c r="AL126" s="86" t="n">
        <v>0.8159999999999999</v>
      </c>
      <c r="AM126" s="86" t="n">
        <v>0.968</v>
      </c>
      <c r="AN126" s="86" t="n">
        <v>31</v>
      </c>
      <c r="AO126" s="86" t="n">
        <v>7</v>
      </c>
      <c r="AP126" s="86" t="n">
        <v>92</v>
      </c>
      <c r="AQ126" s="86" t="n">
        <v>3</v>
      </c>
    </row>
    <row r="127" ht="16" customHeight="1" s="55">
      <c r="A127" s="88" t="inlineStr">
        <is>
          <t>Wu et al. 2025</t>
        </is>
      </c>
      <c r="B127" s="86" t="inlineStr">
        <is>
          <t>DL_assisted_reader</t>
        </is>
      </c>
      <c r="C127" s="86" t="inlineStr">
        <is>
          <t>Primary care center, CFP only — Referable DR (EyeFM arm)</t>
        </is>
      </c>
      <c r="D127" s="84" t="inlineStr">
        <is>
          <t>physician</t>
        </is>
      </c>
      <c r="E127" s="84" t="inlineStr">
        <is>
          <t>human_with_ai</t>
        </is>
      </c>
      <c r="F127" s="86" t="inlineStr">
        <is>
          <t>original</t>
        </is>
      </c>
      <c r="G127" s="86" t="inlineStr">
        <is>
          <t>prospective</t>
        </is>
      </c>
      <c r="H127" s="84" t="inlineStr">
        <is>
          <t>RCT</t>
        </is>
      </c>
      <c r="I127" s="84" t="inlineStr">
        <is>
          <t>yes</t>
        </is>
      </c>
      <c r="J127" s="84" t="inlineStr">
        <is>
          <t>health screening center</t>
        </is>
      </c>
      <c r="K127" s="86" t="inlineStr">
        <is>
          <t>middle</t>
        </is>
      </c>
      <c r="L127" s="86" t="inlineStr">
        <is>
          <t>primary</t>
        </is>
      </c>
      <c r="M127" s="86" t="inlineStr">
        <is>
          <t>yes</t>
        </is>
      </c>
      <c r="N127" s="86" t="inlineStr">
        <is>
          <t>rdr</t>
        </is>
      </c>
      <c r="O127" s="86" t="inlineStr">
        <is>
          <t>yes</t>
        </is>
      </c>
      <c r="P127" s="86" t="inlineStr">
        <is>
          <t>NR</t>
        </is>
      </c>
      <c r="Q127" s="86" t="inlineStr">
        <is>
          <t>desktop</t>
        </is>
      </c>
      <c r="R127" s="84" t="inlineStr">
        <is>
          <t>NR</t>
        </is>
      </c>
      <c r="S127" s="84" t="inlineStr">
        <is>
          <t>wu_2025</t>
        </is>
      </c>
      <c r="T127" s="86" t="inlineStr">
        <is>
          <t>other</t>
        </is>
      </c>
      <c r="U127" s="84" t="inlineStr">
        <is>
          <t>PP</t>
        </is>
      </c>
      <c r="V127" s="86" t="inlineStr">
        <is>
          <t>expert panel</t>
        </is>
      </c>
      <c r="W127" s="56" t="inlineStr">
        <is>
          <t>yes</t>
        </is>
      </c>
      <c r="X127" s="86" t="inlineStr">
        <is>
          <t>fundus</t>
        </is>
      </c>
      <c r="Y127" s="86" t="inlineStr">
        <is>
          <t>NR</t>
        </is>
      </c>
      <c r="Z127" s="86" t="inlineStr">
        <is>
          <t>yes</t>
        </is>
      </c>
      <c r="AA127" s="86" t="inlineStr">
        <is>
          <t>no</t>
        </is>
      </c>
      <c r="AB127" s="86" t="inlineStr">
        <is>
          <t>no</t>
        </is>
      </c>
      <c r="AC127" s="84" t="inlineStr">
        <is>
          <t>yes</t>
        </is>
      </c>
      <c r="AD127" s="86" t="inlineStr">
        <is>
          <t>AI-assisted</t>
        </is>
      </c>
      <c r="AE127" s="86" t="inlineStr">
        <is>
          <t>asia</t>
        </is>
      </c>
      <c r="AF127" s="56" t="inlineStr">
        <is>
          <t>high</t>
        </is>
      </c>
      <c r="AG127" s="86" t="inlineStr">
        <is>
          <t>NR</t>
        </is>
      </c>
      <c r="AH127" s="86" t="n">
        <v>98</v>
      </c>
      <c r="AI127" s="86" t="n">
        <v>0.347</v>
      </c>
      <c r="AJ127" s="86" t="n">
        <v>34</v>
      </c>
      <c r="AK127" s="86" t="n">
        <v>64</v>
      </c>
      <c r="AL127" s="86" t="n">
        <v>0.971</v>
      </c>
      <c r="AM127" s="86" t="n">
        <v>1</v>
      </c>
      <c r="AN127" s="86" t="n">
        <v>33</v>
      </c>
      <c r="AO127" s="86" t="n">
        <v>1</v>
      </c>
      <c r="AP127" s="86" t="n">
        <v>64</v>
      </c>
      <c r="AQ127" s="86" t="n">
        <v>0</v>
      </c>
    </row>
    <row r="128" ht="16" customHeight="1" s="55">
      <c r="A128" s="88" t="inlineStr">
        <is>
          <t>Wu et al. 2025</t>
        </is>
      </c>
      <c r="B128" s="86" t="inlineStr">
        <is>
          <t>Reader</t>
        </is>
      </c>
      <c r="C128" s="86" t="inlineStr">
        <is>
          <t>Tertiary care center, CFP only — Referable DR (unassisted)</t>
        </is>
      </c>
      <c r="D128" s="84" t="inlineStr">
        <is>
          <t>ophthalmologist</t>
        </is>
      </c>
      <c r="E128" s="84" t="inlineStr">
        <is>
          <t>human_only</t>
        </is>
      </c>
      <c r="F128" s="86" t="inlineStr">
        <is>
          <t>original</t>
        </is>
      </c>
      <c r="G128" s="86" t="inlineStr">
        <is>
          <t>prospective</t>
        </is>
      </c>
      <c r="H128" s="84" t="inlineStr">
        <is>
          <t>RCT</t>
        </is>
      </c>
      <c r="I128" s="84" t="inlineStr">
        <is>
          <t>yes</t>
        </is>
      </c>
      <c r="J128" s="84" t="inlineStr">
        <is>
          <t>health screening center</t>
        </is>
      </c>
      <c r="K128" s="86" t="inlineStr">
        <is>
          <t>middle</t>
        </is>
      </c>
      <c r="L128" s="86" t="inlineStr">
        <is>
          <t>tertiary</t>
        </is>
      </c>
      <c r="M128" s="86" t="inlineStr">
        <is>
          <t>yes</t>
        </is>
      </c>
      <c r="N128" s="86" t="inlineStr">
        <is>
          <t>rdr</t>
        </is>
      </c>
      <c r="O128" s="86" t="inlineStr">
        <is>
          <t>yes</t>
        </is>
      </c>
      <c r="P128" s="86" t="inlineStr">
        <is>
          <t>NR</t>
        </is>
      </c>
      <c r="Q128" s="86" t="inlineStr">
        <is>
          <t>desktop</t>
        </is>
      </c>
      <c r="R128" s="84" t="inlineStr">
        <is>
          <t>NR</t>
        </is>
      </c>
      <c r="S128" s="84" t="inlineStr">
        <is>
          <t>wu_2025</t>
        </is>
      </c>
      <c r="T128" s="86" t="inlineStr">
        <is>
          <t>other</t>
        </is>
      </c>
      <c r="U128" s="84" t="inlineStr">
        <is>
          <t>PP</t>
        </is>
      </c>
      <c r="V128" s="86" t="inlineStr">
        <is>
          <t>expert panel</t>
        </is>
      </c>
      <c r="W128" s="56" t="inlineStr">
        <is>
          <t>yes</t>
        </is>
      </c>
      <c r="X128" s="86" t="inlineStr">
        <is>
          <t>fundus</t>
        </is>
      </c>
      <c r="Y128" s="86" t="inlineStr">
        <is>
          <t>NR</t>
        </is>
      </c>
      <c r="Z128" s="86" t="inlineStr">
        <is>
          <t>yes</t>
        </is>
      </c>
      <c r="AA128" s="86" t="inlineStr">
        <is>
          <t>no</t>
        </is>
      </c>
      <c r="AB128" s="86" t="inlineStr">
        <is>
          <t>no</t>
        </is>
      </c>
      <c r="AC128" s="84" t="inlineStr">
        <is>
          <t>yes</t>
        </is>
      </c>
      <c r="AD128" s="86" t="inlineStr">
        <is>
          <t>NR</t>
        </is>
      </c>
      <c r="AE128" s="86" t="inlineStr">
        <is>
          <t>asia</t>
        </is>
      </c>
      <c r="AF128" s="56" t="inlineStr">
        <is>
          <t>high</t>
        </is>
      </c>
      <c r="AG128" s="86" t="inlineStr">
        <is>
          <t>NR</t>
        </is>
      </c>
      <c r="AH128" s="86" t="n">
        <v>205</v>
      </c>
      <c r="AI128" s="86" t="n">
        <v>0.102</v>
      </c>
      <c r="AJ128" s="86" t="n">
        <v>21</v>
      </c>
      <c r="AK128" s="86" t="n">
        <v>184</v>
      </c>
      <c r="AL128" s="86" t="n">
        <v>0.714</v>
      </c>
      <c r="AM128" s="86" t="n">
        <v>0.989</v>
      </c>
      <c r="AN128" s="86" t="n">
        <v>15</v>
      </c>
      <c r="AO128" s="86" t="n">
        <v>6</v>
      </c>
      <c r="AP128" s="86" t="n">
        <v>182</v>
      </c>
      <c r="AQ128" s="86" t="n">
        <v>2</v>
      </c>
    </row>
    <row r="129" ht="16" customHeight="1" s="55">
      <c r="A129" s="88" t="inlineStr">
        <is>
          <t>Wu et al. 2025</t>
        </is>
      </c>
      <c r="B129" s="86" t="inlineStr">
        <is>
          <t>DL_assisted_reader</t>
        </is>
      </c>
      <c r="C129" s="86" t="inlineStr">
        <is>
          <t>Tertiary care center, CFP only — Referable DR (EyeFM arm)</t>
        </is>
      </c>
      <c r="D129" s="84" t="inlineStr">
        <is>
          <t>ophthalmologist</t>
        </is>
      </c>
      <c r="E129" s="84" t="inlineStr">
        <is>
          <t>human_with_ai</t>
        </is>
      </c>
      <c r="F129" s="86" t="inlineStr">
        <is>
          <t>original</t>
        </is>
      </c>
      <c r="G129" s="86" t="inlineStr">
        <is>
          <t>prospective</t>
        </is>
      </c>
      <c r="H129" s="84" t="inlineStr">
        <is>
          <t>RCT</t>
        </is>
      </c>
      <c r="I129" s="84" t="inlineStr">
        <is>
          <t>yes</t>
        </is>
      </c>
      <c r="J129" s="84" t="inlineStr">
        <is>
          <t>health screening center</t>
        </is>
      </c>
      <c r="K129" s="86" t="inlineStr">
        <is>
          <t>middle</t>
        </is>
      </c>
      <c r="L129" s="86" t="inlineStr">
        <is>
          <t>tertiary</t>
        </is>
      </c>
      <c r="M129" s="86" t="inlineStr">
        <is>
          <t>yes</t>
        </is>
      </c>
      <c r="N129" s="86" t="inlineStr">
        <is>
          <t>rdr</t>
        </is>
      </c>
      <c r="O129" s="86" t="inlineStr">
        <is>
          <t>yes</t>
        </is>
      </c>
      <c r="P129" s="86" t="inlineStr">
        <is>
          <t>NR</t>
        </is>
      </c>
      <c r="Q129" s="86" t="inlineStr">
        <is>
          <t>desktop</t>
        </is>
      </c>
      <c r="R129" s="84" t="inlineStr">
        <is>
          <t>NR</t>
        </is>
      </c>
      <c r="S129" s="84" t="inlineStr">
        <is>
          <t>wu_2025</t>
        </is>
      </c>
      <c r="T129" s="86" t="inlineStr">
        <is>
          <t>other</t>
        </is>
      </c>
      <c r="U129" s="84" t="inlineStr">
        <is>
          <t>PP</t>
        </is>
      </c>
      <c r="V129" s="86" t="inlineStr">
        <is>
          <t>expert panel</t>
        </is>
      </c>
      <c r="W129" s="56" t="inlineStr">
        <is>
          <t>yes</t>
        </is>
      </c>
      <c r="X129" s="86" t="inlineStr">
        <is>
          <t>fundus</t>
        </is>
      </c>
      <c r="Y129" s="86" t="inlineStr">
        <is>
          <t>NR</t>
        </is>
      </c>
      <c r="Z129" s="86" t="inlineStr">
        <is>
          <t>yes</t>
        </is>
      </c>
      <c r="AA129" s="86" t="inlineStr">
        <is>
          <t>no</t>
        </is>
      </c>
      <c r="AB129" s="86" t="inlineStr">
        <is>
          <t>no</t>
        </is>
      </c>
      <c r="AC129" s="84" t="inlineStr">
        <is>
          <t>yes</t>
        </is>
      </c>
      <c r="AD129" s="86" t="inlineStr">
        <is>
          <t>AI-assisted</t>
        </is>
      </c>
      <c r="AE129" s="86" t="inlineStr">
        <is>
          <t>asia</t>
        </is>
      </c>
      <c r="AF129" s="56" t="inlineStr">
        <is>
          <t>high</t>
        </is>
      </c>
      <c r="AG129" s="86" t="inlineStr">
        <is>
          <t>NR</t>
        </is>
      </c>
      <c r="AH129" s="86" t="n">
        <v>133</v>
      </c>
      <c r="AI129" s="86" t="n">
        <v>0.15</v>
      </c>
      <c r="AJ129" s="86" t="n">
        <v>20</v>
      </c>
      <c r="AK129" s="86" t="n">
        <v>113</v>
      </c>
      <c r="AL129" s="86" t="n">
        <v>0.95</v>
      </c>
      <c r="AM129" s="86" t="n">
        <v>0.982</v>
      </c>
      <c r="AN129" s="86" t="n">
        <v>19</v>
      </c>
      <c r="AO129" s="86" t="n">
        <v>1</v>
      </c>
      <c r="AP129" s="86" t="n">
        <v>111</v>
      </c>
      <c r="AQ129" s="86" t="n">
        <v>2</v>
      </c>
    </row>
    <row r="130" ht="16" customHeight="1" s="55">
      <c r="A130" s="88" t="inlineStr">
        <is>
          <t>Xu et al. 2025</t>
        </is>
      </c>
      <c r="B130" s="86" t="inlineStr">
        <is>
          <t>Reader</t>
        </is>
      </c>
      <c r="C130" s="86" t="inlineStr">
        <is>
          <t>PCP (CFP)</t>
        </is>
      </c>
      <c r="D130" s="84" t="inlineStr">
        <is>
          <t>physician</t>
        </is>
      </c>
      <c r="E130" s="84" t="inlineStr">
        <is>
          <t>human_only</t>
        </is>
      </c>
      <c r="F130" s="86" t="inlineStr">
        <is>
          <t>original</t>
        </is>
      </c>
      <c r="G130" s="86" t="inlineStr">
        <is>
          <t>retrospective</t>
        </is>
      </c>
      <c r="H130" s="84" t="inlineStr">
        <is>
          <t>cohort</t>
        </is>
      </c>
      <c r="I130" s="84" t="inlineStr">
        <is>
          <t>no</t>
        </is>
      </c>
      <c r="J130" s="84" t="inlineStr">
        <is>
          <t>tertiary hospital</t>
        </is>
      </c>
      <c r="K130" s="86" t="inlineStr">
        <is>
          <t>middle</t>
        </is>
      </c>
      <c r="L130" s="86" t="inlineStr">
        <is>
          <t>tertiary</t>
        </is>
      </c>
      <c r="M130" s="86" t="inlineStr">
        <is>
          <t>no</t>
        </is>
      </c>
      <c r="N130" s="86" t="inlineStr">
        <is>
          <t>any dr</t>
        </is>
      </c>
      <c r="O130" s="86" t="inlineStr">
        <is>
          <t>no</t>
        </is>
      </c>
      <c r="P130" s="86" t="inlineStr">
        <is>
          <t>non-mydriatic</t>
        </is>
      </c>
      <c r="Q130" s="86" t="inlineStr">
        <is>
          <t>desktop</t>
        </is>
      </c>
      <c r="R130" s="84" t="inlineStr">
        <is>
          <t>multiple</t>
        </is>
      </c>
      <c r="S130" s="84" t="inlineStr">
        <is>
          <t>xu_2025</t>
        </is>
      </c>
      <c r="T130" s="86" t="inlineStr">
        <is>
          <t>icdr</t>
        </is>
      </c>
      <c r="U130" s="84" t="inlineStr">
        <is>
          <t>PP</t>
        </is>
      </c>
      <c r="V130" s="86" t="inlineStr">
        <is>
          <t>expert panel</t>
        </is>
      </c>
      <c r="W130" s="56" t="inlineStr">
        <is>
          <t>no</t>
        </is>
      </c>
      <c r="X130" s="86" t="inlineStr">
        <is>
          <t>fundus</t>
        </is>
      </c>
      <c r="Y130" s="86" t="inlineStr">
        <is>
          <t>1</t>
        </is>
      </c>
      <c r="Z130" s="86" t="inlineStr">
        <is>
          <t>no</t>
        </is>
      </c>
      <c r="AA130" s="86" t="inlineStr">
        <is>
          <t>yes</t>
        </is>
      </c>
      <c r="AB130" s="86" t="inlineStr">
        <is>
          <t>no</t>
        </is>
      </c>
      <c r="AC130" s="84" t="inlineStr">
        <is>
          <t>yes</t>
        </is>
      </c>
      <c r="AD130" s="86" t="inlineStr">
        <is>
          <t>NR</t>
        </is>
      </c>
      <c r="AE130" s="86" t="inlineStr">
        <is>
          <t>asia</t>
        </is>
      </c>
      <c r="AF130" s="56" t="inlineStr">
        <is>
          <t>high</t>
        </is>
      </c>
      <c r="AG130" s="56" t="inlineStr">
        <is>
          <t>high</t>
        </is>
      </c>
      <c r="AH130" s="86" t="n">
        <v>112</v>
      </c>
      <c r="AI130" s="86" t="n">
        <v>0.545</v>
      </c>
      <c r="AJ130" s="86" t="n">
        <v>61</v>
      </c>
      <c r="AK130" s="86" t="n">
        <v>51</v>
      </c>
      <c r="AL130" s="86" t="n">
        <v>0.786</v>
      </c>
      <c r="AM130" s="86" t="n">
        <v>0.804</v>
      </c>
      <c r="AN130" s="86" t="n">
        <v>48</v>
      </c>
      <c r="AO130" s="86" t="n">
        <v>13</v>
      </c>
      <c r="AP130" s="86" t="n">
        <v>41</v>
      </c>
      <c r="AQ130" s="86" t="n">
        <v>10</v>
      </c>
    </row>
    <row r="131" ht="16" customHeight="1" s="55">
      <c r="A131" s="88" t="inlineStr">
        <is>
          <t>Xu et al. 2025</t>
        </is>
      </c>
      <c r="B131" s="86" t="inlineStr">
        <is>
          <t>DL_assisted_reader</t>
        </is>
      </c>
      <c r="C131" s="86" t="inlineStr">
        <is>
          <t>PCP (CFP)</t>
        </is>
      </c>
      <c r="D131" s="84" t="inlineStr">
        <is>
          <t>physician</t>
        </is>
      </c>
      <c r="E131" s="84" t="inlineStr">
        <is>
          <t>human_with_ai</t>
        </is>
      </c>
      <c r="F131" s="86" t="inlineStr">
        <is>
          <t>original</t>
        </is>
      </c>
      <c r="G131" s="86" t="inlineStr">
        <is>
          <t>retrospective</t>
        </is>
      </c>
      <c r="H131" s="84" t="inlineStr">
        <is>
          <t>cohort</t>
        </is>
      </c>
      <c r="I131" s="84" t="inlineStr">
        <is>
          <t>no</t>
        </is>
      </c>
      <c r="J131" s="84" t="inlineStr">
        <is>
          <t>tertiary hospital</t>
        </is>
      </c>
      <c r="K131" s="86" t="inlineStr">
        <is>
          <t>middle</t>
        </is>
      </c>
      <c r="L131" s="86" t="inlineStr">
        <is>
          <t>tertiary</t>
        </is>
      </c>
      <c r="M131" s="86" t="inlineStr">
        <is>
          <t>no</t>
        </is>
      </c>
      <c r="N131" s="86" t="inlineStr">
        <is>
          <t>any dr</t>
        </is>
      </c>
      <c r="O131" s="86" t="inlineStr">
        <is>
          <t>no</t>
        </is>
      </c>
      <c r="P131" s="86" t="inlineStr">
        <is>
          <t>non-mydriatic</t>
        </is>
      </c>
      <c r="Q131" s="86" t="inlineStr">
        <is>
          <t>desktop</t>
        </is>
      </c>
      <c r="R131" s="84" t="inlineStr">
        <is>
          <t>multiple</t>
        </is>
      </c>
      <c r="S131" s="84" t="inlineStr">
        <is>
          <t>xu_2025</t>
        </is>
      </c>
      <c r="T131" s="86" t="inlineStr">
        <is>
          <t>icdr</t>
        </is>
      </c>
      <c r="U131" s="84" t="inlineStr">
        <is>
          <t>PP</t>
        </is>
      </c>
      <c r="V131" s="86" t="inlineStr">
        <is>
          <t>expert panel</t>
        </is>
      </c>
      <c r="W131" s="56" t="inlineStr">
        <is>
          <t>no</t>
        </is>
      </c>
      <c r="X131" s="86" t="inlineStr">
        <is>
          <t>fundus</t>
        </is>
      </c>
      <c r="Y131" s="86" t="inlineStr">
        <is>
          <t>1</t>
        </is>
      </c>
      <c r="Z131" s="86" t="inlineStr">
        <is>
          <t>no</t>
        </is>
      </c>
      <c r="AA131" s="86" t="inlineStr">
        <is>
          <t>yes</t>
        </is>
      </c>
      <c r="AB131" s="58" t="inlineStr">
        <is>
          <t>no</t>
        </is>
      </c>
      <c r="AC131" s="84" t="inlineStr">
        <is>
          <t>yes</t>
        </is>
      </c>
      <c r="AD131" s="86" t="inlineStr">
        <is>
          <t>AI-assisted</t>
        </is>
      </c>
      <c r="AE131" s="86" t="inlineStr">
        <is>
          <t>asia</t>
        </is>
      </c>
      <c r="AF131" s="56" t="inlineStr">
        <is>
          <t>high</t>
        </is>
      </c>
      <c r="AG131" s="56" t="inlineStr">
        <is>
          <t>high</t>
        </is>
      </c>
      <c r="AH131" s="86" t="n">
        <v>112</v>
      </c>
      <c r="AI131" s="86" t="n">
        <v>0.545</v>
      </c>
      <c r="AJ131" s="86" t="n">
        <v>61</v>
      </c>
      <c r="AK131" s="86" t="n">
        <v>51</v>
      </c>
      <c r="AL131" s="86" t="n">
        <v>0.772</v>
      </c>
      <c r="AM131" s="86" t="n">
        <v>0.914</v>
      </c>
      <c r="AN131" s="86" t="n">
        <v>47</v>
      </c>
      <c r="AO131" s="86" t="n">
        <v>14</v>
      </c>
      <c r="AP131" s="86" t="n">
        <v>47</v>
      </c>
      <c r="AQ131" s="86" t="n">
        <v>4</v>
      </c>
    </row>
    <row r="132" ht="16" customHeight="1" s="55">
      <c r="A132" s="88" t="inlineStr">
        <is>
          <t>Xu et al. 2025</t>
        </is>
      </c>
      <c r="B132" s="86" t="inlineStr">
        <is>
          <t>Reader</t>
        </is>
      </c>
      <c r="C132" s="86" t="inlineStr">
        <is>
          <t>Ophthalmic residents (CFP)</t>
        </is>
      </c>
      <c r="D132" s="84" t="inlineStr">
        <is>
          <t>ophthalmologist</t>
        </is>
      </c>
      <c r="E132" s="84" t="inlineStr">
        <is>
          <t>human_only</t>
        </is>
      </c>
      <c r="F132" s="86" t="inlineStr">
        <is>
          <t>original</t>
        </is>
      </c>
      <c r="G132" s="86" t="inlineStr">
        <is>
          <t>retrospective</t>
        </is>
      </c>
      <c r="H132" s="84" t="inlineStr">
        <is>
          <t>cohort</t>
        </is>
      </c>
      <c r="I132" s="84" t="inlineStr">
        <is>
          <t>no</t>
        </is>
      </c>
      <c r="J132" s="84" t="inlineStr">
        <is>
          <t>tertiary hospital</t>
        </is>
      </c>
      <c r="K132" s="86" t="inlineStr">
        <is>
          <t>middle</t>
        </is>
      </c>
      <c r="L132" s="86" t="inlineStr">
        <is>
          <t>tertiary</t>
        </is>
      </c>
      <c r="M132" s="86" t="inlineStr">
        <is>
          <t>no</t>
        </is>
      </c>
      <c r="N132" s="86" t="inlineStr">
        <is>
          <t>any dr</t>
        </is>
      </c>
      <c r="O132" s="86" t="inlineStr">
        <is>
          <t>no</t>
        </is>
      </c>
      <c r="P132" s="86" t="inlineStr">
        <is>
          <t>non-mydriatic</t>
        </is>
      </c>
      <c r="Q132" s="86" t="inlineStr">
        <is>
          <t>desktop</t>
        </is>
      </c>
      <c r="R132" s="84" t="inlineStr">
        <is>
          <t>multiple</t>
        </is>
      </c>
      <c r="S132" s="84" t="inlineStr">
        <is>
          <t>xu_2025</t>
        </is>
      </c>
      <c r="T132" s="86" t="inlineStr">
        <is>
          <t>icdr</t>
        </is>
      </c>
      <c r="U132" s="84" t="inlineStr">
        <is>
          <t>PP</t>
        </is>
      </c>
      <c r="V132" s="86" t="inlineStr">
        <is>
          <t>expert panel</t>
        </is>
      </c>
      <c r="W132" s="56" t="inlineStr">
        <is>
          <t>no</t>
        </is>
      </c>
      <c r="X132" s="86" t="inlineStr">
        <is>
          <t>fundus</t>
        </is>
      </c>
      <c r="Y132" s="86" t="inlineStr">
        <is>
          <t>1</t>
        </is>
      </c>
      <c r="Z132" s="86" t="inlineStr">
        <is>
          <t>no</t>
        </is>
      </c>
      <c r="AA132" s="86" t="inlineStr">
        <is>
          <t>yes</t>
        </is>
      </c>
      <c r="AB132" s="86" t="inlineStr">
        <is>
          <t>no</t>
        </is>
      </c>
      <c r="AC132" s="84" t="inlineStr">
        <is>
          <t>yes</t>
        </is>
      </c>
      <c r="AD132" s="86" t="inlineStr">
        <is>
          <t>NR</t>
        </is>
      </c>
      <c r="AE132" s="86" t="inlineStr">
        <is>
          <t>asia</t>
        </is>
      </c>
      <c r="AF132" s="56" t="inlineStr">
        <is>
          <t>high</t>
        </is>
      </c>
      <c r="AG132" s="56" t="inlineStr">
        <is>
          <t>high</t>
        </is>
      </c>
      <c r="AH132" s="86" t="n">
        <v>112</v>
      </c>
      <c r="AI132" s="86" t="n">
        <v>0.545</v>
      </c>
      <c r="AJ132" s="86" t="n">
        <v>61</v>
      </c>
      <c r="AK132" s="86" t="n">
        <v>51</v>
      </c>
      <c r="AL132" s="86" t="n">
        <v>0.825</v>
      </c>
      <c r="AM132" s="86" t="n">
        <v>0.805</v>
      </c>
      <c r="AN132" s="86" t="n">
        <v>50</v>
      </c>
      <c r="AO132" s="86" t="n">
        <v>11</v>
      </c>
      <c r="AP132" s="86" t="n">
        <v>41</v>
      </c>
      <c r="AQ132" s="86" t="n">
        <v>10</v>
      </c>
    </row>
    <row r="133" ht="16" customHeight="1" s="55">
      <c r="A133" s="88" t="inlineStr">
        <is>
          <t>Xu et al. 2025</t>
        </is>
      </c>
      <c r="B133" s="86" t="inlineStr">
        <is>
          <t>DL_assisted_reader</t>
        </is>
      </c>
      <c r="C133" s="86" t="inlineStr">
        <is>
          <t>Ophthalmic residents (CFP)</t>
        </is>
      </c>
      <c r="D133" s="84" t="inlineStr">
        <is>
          <t>ophthalmologist</t>
        </is>
      </c>
      <c r="E133" s="84" t="inlineStr">
        <is>
          <t>human_with_ai</t>
        </is>
      </c>
      <c r="F133" s="86" t="inlineStr">
        <is>
          <t>original</t>
        </is>
      </c>
      <c r="G133" s="86" t="inlineStr">
        <is>
          <t>retrospective</t>
        </is>
      </c>
      <c r="H133" s="84" t="inlineStr">
        <is>
          <t>cohort</t>
        </is>
      </c>
      <c r="I133" s="84" t="inlineStr">
        <is>
          <t>no</t>
        </is>
      </c>
      <c r="J133" s="84" t="inlineStr">
        <is>
          <t>tertiary hospital</t>
        </is>
      </c>
      <c r="K133" s="86" t="inlineStr">
        <is>
          <t>middle</t>
        </is>
      </c>
      <c r="L133" s="86" t="inlineStr">
        <is>
          <t>tertiary</t>
        </is>
      </c>
      <c r="M133" s="86" t="inlineStr">
        <is>
          <t>no</t>
        </is>
      </c>
      <c r="N133" s="86" t="inlineStr">
        <is>
          <t>any dr</t>
        </is>
      </c>
      <c r="O133" s="86" t="inlineStr">
        <is>
          <t>no</t>
        </is>
      </c>
      <c r="P133" s="86" t="inlineStr">
        <is>
          <t>non-mydriatic</t>
        </is>
      </c>
      <c r="Q133" s="86" t="inlineStr">
        <is>
          <t>desktop</t>
        </is>
      </c>
      <c r="R133" s="84" t="inlineStr">
        <is>
          <t>multiple</t>
        </is>
      </c>
      <c r="S133" s="84" t="inlineStr">
        <is>
          <t>xu_2025</t>
        </is>
      </c>
      <c r="T133" s="86" t="inlineStr">
        <is>
          <t>icdr</t>
        </is>
      </c>
      <c r="U133" s="84" t="inlineStr">
        <is>
          <t>PP</t>
        </is>
      </c>
      <c r="V133" s="86" t="inlineStr">
        <is>
          <t>expert panel</t>
        </is>
      </c>
      <c r="W133" s="56" t="inlineStr">
        <is>
          <t>no</t>
        </is>
      </c>
      <c r="X133" s="86" t="inlineStr">
        <is>
          <t>fundus</t>
        </is>
      </c>
      <c r="Y133" s="86" t="inlineStr">
        <is>
          <t>1</t>
        </is>
      </c>
      <c r="Z133" s="86" t="inlineStr">
        <is>
          <t>no</t>
        </is>
      </c>
      <c r="AA133" s="86" t="inlineStr">
        <is>
          <t>yes</t>
        </is>
      </c>
      <c r="AB133" s="58" t="inlineStr">
        <is>
          <t>no</t>
        </is>
      </c>
      <c r="AC133" s="84" t="inlineStr">
        <is>
          <t>yes</t>
        </is>
      </c>
      <c r="AD133" s="86" t="inlineStr">
        <is>
          <t>AI-assisted</t>
        </is>
      </c>
      <c r="AE133" s="86" t="inlineStr">
        <is>
          <t>asia</t>
        </is>
      </c>
      <c r="AF133" s="56" t="inlineStr">
        <is>
          <t>high</t>
        </is>
      </c>
      <c r="AG133" s="56" t="inlineStr">
        <is>
          <t>high</t>
        </is>
      </c>
      <c r="AH133" s="86" t="n">
        <v>112</v>
      </c>
      <c r="AI133" s="86" t="n">
        <v>0.545</v>
      </c>
      <c r="AJ133" s="86" t="n">
        <v>61</v>
      </c>
      <c r="AK133" s="86" t="n">
        <v>51</v>
      </c>
      <c r="AL133" s="86" t="n">
        <v>0.772</v>
      </c>
      <c r="AM133" s="86" t="n">
        <v>0.968</v>
      </c>
      <c r="AN133" s="86" t="n">
        <v>47</v>
      </c>
      <c r="AO133" s="86" t="n">
        <v>14</v>
      </c>
      <c r="AP133" s="86" t="n">
        <v>49</v>
      </c>
      <c r="AQ133" s="86" t="n">
        <v>2</v>
      </c>
    </row>
    <row r="134" ht="16" customHeight="1" s="55">
      <c r="A134" s="88" t="inlineStr">
        <is>
          <t>Xu et al. 2025</t>
        </is>
      </c>
      <c r="B134" s="86" t="inlineStr">
        <is>
          <t>Reader</t>
        </is>
      </c>
      <c r="C134" s="86" t="inlineStr">
        <is>
          <t>Ophthalmic attendings (CFP)</t>
        </is>
      </c>
      <c r="D134" s="84" t="inlineStr">
        <is>
          <t>ophthalmologist</t>
        </is>
      </c>
      <c r="E134" s="84" t="inlineStr">
        <is>
          <t>human_only</t>
        </is>
      </c>
      <c r="F134" s="86" t="inlineStr">
        <is>
          <t>original</t>
        </is>
      </c>
      <c r="G134" s="86" t="inlineStr">
        <is>
          <t>retrospective</t>
        </is>
      </c>
      <c r="H134" s="84" t="inlineStr">
        <is>
          <t>cohort</t>
        </is>
      </c>
      <c r="I134" s="84" t="inlineStr">
        <is>
          <t>no</t>
        </is>
      </c>
      <c r="J134" s="84" t="inlineStr">
        <is>
          <t>tertiary hospital</t>
        </is>
      </c>
      <c r="K134" s="86" t="inlineStr">
        <is>
          <t>middle</t>
        </is>
      </c>
      <c r="L134" s="86" t="inlineStr">
        <is>
          <t>tertiary</t>
        </is>
      </c>
      <c r="M134" s="86" t="inlineStr">
        <is>
          <t>no</t>
        </is>
      </c>
      <c r="N134" s="86" t="inlineStr">
        <is>
          <t>any dr</t>
        </is>
      </c>
      <c r="O134" s="86" t="inlineStr">
        <is>
          <t>no</t>
        </is>
      </c>
      <c r="P134" s="86" t="inlineStr">
        <is>
          <t>non-mydriatic</t>
        </is>
      </c>
      <c r="Q134" s="86" t="inlineStr">
        <is>
          <t>desktop</t>
        </is>
      </c>
      <c r="R134" s="84" t="inlineStr">
        <is>
          <t>multiple</t>
        </is>
      </c>
      <c r="S134" s="84" t="inlineStr">
        <is>
          <t>xu_2025</t>
        </is>
      </c>
      <c r="T134" s="86" t="inlineStr">
        <is>
          <t>icdr</t>
        </is>
      </c>
      <c r="U134" s="84" t="inlineStr">
        <is>
          <t>PP</t>
        </is>
      </c>
      <c r="V134" s="86" t="inlineStr">
        <is>
          <t>expert panel</t>
        </is>
      </c>
      <c r="W134" s="56" t="inlineStr">
        <is>
          <t>no</t>
        </is>
      </c>
      <c r="X134" s="86" t="inlineStr">
        <is>
          <t>fundus</t>
        </is>
      </c>
      <c r="Y134" s="86" t="inlineStr">
        <is>
          <t>1</t>
        </is>
      </c>
      <c r="Z134" s="86" t="inlineStr">
        <is>
          <t>no</t>
        </is>
      </c>
      <c r="AA134" s="86" t="inlineStr">
        <is>
          <t>yes</t>
        </is>
      </c>
      <c r="AB134" s="86" t="inlineStr">
        <is>
          <t>no</t>
        </is>
      </c>
      <c r="AC134" s="84" t="inlineStr">
        <is>
          <t>yes</t>
        </is>
      </c>
      <c r="AD134" s="86" t="inlineStr">
        <is>
          <t>NR</t>
        </is>
      </c>
      <c r="AE134" s="86" t="inlineStr">
        <is>
          <t>asia</t>
        </is>
      </c>
      <c r="AF134" s="56" t="inlineStr">
        <is>
          <t>high</t>
        </is>
      </c>
      <c r="AG134" s="56" t="inlineStr">
        <is>
          <t>high</t>
        </is>
      </c>
      <c r="AH134" s="86" t="n">
        <v>112</v>
      </c>
      <c r="AI134" s="86" t="n">
        <v>0.545</v>
      </c>
      <c r="AJ134" s="86" t="n">
        <v>61</v>
      </c>
      <c r="AK134" s="86" t="n">
        <v>51</v>
      </c>
      <c r="AL134" s="86" t="n">
        <v>0.827</v>
      </c>
      <c r="AM134" s="86" t="n">
        <v>0.803</v>
      </c>
      <c r="AN134" s="86" t="n">
        <v>50</v>
      </c>
      <c r="AO134" s="86" t="n">
        <v>11</v>
      </c>
      <c r="AP134" s="86" t="n">
        <v>41</v>
      </c>
      <c r="AQ134" s="86" t="n">
        <v>10</v>
      </c>
    </row>
    <row r="135" ht="16" customHeight="1" s="55">
      <c r="A135" s="88" t="inlineStr">
        <is>
          <t>Xu et al. 2025</t>
        </is>
      </c>
      <c r="B135" s="86" t="inlineStr">
        <is>
          <t>DL_assisted_reader</t>
        </is>
      </c>
      <c r="C135" s="86" t="inlineStr">
        <is>
          <t>Ophthalmic attendings (CFP)</t>
        </is>
      </c>
      <c r="D135" s="84" t="inlineStr">
        <is>
          <t>ophthalmologist</t>
        </is>
      </c>
      <c r="E135" s="84" t="inlineStr">
        <is>
          <t>human_with_ai</t>
        </is>
      </c>
      <c r="F135" s="86" t="inlineStr">
        <is>
          <t>original</t>
        </is>
      </c>
      <c r="G135" s="86" t="inlineStr">
        <is>
          <t>retrospective</t>
        </is>
      </c>
      <c r="H135" s="84" t="inlineStr">
        <is>
          <t>cohort</t>
        </is>
      </c>
      <c r="I135" s="84" t="inlineStr">
        <is>
          <t>no</t>
        </is>
      </c>
      <c r="J135" s="84" t="inlineStr">
        <is>
          <t>tertiary hospital</t>
        </is>
      </c>
      <c r="K135" s="86" t="inlineStr">
        <is>
          <t>middle</t>
        </is>
      </c>
      <c r="L135" s="86" t="inlineStr">
        <is>
          <t>tertiary</t>
        </is>
      </c>
      <c r="M135" s="86" t="inlineStr">
        <is>
          <t>no</t>
        </is>
      </c>
      <c r="N135" s="86" t="inlineStr">
        <is>
          <t>any dr</t>
        </is>
      </c>
      <c r="O135" s="86" t="inlineStr">
        <is>
          <t>no</t>
        </is>
      </c>
      <c r="P135" s="86" t="inlineStr">
        <is>
          <t>non-mydriatic</t>
        </is>
      </c>
      <c r="Q135" s="86" t="inlineStr">
        <is>
          <t>desktop</t>
        </is>
      </c>
      <c r="R135" s="84" t="inlineStr">
        <is>
          <t>multiple</t>
        </is>
      </c>
      <c r="S135" s="84" t="inlineStr">
        <is>
          <t>xu_2025</t>
        </is>
      </c>
      <c r="T135" s="86" t="inlineStr">
        <is>
          <t>icdr</t>
        </is>
      </c>
      <c r="U135" s="84" t="inlineStr">
        <is>
          <t>PP</t>
        </is>
      </c>
      <c r="V135" s="86" t="inlineStr">
        <is>
          <t>expert panel</t>
        </is>
      </c>
      <c r="W135" s="56" t="inlineStr">
        <is>
          <t>no</t>
        </is>
      </c>
      <c r="X135" s="86" t="inlineStr">
        <is>
          <t>fundus</t>
        </is>
      </c>
      <c r="Y135" s="86" t="inlineStr">
        <is>
          <t>1</t>
        </is>
      </c>
      <c r="Z135" s="86" t="inlineStr">
        <is>
          <t>no</t>
        </is>
      </c>
      <c r="AA135" s="86" t="inlineStr">
        <is>
          <t>yes</t>
        </is>
      </c>
      <c r="AB135" s="58" t="inlineStr">
        <is>
          <t>no</t>
        </is>
      </c>
      <c r="AC135" s="84" t="inlineStr">
        <is>
          <t>yes</t>
        </is>
      </c>
      <c r="AD135" s="86" t="inlineStr">
        <is>
          <t>AI-assisted</t>
        </is>
      </c>
      <c r="AE135" s="86" t="inlineStr">
        <is>
          <t>asia</t>
        </is>
      </c>
      <c r="AF135" s="56" t="inlineStr">
        <is>
          <t>high</t>
        </is>
      </c>
      <c r="AG135" s="56" t="inlineStr">
        <is>
          <t>high</t>
        </is>
      </c>
      <c r="AH135" s="86" t="n">
        <v>112</v>
      </c>
      <c r="AI135" s="86" t="n">
        <v>0.545</v>
      </c>
      <c r="AJ135" s="86" t="n">
        <v>61</v>
      </c>
      <c r="AK135" s="86" t="n">
        <v>51</v>
      </c>
      <c r="AL135" s="86" t="n">
        <v>0.784</v>
      </c>
      <c r="AM135" s="86" t="n">
        <v>0.946</v>
      </c>
      <c r="AN135" s="86" t="n">
        <v>48</v>
      </c>
      <c r="AO135" s="86" t="n">
        <v>13</v>
      </c>
      <c r="AP135" s="86" t="n">
        <v>48</v>
      </c>
      <c r="AQ135" s="86" t="n">
        <v>3</v>
      </c>
    </row>
    <row r="136" ht="16" customHeight="1" s="55">
      <c r="A136" s="88" t="inlineStr">
        <is>
          <t>Xu et al. 2025</t>
        </is>
      </c>
      <c r="B136" s="86" t="inlineStr">
        <is>
          <t>Reader</t>
        </is>
      </c>
      <c r="C136" s="86" t="inlineStr">
        <is>
          <t>Ophthalmic residents (UWF)</t>
        </is>
      </c>
      <c r="D136" s="84" t="inlineStr">
        <is>
          <t>ophthalmologist</t>
        </is>
      </c>
      <c r="E136" s="84" t="inlineStr">
        <is>
          <t>human_only</t>
        </is>
      </c>
      <c r="F136" s="86" t="inlineStr">
        <is>
          <t>original</t>
        </is>
      </c>
      <c r="G136" s="86" t="inlineStr">
        <is>
          <t>retrospective</t>
        </is>
      </c>
      <c r="H136" s="84" t="inlineStr">
        <is>
          <t>cohort</t>
        </is>
      </c>
      <c r="I136" s="84" t="inlineStr">
        <is>
          <t>no</t>
        </is>
      </c>
      <c r="J136" s="84" t="inlineStr">
        <is>
          <t>tertiary hospital</t>
        </is>
      </c>
      <c r="K136" s="86" t="inlineStr">
        <is>
          <t>middle</t>
        </is>
      </c>
      <c r="L136" s="86" t="inlineStr">
        <is>
          <t>tertiary</t>
        </is>
      </c>
      <c r="M136" s="86" t="inlineStr">
        <is>
          <t>no</t>
        </is>
      </c>
      <c r="N136" s="86" t="inlineStr">
        <is>
          <t>any dr</t>
        </is>
      </c>
      <c r="O136" s="86" t="inlineStr">
        <is>
          <t>no</t>
        </is>
      </c>
      <c r="P136" s="86" t="inlineStr">
        <is>
          <t>non-mydriatic</t>
        </is>
      </c>
      <c r="Q136" s="86" t="inlineStr">
        <is>
          <t>desktop</t>
        </is>
      </c>
      <c r="R136" s="84" t="inlineStr">
        <is>
          <t>multiple</t>
        </is>
      </c>
      <c r="S136" s="84" t="inlineStr">
        <is>
          <t>xu_2025</t>
        </is>
      </c>
      <c r="T136" s="86" t="inlineStr">
        <is>
          <t>icdr</t>
        </is>
      </c>
      <c r="U136" s="84" t="inlineStr">
        <is>
          <t>PP</t>
        </is>
      </c>
      <c r="V136" s="86" t="inlineStr">
        <is>
          <t>expert panel</t>
        </is>
      </c>
      <c r="W136" s="56" t="inlineStr">
        <is>
          <t>no</t>
        </is>
      </c>
      <c r="X136" s="86" t="inlineStr">
        <is>
          <t>fundus</t>
        </is>
      </c>
      <c r="Y136" s="86" t="inlineStr">
        <is>
          <t>1</t>
        </is>
      </c>
      <c r="Z136" s="86" t="inlineStr">
        <is>
          <t>no</t>
        </is>
      </c>
      <c r="AA136" s="86" t="inlineStr">
        <is>
          <t>yes</t>
        </is>
      </c>
      <c r="AB136" s="86" t="inlineStr">
        <is>
          <t>no</t>
        </is>
      </c>
      <c r="AC136" s="84" t="inlineStr">
        <is>
          <t>yes</t>
        </is>
      </c>
      <c r="AD136" s="86" t="inlineStr">
        <is>
          <t>NR</t>
        </is>
      </c>
      <c r="AE136" s="86" t="inlineStr">
        <is>
          <t>asia</t>
        </is>
      </c>
      <c r="AF136" s="56" t="inlineStr">
        <is>
          <t>high</t>
        </is>
      </c>
      <c r="AG136" s="56" t="inlineStr">
        <is>
          <t>high</t>
        </is>
      </c>
      <c r="AH136" s="86" t="n">
        <v>112</v>
      </c>
      <c r="AI136" s="86" t="n">
        <v>0.545</v>
      </c>
      <c r="AJ136" s="86" t="n">
        <v>61</v>
      </c>
      <c r="AK136" s="86" t="n">
        <v>51</v>
      </c>
      <c r="AL136" s="86" t="n">
        <v>0.83</v>
      </c>
      <c r="AM136" s="86" t="n">
        <v>0.844</v>
      </c>
      <c r="AN136" s="86" t="n">
        <v>51</v>
      </c>
      <c r="AO136" s="86" t="n">
        <v>10</v>
      </c>
      <c r="AP136" s="86" t="n">
        <v>43</v>
      </c>
      <c r="AQ136" s="86" t="n">
        <v>8</v>
      </c>
    </row>
    <row r="137" ht="16" customHeight="1" s="55">
      <c r="A137" s="88" t="inlineStr">
        <is>
          <t>Xu et al. 2025</t>
        </is>
      </c>
      <c r="B137" s="86" t="inlineStr">
        <is>
          <t>DL_assisted_reader</t>
        </is>
      </c>
      <c r="C137" s="86" t="inlineStr">
        <is>
          <t>Ophthalmic residents (UWF)</t>
        </is>
      </c>
      <c r="D137" s="84" t="inlineStr">
        <is>
          <t>ophthalmologist</t>
        </is>
      </c>
      <c r="E137" s="84" t="inlineStr">
        <is>
          <t>human_with_ai</t>
        </is>
      </c>
      <c r="F137" s="86" t="inlineStr">
        <is>
          <t>original</t>
        </is>
      </c>
      <c r="G137" s="86" t="inlineStr">
        <is>
          <t>retrospective</t>
        </is>
      </c>
      <c r="H137" s="84" t="inlineStr">
        <is>
          <t>cohort</t>
        </is>
      </c>
      <c r="I137" s="84" t="inlineStr">
        <is>
          <t>no</t>
        </is>
      </c>
      <c r="J137" s="84" t="inlineStr">
        <is>
          <t>tertiary hospital</t>
        </is>
      </c>
      <c r="K137" s="86" t="inlineStr">
        <is>
          <t>middle</t>
        </is>
      </c>
      <c r="L137" s="86" t="inlineStr">
        <is>
          <t>tertiary</t>
        </is>
      </c>
      <c r="M137" s="86" t="inlineStr">
        <is>
          <t>no</t>
        </is>
      </c>
      <c r="N137" s="86" t="inlineStr">
        <is>
          <t>any dr</t>
        </is>
      </c>
      <c r="O137" s="86" t="inlineStr">
        <is>
          <t>no</t>
        </is>
      </c>
      <c r="P137" s="86" t="inlineStr">
        <is>
          <t>non-mydriatic</t>
        </is>
      </c>
      <c r="Q137" s="86" t="inlineStr">
        <is>
          <t>desktop</t>
        </is>
      </c>
      <c r="R137" s="84" t="inlineStr">
        <is>
          <t>multiple</t>
        </is>
      </c>
      <c r="S137" s="84" t="inlineStr">
        <is>
          <t>xu_2025</t>
        </is>
      </c>
      <c r="T137" s="86" t="inlineStr">
        <is>
          <t>icdr</t>
        </is>
      </c>
      <c r="U137" s="84" t="inlineStr">
        <is>
          <t>PP</t>
        </is>
      </c>
      <c r="V137" s="86" t="inlineStr">
        <is>
          <t>expert panel</t>
        </is>
      </c>
      <c r="W137" s="56" t="inlineStr">
        <is>
          <t>no</t>
        </is>
      </c>
      <c r="X137" s="86" t="inlineStr">
        <is>
          <t>fundus</t>
        </is>
      </c>
      <c r="Y137" s="86" t="inlineStr">
        <is>
          <t>1</t>
        </is>
      </c>
      <c r="Z137" s="86" t="inlineStr">
        <is>
          <t>no</t>
        </is>
      </c>
      <c r="AA137" s="86" t="inlineStr">
        <is>
          <t>yes</t>
        </is>
      </c>
      <c r="AB137" s="58" t="inlineStr">
        <is>
          <t>no</t>
        </is>
      </c>
      <c r="AC137" s="84" t="inlineStr">
        <is>
          <t>yes</t>
        </is>
      </c>
      <c r="AD137" s="86" t="inlineStr">
        <is>
          <t>AI-assisted</t>
        </is>
      </c>
      <c r="AE137" s="86" t="inlineStr">
        <is>
          <t>asia</t>
        </is>
      </c>
      <c r="AF137" s="56" t="inlineStr">
        <is>
          <t>high</t>
        </is>
      </c>
      <c r="AG137" s="56" t="inlineStr">
        <is>
          <t>high</t>
        </is>
      </c>
      <c r="AH137" s="86" t="n">
        <v>112</v>
      </c>
      <c r="AI137" s="86" t="n">
        <v>0.545</v>
      </c>
      <c r="AJ137" s="86" t="n">
        <v>61</v>
      </c>
      <c r="AK137" s="86" t="n">
        <v>51</v>
      </c>
      <c r="AL137" s="86" t="n">
        <v>0.892</v>
      </c>
      <c r="AM137" s="86" t="n">
        <v>0.903</v>
      </c>
      <c r="AN137" s="86" t="n">
        <v>54</v>
      </c>
      <c r="AO137" s="86" t="n">
        <v>7</v>
      </c>
      <c r="AP137" s="86" t="n">
        <v>46</v>
      </c>
      <c r="AQ137" s="86" t="n">
        <v>5</v>
      </c>
    </row>
    <row r="138" ht="16" customHeight="1" s="55">
      <c r="A138" s="88" t="inlineStr">
        <is>
          <t>Xu et al. 2025</t>
        </is>
      </c>
      <c r="B138" s="86" t="inlineStr">
        <is>
          <t>Reader</t>
        </is>
      </c>
      <c r="C138" s="86" t="inlineStr">
        <is>
          <t>Ophthalmic attendings (UWF)</t>
        </is>
      </c>
      <c r="D138" s="84" t="inlineStr">
        <is>
          <t>ophthalmologist</t>
        </is>
      </c>
      <c r="E138" s="84" t="inlineStr">
        <is>
          <t>human_only</t>
        </is>
      </c>
      <c r="F138" s="86" t="inlineStr">
        <is>
          <t>original</t>
        </is>
      </c>
      <c r="G138" s="86" t="inlineStr">
        <is>
          <t>retrospective</t>
        </is>
      </c>
      <c r="H138" s="84" t="inlineStr">
        <is>
          <t>cohort</t>
        </is>
      </c>
      <c r="I138" s="84" t="inlineStr">
        <is>
          <t>no</t>
        </is>
      </c>
      <c r="J138" s="84" t="inlineStr">
        <is>
          <t>tertiary hospital</t>
        </is>
      </c>
      <c r="K138" s="86" t="inlineStr">
        <is>
          <t>middle</t>
        </is>
      </c>
      <c r="L138" s="86" t="inlineStr">
        <is>
          <t>tertiary</t>
        </is>
      </c>
      <c r="M138" s="86" t="inlineStr">
        <is>
          <t>no</t>
        </is>
      </c>
      <c r="N138" s="86" t="inlineStr">
        <is>
          <t>any dr</t>
        </is>
      </c>
      <c r="O138" s="86" t="inlineStr">
        <is>
          <t>no</t>
        </is>
      </c>
      <c r="P138" s="86" t="inlineStr">
        <is>
          <t>non-mydriatic</t>
        </is>
      </c>
      <c r="Q138" s="86" t="inlineStr">
        <is>
          <t>desktop</t>
        </is>
      </c>
      <c r="R138" s="84" t="inlineStr">
        <is>
          <t>multiple</t>
        </is>
      </c>
      <c r="S138" s="84" t="inlineStr">
        <is>
          <t>xu_2025</t>
        </is>
      </c>
      <c r="T138" s="86" t="inlineStr">
        <is>
          <t>icdr</t>
        </is>
      </c>
      <c r="U138" s="84" t="inlineStr">
        <is>
          <t>PP</t>
        </is>
      </c>
      <c r="V138" s="86" t="inlineStr">
        <is>
          <t>expert panel</t>
        </is>
      </c>
      <c r="W138" s="56" t="inlineStr">
        <is>
          <t>no</t>
        </is>
      </c>
      <c r="X138" s="86" t="inlineStr">
        <is>
          <t>fundus</t>
        </is>
      </c>
      <c r="Y138" s="86" t="inlineStr">
        <is>
          <t>1</t>
        </is>
      </c>
      <c r="Z138" s="86" t="inlineStr">
        <is>
          <t>no</t>
        </is>
      </c>
      <c r="AA138" s="86" t="inlineStr">
        <is>
          <t>yes</t>
        </is>
      </c>
      <c r="AB138" s="86" t="inlineStr">
        <is>
          <t>no</t>
        </is>
      </c>
      <c r="AC138" s="84" t="inlineStr">
        <is>
          <t>yes</t>
        </is>
      </c>
      <c r="AD138" s="86" t="inlineStr">
        <is>
          <t>NR</t>
        </is>
      </c>
      <c r="AE138" s="86" t="inlineStr">
        <is>
          <t>asia</t>
        </is>
      </c>
      <c r="AF138" s="56" t="inlineStr">
        <is>
          <t>high</t>
        </is>
      </c>
      <c r="AG138" s="56" t="inlineStr">
        <is>
          <t>high</t>
        </is>
      </c>
      <c r="AH138" s="86" t="n">
        <v>112</v>
      </c>
      <c r="AI138" s="86" t="n">
        <v>0.545</v>
      </c>
      <c r="AJ138" s="86" t="n">
        <v>61</v>
      </c>
      <c r="AK138" s="86" t="n">
        <v>51</v>
      </c>
      <c r="AL138" s="86" t="n">
        <v>0.795</v>
      </c>
      <c r="AM138" s="86" t="n">
        <v>0.834</v>
      </c>
      <c r="AN138" s="86" t="n">
        <v>48</v>
      </c>
      <c r="AO138" s="86" t="n">
        <v>13</v>
      </c>
      <c r="AP138" s="86" t="n">
        <v>43</v>
      </c>
      <c r="AQ138" s="86" t="n">
        <v>8</v>
      </c>
    </row>
    <row r="139" ht="16" customHeight="1" s="55">
      <c r="A139" s="88" t="inlineStr">
        <is>
          <t>Xu et al. 2025</t>
        </is>
      </c>
      <c r="B139" s="86" t="inlineStr">
        <is>
          <t>DL_assisted_reader</t>
        </is>
      </c>
      <c r="C139" s="86" t="inlineStr">
        <is>
          <t>Ophthalmic attendings (UWF)</t>
        </is>
      </c>
      <c r="D139" s="84" t="inlineStr">
        <is>
          <t>ophthalmologist</t>
        </is>
      </c>
      <c r="E139" s="84" t="inlineStr">
        <is>
          <t>human_with_ai</t>
        </is>
      </c>
      <c r="F139" s="86" t="inlineStr">
        <is>
          <t>original</t>
        </is>
      </c>
      <c r="G139" s="86" t="inlineStr">
        <is>
          <t>retrospective</t>
        </is>
      </c>
      <c r="H139" s="84" t="inlineStr">
        <is>
          <t>cohort</t>
        </is>
      </c>
      <c r="I139" s="84" t="inlineStr">
        <is>
          <t>no</t>
        </is>
      </c>
      <c r="J139" s="84" t="inlineStr">
        <is>
          <t>tertiary hospital</t>
        </is>
      </c>
      <c r="K139" s="86" t="inlineStr">
        <is>
          <t>middle</t>
        </is>
      </c>
      <c r="L139" s="86" t="inlineStr">
        <is>
          <t>tertiary</t>
        </is>
      </c>
      <c r="M139" s="86" t="inlineStr">
        <is>
          <t>no</t>
        </is>
      </c>
      <c r="N139" s="86" t="inlineStr">
        <is>
          <t>any dr</t>
        </is>
      </c>
      <c r="O139" s="86" t="inlineStr">
        <is>
          <t>no</t>
        </is>
      </c>
      <c r="P139" s="86" t="inlineStr">
        <is>
          <t>non-mydriatic</t>
        </is>
      </c>
      <c r="Q139" s="86" t="inlineStr">
        <is>
          <t>desktop</t>
        </is>
      </c>
      <c r="R139" s="84" t="inlineStr">
        <is>
          <t>multiple</t>
        </is>
      </c>
      <c r="S139" s="84" t="inlineStr">
        <is>
          <t>xu_2025</t>
        </is>
      </c>
      <c r="T139" s="86" t="inlineStr">
        <is>
          <t>icdr</t>
        </is>
      </c>
      <c r="U139" s="84" t="inlineStr">
        <is>
          <t>PP</t>
        </is>
      </c>
      <c r="V139" s="86" t="inlineStr">
        <is>
          <t>expert panel</t>
        </is>
      </c>
      <c r="W139" s="56" t="inlineStr">
        <is>
          <t>no</t>
        </is>
      </c>
      <c r="X139" s="86" t="inlineStr">
        <is>
          <t>fundus</t>
        </is>
      </c>
      <c r="Y139" s="86" t="inlineStr">
        <is>
          <t>1</t>
        </is>
      </c>
      <c r="Z139" s="86" t="inlineStr">
        <is>
          <t>no</t>
        </is>
      </c>
      <c r="AA139" s="86" t="inlineStr">
        <is>
          <t>yes</t>
        </is>
      </c>
      <c r="AB139" s="58" t="inlineStr">
        <is>
          <t>no</t>
        </is>
      </c>
      <c r="AC139" s="84" t="inlineStr">
        <is>
          <t>yes</t>
        </is>
      </c>
      <c r="AD139" s="86" t="inlineStr">
        <is>
          <t>AI-assisted</t>
        </is>
      </c>
      <c r="AE139" s="86" t="inlineStr">
        <is>
          <t>asia</t>
        </is>
      </c>
      <c r="AF139" s="56" t="inlineStr">
        <is>
          <t>high</t>
        </is>
      </c>
      <c r="AG139" s="56" t="inlineStr">
        <is>
          <t>high</t>
        </is>
      </c>
      <c r="AH139" s="86" t="n">
        <v>112</v>
      </c>
      <c r="AI139" s="86" t="n">
        <v>0.545</v>
      </c>
      <c r="AJ139" s="86" t="n">
        <v>61</v>
      </c>
      <c r="AK139" s="86" t="n">
        <v>51</v>
      </c>
      <c r="AL139" s="86" t="n">
        <v>0.859</v>
      </c>
      <c r="AM139" s="86" t="n">
        <v>0.927</v>
      </c>
      <c r="AN139" s="86" t="n">
        <v>52</v>
      </c>
      <c r="AO139" s="86" t="n">
        <v>9</v>
      </c>
      <c r="AP139" s="86" t="n">
        <v>47</v>
      </c>
      <c r="AQ139" s="86" t="n">
        <v>4</v>
      </c>
    </row>
    <row r="140" ht="16" customHeight="1" s="55">
      <c r="A140" s="88" t="inlineStr">
        <is>
          <t>Dong et al. 2022</t>
        </is>
      </c>
      <c r="B140" s="86" t="inlineStr">
        <is>
          <t>DL</t>
        </is>
      </c>
      <c r="C140" s="86" t="inlineStr">
        <is>
          <t>RAIDS (prospective validation) — referable DR</t>
        </is>
      </c>
      <c r="D140" s="84" t="inlineStr">
        <is>
          <t>NR</t>
        </is>
      </c>
      <c r="E140" s="84" t="inlineStr">
        <is>
          <t>ai_only</t>
        </is>
      </c>
      <c r="F140" s="86" t="inlineStr">
        <is>
          <t>original</t>
        </is>
      </c>
      <c r="G140" s="86" t="inlineStr">
        <is>
          <t>prospective</t>
        </is>
      </c>
      <c r="H140" s="84" t="inlineStr">
        <is>
          <t>cross-sectional</t>
        </is>
      </c>
      <c r="I140" s="84" t="inlineStr">
        <is>
          <t>yes</t>
        </is>
      </c>
      <c r="J140" s="84" t="inlineStr">
        <is>
          <t>health examination centers; hospitals</t>
        </is>
      </c>
      <c r="K140" s="86" t="inlineStr">
        <is>
          <t>middle</t>
        </is>
      </c>
      <c r="L140" s="86" t="inlineStr">
        <is>
          <t>mixed</t>
        </is>
      </c>
      <c r="M140" s="86" t="inlineStr">
        <is>
          <t>yes</t>
        </is>
      </c>
      <c r="N140" s="86" t="inlineStr">
        <is>
          <t>rdr</t>
        </is>
      </c>
      <c r="O140" s="86" t="inlineStr">
        <is>
          <t>yes</t>
        </is>
      </c>
      <c r="P140" s="86" t="inlineStr">
        <is>
          <t>non-mydriatic</t>
        </is>
      </c>
      <c r="Q140" s="86" t="inlineStr">
        <is>
          <t>mixed</t>
        </is>
      </c>
      <c r="R140" s="84" t="inlineStr">
        <is>
          <t>single</t>
        </is>
      </c>
      <c r="S140" s="84" t="inlineStr">
        <is>
          <t>ikang</t>
        </is>
      </c>
      <c r="T140" s="86" t="inlineStr">
        <is>
          <t>other</t>
        </is>
      </c>
      <c r="U140" s="84" t="inlineStr">
        <is>
          <t>PP</t>
        </is>
      </c>
      <c r="V140" s="86" t="inlineStr">
        <is>
          <t>expert panel</t>
        </is>
      </c>
      <c r="W140" s="86" t="inlineStr">
        <is>
          <t>yes</t>
        </is>
      </c>
      <c r="X140" s="86" t="inlineStr">
        <is>
          <t>fundus</t>
        </is>
      </c>
      <c r="Y140" s="86" t="inlineStr">
        <is>
          <t>1</t>
        </is>
      </c>
      <c r="Z140" s="58" t="inlineStr">
        <is>
          <t>yes</t>
        </is>
      </c>
      <c r="AA140" s="58" t="inlineStr">
        <is>
          <t>yes</t>
        </is>
      </c>
      <c r="AB140" s="58" t="inlineStr">
        <is>
          <t>no</t>
        </is>
      </c>
      <c r="AC140" s="84" t="inlineStr">
        <is>
          <t>yes</t>
        </is>
      </c>
      <c r="AD140" s="86" t="inlineStr">
        <is>
          <t>ensemble</t>
        </is>
      </c>
      <c r="AE140" s="86" t="inlineStr">
        <is>
          <t>asia</t>
        </is>
      </c>
      <c r="AF140" s="56" t="inlineStr">
        <is>
          <t>high</t>
        </is>
      </c>
      <c r="AG140" s="56" t="inlineStr">
        <is>
          <t>high</t>
        </is>
      </c>
      <c r="AH140" s="86" t="n">
        <v>208758</v>
      </c>
      <c r="AI140" s="86" t="n">
        <v>0.031</v>
      </c>
      <c r="AJ140" s="86" t="n">
        <v>6508</v>
      </c>
      <c r="AK140" s="86" t="n">
        <v>202250</v>
      </c>
      <c r="AL140" s="86" t="n">
        <v>0.837</v>
      </c>
      <c r="AM140" s="86" t="n">
        <v>0.986</v>
      </c>
      <c r="AN140" s="86" t="n">
        <v>5447</v>
      </c>
      <c r="AO140" s="86" t="n">
        <v>1061</v>
      </c>
      <c r="AP140" s="86" t="n">
        <v>199418</v>
      </c>
      <c r="AQ140" s="86" t="n">
        <v>2832</v>
      </c>
    </row>
    <row r="141" ht="16" customHeight="1" s="55">
      <c r="A141" s="88" t="inlineStr">
        <is>
          <t>Dong et al. 2022</t>
        </is>
      </c>
      <c r="B141" s="86" t="inlineStr">
        <is>
          <t>Reader</t>
        </is>
      </c>
      <c r="C141" s="86" t="inlineStr">
        <is>
          <t>Certified ophthalmologists (reader study) — referable DR</t>
        </is>
      </c>
      <c r="D141" s="84" t="inlineStr">
        <is>
          <t>ophthalmologist</t>
        </is>
      </c>
      <c r="E141" s="84" t="inlineStr">
        <is>
          <t>human_only</t>
        </is>
      </c>
      <c r="F141" s="86" t="inlineStr">
        <is>
          <t>original</t>
        </is>
      </c>
      <c r="G141" s="86" t="inlineStr">
        <is>
          <t>retrospective</t>
        </is>
      </c>
      <c r="H141" s="84" t="inlineStr">
        <is>
          <t>cross-sectional</t>
        </is>
      </c>
      <c r="I141" s="84" t="inlineStr">
        <is>
          <t>yes</t>
        </is>
      </c>
      <c r="J141" s="84" t="inlineStr">
        <is>
          <t>health examination centers; hospitals</t>
        </is>
      </c>
      <c r="K141" s="86" t="inlineStr">
        <is>
          <t>middle</t>
        </is>
      </c>
      <c r="L141" s="86" t="inlineStr">
        <is>
          <t>primary</t>
        </is>
      </c>
      <c r="M141" s="86" t="inlineStr">
        <is>
          <t>yes</t>
        </is>
      </c>
      <c r="N141" s="86" t="inlineStr">
        <is>
          <t>rdr</t>
        </is>
      </c>
      <c r="O141" s="86" t="inlineStr">
        <is>
          <t>yes</t>
        </is>
      </c>
      <c r="P141" s="86" t="inlineStr">
        <is>
          <t>non-mydriatic</t>
        </is>
      </c>
      <c r="Q141" s="86" t="inlineStr">
        <is>
          <t>desktop</t>
        </is>
      </c>
      <c r="R141" s="84" t="inlineStr">
        <is>
          <t>single</t>
        </is>
      </c>
      <c r="S141" s="84" t="inlineStr">
        <is>
          <t>ikang</t>
        </is>
      </c>
      <c r="T141" s="86" t="inlineStr">
        <is>
          <t>other</t>
        </is>
      </c>
      <c r="U141" s="84" t="inlineStr">
        <is>
          <t>PP</t>
        </is>
      </c>
      <c r="V141" s="86" t="inlineStr">
        <is>
          <t>expert panel</t>
        </is>
      </c>
      <c r="W141" s="56" t="inlineStr">
        <is>
          <t>yes</t>
        </is>
      </c>
      <c r="X141" s="86" t="inlineStr">
        <is>
          <t>fundus</t>
        </is>
      </c>
      <c r="Y141" s="86" t="inlineStr">
        <is>
          <t>1</t>
        </is>
      </c>
      <c r="Z141" s="58" t="inlineStr">
        <is>
          <t>yes</t>
        </is>
      </c>
      <c r="AA141" s="58" t="inlineStr">
        <is>
          <t>yes</t>
        </is>
      </c>
      <c r="AB141" s="86" t="inlineStr">
        <is>
          <t>no</t>
        </is>
      </c>
      <c r="AC141" s="84" t="inlineStr">
        <is>
          <t>yes</t>
        </is>
      </c>
      <c r="AD141" s="86" t="inlineStr">
        <is>
          <t>NR</t>
        </is>
      </c>
      <c r="AE141" s="86" t="inlineStr">
        <is>
          <t>asia</t>
        </is>
      </c>
      <c r="AF141" s="56" t="inlineStr">
        <is>
          <t>high</t>
        </is>
      </c>
      <c r="AG141" s="56" t="inlineStr">
        <is>
          <t>high</t>
        </is>
      </c>
      <c r="AH141" s="86" t="n">
        <v>10084</v>
      </c>
      <c r="AI141" s="86" t="n">
        <v>0.044</v>
      </c>
      <c r="AJ141" s="86" t="n">
        <v>447</v>
      </c>
      <c r="AK141" s="86" t="n">
        <v>9637</v>
      </c>
      <c r="AL141" s="86" t="n">
        <v>0.872</v>
      </c>
      <c r="AM141" s="86" t="n">
        <v>0.996</v>
      </c>
      <c r="AN141" s="86" t="n">
        <v>390</v>
      </c>
      <c r="AO141" s="86" t="n">
        <v>57</v>
      </c>
      <c r="AP141" s="86" t="n">
        <v>9598</v>
      </c>
      <c r="AQ141" s="86" t="n">
        <v>39</v>
      </c>
    </row>
    <row r="142" ht="16" customHeight="1" s="55">
      <c r="A142" s="88" t="inlineStr">
        <is>
          <t>Dong et al. 2022</t>
        </is>
      </c>
      <c r="B142" s="86" t="inlineStr">
        <is>
          <t>Reader</t>
        </is>
      </c>
      <c r="C142" s="86" t="inlineStr">
        <is>
          <t>Junior retinal specialists (reader study) — referable DR</t>
        </is>
      </c>
      <c r="D142" s="84" t="inlineStr">
        <is>
          <t>retinaspecialist</t>
        </is>
      </c>
      <c r="E142" s="84" t="inlineStr">
        <is>
          <t>human_only</t>
        </is>
      </c>
      <c r="F142" s="86" t="inlineStr">
        <is>
          <t>original</t>
        </is>
      </c>
      <c r="G142" s="86" t="inlineStr">
        <is>
          <t>retrospective</t>
        </is>
      </c>
      <c r="H142" s="84" t="inlineStr">
        <is>
          <t>cross-sectional</t>
        </is>
      </c>
      <c r="I142" s="84" t="inlineStr">
        <is>
          <t>yes</t>
        </is>
      </c>
      <c r="J142" s="84" t="inlineStr">
        <is>
          <t>health examination centers; hospitals</t>
        </is>
      </c>
      <c r="K142" s="86" t="inlineStr">
        <is>
          <t>middle</t>
        </is>
      </c>
      <c r="L142" s="86" t="inlineStr">
        <is>
          <t>primary</t>
        </is>
      </c>
      <c r="M142" s="86" t="inlineStr">
        <is>
          <t>yes</t>
        </is>
      </c>
      <c r="N142" s="86" t="inlineStr">
        <is>
          <t>rdr</t>
        </is>
      </c>
      <c r="O142" s="86" t="inlineStr">
        <is>
          <t>yes</t>
        </is>
      </c>
      <c r="P142" s="86" t="inlineStr">
        <is>
          <t>non-mydriatic</t>
        </is>
      </c>
      <c r="Q142" s="86" t="inlineStr">
        <is>
          <t>desktop</t>
        </is>
      </c>
      <c r="R142" s="84" t="inlineStr">
        <is>
          <t>single</t>
        </is>
      </c>
      <c r="S142" s="84" t="inlineStr">
        <is>
          <t>ikang</t>
        </is>
      </c>
      <c r="T142" s="86" t="inlineStr">
        <is>
          <t>other</t>
        </is>
      </c>
      <c r="U142" s="84" t="inlineStr">
        <is>
          <t>PP</t>
        </is>
      </c>
      <c r="V142" s="86" t="inlineStr">
        <is>
          <t>expert panel</t>
        </is>
      </c>
      <c r="W142" s="56" t="inlineStr">
        <is>
          <t>yes</t>
        </is>
      </c>
      <c r="X142" s="86" t="inlineStr">
        <is>
          <t>fundus</t>
        </is>
      </c>
      <c r="Y142" s="86" t="inlineStr">
        <is>
          <t>1</t>
        </is>
      </c>
      <c r="Z142" s="58" t="inlineStr">
        <is>
          <t>yes</t>
        </is>
      </c>
      <c r="AA142" s="58" t="inlineStr">
        <is>
          <t>yes</t>
        </is>
      </c>
      <c r="AB142" s="86" t="inlineStr">
        <is>
          <t>no</t>
        </is>
      </c>
      <c r="AC142" s="84" t="inlineStr">
        <is>
          <t>yes</t>
        </is>
      </c>
      <c r="AD142" s="86" t="inlineStr">
        <is>
          <t>NR</t>
        </is>
      </c>
      <c r="AE142" s="86" t="inlineStr">
        <is>
          <t>asia</t>
        </is>
      </c>
      <c r="AF142" s="56" t="inlineStr">
        <is>
          <t>high</t>
        </is>
      </c>
      <c r="AG142" s="56" t="inlineStr">
        <is>
          <t>high</t>
        </is>
      </c>
      <c r="AH142" s="86" t="n">
        <v>10084</v>
      </c>
      <c r="AI142" s="86" t="n">
        <v>0.044</v>
      </c>
      <c r="AJ142" s="86" t="n">
        <v>447</v>
      </c>
      <c r="AK142" s="86" t="n">
        <v>9637</v>
      </c>
      <c r="AL142" s="86" t="n">
        <v>0.915</v>
      </c>
      <c r="AM142" s="86" t="n">
        <v>0.998</v>
      </c>
      <c r="AN142" s="86" t="n">
        <v>409</v>
      </c>
      <c r="AO142" s="86" t="n">
        <v>38</v>
      </c>
      <c r="AP142" s="86" t="n">
        <v>9618</v>
      </c>
      <c r="AQ142" s="86" t="n">
        <v>19</v>
      </c>
    </row>
    <row r="143" ht="16" customHeight="1" s="55">
      <c r="A143" s="88" t="inlineStr">
        <is>
          <t>Dong et al. 2022</t>
        </is>
      </c>
      <c r="B143" s="86" t="inlineStr">
        <is>
          <t>Reader</t>
        </is>
      </c>
      <c r="C143" s="86" t="inlineStr">
        <is>
          <t>Senior retinal specialists (reader study) — referable DR</t>
        </is>
      </c>
      <c r="D143" s="84" t="inlineStr">
        <is>
          <t>retinaspecialist</t>
        </is>
      </c>
      <c r="E143" s="84" t="inlineStr">
        <is>
          <t>human_only</t>
        </is>
      </c>
      <c r="F143" s="86" t="inlineStr">
        <is>
          <t>original</t>
        </is>
      </c>
      <c r="G143" s="86" t="inlineStr">
        <is>
          <t>retrospective</t>
        </is>
      </c>
      <c r="H143" s="84" t="inlineStr">
        <is>
          <t>cross-sectional</t>
        </is>
      </c>
      <c r="I143" s="84" t="inlineStr">
        <is>
          <t>yes</t>
        </is>
      </c>
      <c r="J143" s="84" t="inlineStr">
        <is>
          <t>health examination centers; hospitals</t>
        </is>
      </c>
      <c r="K143" s="86" t="inlineStr">
        <is>
          <t>middle</t>
        </is>
      </c>
      <c r="L143" s="86" t="inlineStr">
        <is>
          <t>primary</t>
        </is>
      </c>
      <c r="M143" s="86" t="inlineStr">
        <is>
          <t>yes</t>
        </is>
      </c>
      <c r="N143" s="86" t="inlineStr">
        <is>
          <t>rdr</t>
        </is>
      </c>
      <c r="O143" s="86" t="inlineStr">
        <is>
          <t>yes</t>
        </is>
      </c>
      <c r="P143" s="86" t="inlineStr">
        <is>
          <t>non-mydriatic</t>
        </is>
      </c>
      <c r="Q143" s="86" t="inlineStr">
        <is>
          <t>desktop</t>
        </is>
      </c>
      <c r="R143" s="84" t="inlineStr">
        <is>
          <t>single</t>
        </is>
      </c>
      <c r="S143" s="84" t="inlineStr">
        <is>
          <t>ikang</t>
        </is>
      </c>
      <c r="T143" s="86" t="inlineStr">
        <is>
          <t>other</t>
        </is>
      </c>
      <c r="U143" s="84" t="inlineStr">
        <is>
          <t>PP</t>
        </is>
      </c>
      <c r="V143" s="86" t="inlineStr">
        <is>
          <t>expert panel</t>
        </is>
      </c>
      <c r="W143" s="56" t="inlineStr">
        <is>
          <t>yes</t>
        </is>
      </c>
      <c r="X143" s="86" t="inlineStr">
        <is>
          <t>fundus</t>
        </is>
      </c>
      <c r="Y143" s="86" t="inlineStr">
        <is>
          <t>1</t>
        </is>
      </c>
      <c r="Z143" s="58" t="inlineStr">
        <is>
          <t>yes</t>
        </is>
      </c>
      <c r="AA143" s="58" t="inlineStr">
        <is>
          <t>yes</t>
        </is>
      </c>
      <c r="AB143" s="86" t="inlineStr">
        <is>
          <t>no</t>
        </is>
      </c>
      <c r="AC143" s="84" t="inlineStr">
        <is>
          <t>yes</t>
        </is>
      </c>
      <c r="AD143" s="86" t="inlineStr">
        <is>
          <t>NR</t>
        </is>
      </c>
      <c r="AE143" s="86" t="inlineStr">
        <is>
          <t>asia</t>
        </is>
      </c>
      <c r="AF143" s="56" t="inlineStr">
        <is>
          <t>high</t>
        </is>
      </c>
      <c r="AG143" s="56" t="inlineStr">
        <is>
          <t>high</t>
        </is>
      </c>
      <c r="AH143" s="86" t="n">
        <v>10084</v>
      </c>
      <c r="AI143" s="86" t="n">
        <v>0.044</v>
      </c>
      <c r="AJ143" s="86" t="n">
        <v>447</v>
      </c>
      <c r="AK143" s="86" t="n">
        <v>9637</v>
      </c>
      <c r="AL143" s="86" t="n">
        <v>0.917</v>
      </c>
      <c r="AM143" s="86" t="n">
        <v>0.999</v>
      </c>
      <c r="AN143" s="86" t="n">
        <v>410</v>
      </c>
      <c r="AO143" s="86" t="n">
        <v>37</v>
      </c>
      <c r="AP143" s="86" t="n">
        <v>9627</v>
      </c>
      <c r="AQ143" s="86" t="n">
        <v>10</v>
      </c>
    </row>
    <row r="144" ht="16" customHeight="1" s="55">
      <c r="A144" s="88" t="inlineStr">
        <is>
          <t>Dong et al. 2022</t>
        </is>
      </c>
      <c r="B144" s="86" t="inlineStr">
        <is>
          <t>DL</t>
        </is>
      </c>
      <c r="C144" s="86" t="inlineStr">
        <is>
          <t>RAIDS (reader study) — referable DR</t>
        </is>
      </c>
      <c r="D144" s="84" t="inlineStr">
        <is>
          <t>NR</t>
        </is>
      </c>
      <c r="E144" s="84" t="inlineStr">
        <is>
          <t>ai_only</t>
        </is>
      </c>
      <c r="F144" s="86" t="inlineStr">
        <is>
          <t>original</t>
        </is>
      </c>
      <c r="G144" s="86" t="inlineStr">
        <is>
          <t>retrospective</t>
        </is>
      </c>
      <c r="H144" s="84" t="inlineStr">
        <is>
          <t>cross-sectional</t>
        </is>
      </c>
      <c r="I144" s="84" t="inlineStr">
        <is>
          <t>yes</t>
        </is>
      </c>
      <c r="J144" s="84" t="inlineStr">
        <is>
          <t>health examination centers; hospitals</t>
        </is>
      </c>
      <c r="K144" s="86" t="inlineStr">
        <is>
          <t>middle</t>
        </is>
      </c>
      <c r="L144" s="86" t="inlineStr">
        <is>
          <t>primary</t>
        </is>
      </c>
      <c r="M144" s="86" t="inlineStr">
        <is>
          <t>yes</t>
        </is>
      </c>
      <c r="N144" s="86" t="inlineStr">
        <is>
          <t>rdr</t>
        </is>
      </c>
      <c r="O144" s="86" t="inlineStr">
        <is>
          <t>yes</t>
        </is>
      </c>
      <c r="P144" s="86" t="inlineStr">
        <is>
          <t>non-mydriatic</t>
        </is>
      </c>
      <c r="Q144" s="86" t="inlineStr">
        <is>
          <t>desktop</t>
        </is>
      </c>
      <c r="R144" s="84" t="inlineStr">
        <is>
          <t>single</t>
        </is>
      </c>
      <c r="S144" s="84" t="inlineStr">
        <is>
          <t>ikang</t>
        </is>
      </c>
      <c r="T144" s="86" t="inlineStr">
        <is>
          <t>other</t>
        </is>
      </c>
      <c r="U144" s="84" t="inlineStr">
        <is>
          <t>PP</t>
        </is>
      </c>
      <c r="V144" s="86" t="inlineStr">
        <is>
          <t>expert panel</t>
        </is>
      </c>
      <c r="W144" s="56" t="inlineStr">
        <is>
          <t>yes</t>
        </is>
      </c>
      <c r="X144" s="86" t="inlineStr">
        <is>
          <t>fundus</t>
        </is>
      </c>
      <c r="Y144" s="86" t="inlineStr">
        <is>
          <t>1</t>
        </is>
      </c>
      <c r="Z144" s="58" t="inlineStr">
        <is>
          <t>yes</t>
        </is>
      </c>
      <c r="AA144" s="58" t="inlineStr">
        <is>
          <t>yes</t>
        </is>
      </c>
      <c r="AB144" s="58" t="inlineStr">
        <is>
          <t>no</t>
        </is>
      </c>
      <c r="AC144" s="84" t="inlineStr">
        <is>
          <t>yes</t>
        </is>
      </c>
      <c r="AD144" s="86" t="inlineStr">
        <is>
          <t>ensemble</t>
        </is>
      </c>
      <c r="AE144" s="86" t="inlineStr">
        <is>
          <t>asia</t>
        </is>
      </c>
      <c r="AF144" s="56" t="inlineStr">
        <is>
          <t>high</t>
        </is>
      </c>
      <c r="AG144" s="56" t="inlineStr">
        <is>
          <t>high</t>
        </is>
      </c>
      <c r="AH144" s="86" t="n">
        <v>10084</v>
      </c>
      <c r="AI144" s="86" t="n">
        <v>0.044</v>
      </c>
      <c r="AJ144" s="86" t="n">
        <v>447</v>
      </c>
      <c r="AK144" s="86" t="n">
        <v>9637</v>
      </c>
      <c r="AL144" s="86" t="n">
        <v>0.973</v>
      </c>
      <c r="AM144" s="86" t="n">
        <v>0.985</v>
      </c>
      <c r="AN144" s="86" t="n">
        <v>435</v>
      </c>
      <c r="AO144" s="86" t="n">
        <v>12</v>
      </c>
      <c r="AP144" s="86" t="n">
        <v>9492</v>
      </c>
      <c r="AQ144" s="86" t="n">
        <v>145</v>
      </c>
    </row>
    <row r="145" ht="16" customHeight="1" s="55">
      <c r="A145" s="88" t="inlineStr">
        <is>
          <t>Dong et al. 2022</t>
        </is>
      </c>
      <c r="B145" s="86" t="inlineStr">
        <is>
          <t>DL_assisted_reader</t>
        </is>
      </c>
      <c r="C145" s="86" t="inlineStr">
        <is>
          <t>RAIDS + Certified ophthalmologists (reader study) — referable DR</t>
        </is>
      </c>
      <c r="D145" s="84" t="inlineStr">
        <is>
          <t>ophthalmologist</t>
        </is>
      </c>
      <c r="E145" s="84" t="inlineStr">
        <is>
          <t>human_with_ai</t>
        </is>
      </c>
      <c r="F145" s="86" t="inlineStr">
        <is>
          <t>original</t>
        </is>
      </c>
      <c r="G145" s="86" t="inlineStr">
        <is>
          <t>retrospective</t>
        </is>
      </c>
      <c r="H145" s="84" t="inlineStr">
        <is>
          <t>cross-sectional</t>
        </is>
      </c>
      <c r="I145" s="84" t="inlineStr">
        <is>
          <t>yes</t>
        </is>
      </c>
      <c r="J145" s="84" t="inlineStr">
        <is>
          <t>health examination centers; hospitals</t>
        </is>
      </c>
      <c r="K145" s="86" t="inlineStr">
        <is>
          <t>middle</t>
        </is>
      </c>
      <c r="L145" s="86" t="inlineStr">
        <is>
          <t>primary</t>
        </is>
      </c>
      <c r="M145" s="86" t="inlineStr">
        <is>
          <t>yes</t>
        </is>
      </c>
      <c r="N145" s="86" t="inlineStr">
        <is>
          <t>rdr</t>
        </is>
      </c>
      <c r="O145" s="86" t="inlineStr">
        <is>
          <t>yes</t>
        </is>
      </c>
      <c r="P145" s="86" t="inlineStr">
        <is>
          <t>non-mydriatic</t>
        </is>
      </c>
      <c r="Q145" s="86" t="inlineStr">
        <is>
          <t>desktop</t>
        </is>
      </c>
      <c r="R145" s="84" t="inlineStr">
        <is>
          <t>single</t>
        </is>
      </c>
      <c r="S145" s="84" t="inlineStr">
        <is>
          <t>ikang</t>
        </is>
      </c>
      <c r="T145" s="86" t="inlineStr">
        <is>
          <t>other</t>
        </is>
      </c>
      <c r="U145" s="84" t="inlineStr">
        <is>
          <t>PP</t>
        </is>
      </c>
      <c r="V145" s="86" t="inlineStr">
        <is>
          <t>expert panel</t>
        </is>
      </c>
      <c r="W145" s="56" t="inlineStr">
        <is>
          <t>yes</t>
        </is>
      </c>
      <c r="X145" s="86" t="inlineStr">
        <is>
          <t>fundus</t>
        </is>
      </c>
      <c r="Y145" s="86" t="inlineStr">
        <is>
          <t>1</t>
        </is>
      </c>
      <c r="Z145" s="58" t="inlineStr">
        <is>
          <t>yes</t>
        </is>
      </c>
      <c r="AA145" s="58" t="inlineStr">
        <is>
          <t>yes</t>
        </is>
      </c>
      <c r="AB145" s="86" t="inlineStr">
        <is>
          <t>no</t>
        </is>
      </c>
      <c r="AC145" s="84" t="inlineStr">
        <is>
          <t>yes</t>
        </is>
      </c>
      <c r="AD145" s="86" t="inlineStr">
        <is>
          <t>AI-assisted</t>
        </is>
      </c>
      <c r="AE145" s="86" t="inlineStr">
        <is>
          <t>asia</t>
        </is>
      </c>
      <c r="AF145" s="56" t="inlineStr">
        <is>
          <t>high</t>
        </is>
      </c>
      <c r="AG145" s="56" t="inlineStr">
        <is>
          <t>high</t>
        </is>
      </c>
      <c r="AH145" s="86" t="n">
        <v>10084</v>
      </c>
      <c r="AI145" s="86" t="n">
        <v>0.044</v>
      </c>
      <c r="AJ145" s="86" t="n">
        <v>447</v>
      </c>
      <c r="AK145" s="86" t="n">
        <v>9637</v>
      </c>
      <c r="AL145" s="86" t="n">
        <v>0.866</v>
      </c>
      <c r="AM145" s="86" t="n">
        <v>0.998</v>
      </c>
      <c r="AN145" s="86" t="n">
        <v>387</v>
      </c>
      <c r="AO145" s="86" t="n">
        <v>60</v>
      </c>
      <c r="AP145" s="86" t="n">
        <v>9618</v>
      </c>
      <c r="AQ145" s="86" t="n">
        <v>19</v>
      </c>
    </row>
    <row r="146" ht="16" customHeight="1" s="55">
      <c r="A146" s="88" t="inlineStr">
        <is>
          <t>Dong et al. 2022</t>
        </is>
      </c>
      <c r="B146" s="86" t="inlineStr">
        <is>
          <t>DL_assisted_reader</t>
        </is>
      </c>
      <c r="C146" s="86" t="inlineStr">
        <is>
          <t>RAIDS + Junior retinal specialists (reader study) — referable DR</t>
        </is>
      </c>
      <c r="D146" s="84" t="inlineStr">
        <is>
          <t>retinaspecialist</t>
        </is>
      </c>
      <c r="E146" s="84" t="inlineStr">
        <is>
          <t>human_with_ai</t>
        </is>
      </c>
      <c r="F146" s="86" t="inlineStr">
        <is>
          <t>original</t>
        </is>
      </c>
      <c r="G146" s="86" t="inlineStr">
        <is>
          <t>retrospective</t>
        </is>
      </c>
      <c r="H146" s="84" t="inlineStr">
        <is>
          <t>cross-sectional</t>
        </is>
      </c>
      <c r="I146" s="84" t="inlineStr">
        <is>
          <t>yes</t>
        </is>
      </c>
      <c r="J146" s="84" t="inlineStr">
        <is>
          <t>health examination centers; hospitals</t>
        </is>
      </c>
      <c r="K146" s="86" t="inlineStr">
        <is>
          <t>middle</t>
        </is>
      </c>
      <c r="L146" s="86" t="inlineStr">
        <is>
          <t>primary</t>
        </is>
      </c>
      <c r="M146" s="86" t="inlineStr">
        <is>
          <t>yes</t>
        </is>
      </c>
      <c r="N146" s="86" t="inlineStr">
        <is>
          <t>rdr</t>
        </is>
      </c>
      <c r="O146" s="86" t="inlineStr">
        <is>
          <t>yes</t>
        </is>
      </c>
      <c r="P146" s="86" t="inlineStr">
        <is>
          <t>non-mydriatic</t>
        </is>
      </c>
      <c r="Q146" s="86" t="inlineStr">
        <is>
          <t>desktop</t>
        </is>
      </c>
      <c r="R146" s="84" t="inlineStr">
        <is>
          <t>single</t>
        </is>
      </c>
      <c r="S146" s="84" t="inlineStr">
        <is>
          <t>ikang</t>
        </is>
      </c>
      <c r="T146" s="86" t="inlineStr">
        <is>
          <t>other</t>
        </is>
      </c>
      <c r="U146" s="84" t="inlineStr">
        <is>
          <t>PP</t>
        </is>
      </c>
      <c r="V146" s="86" t="inlineStr">
        <is>
          <t>expert panel</t>
        </is>
      </c>
      <c r="W146" s="56" t="inlineStr">
        <is>
          <t>yes</t>
        </is>
      </c>
      <c r="X146" s="86" t="inlineStr">
        <is>
          <t>fundus</t>
        </is>
      </c>
      <c r="Y146" s="86" t="inlineStr">
        <is>
          <t>1</t>
        </is>
      </c>
      <c r="Z146" s="58" t="inlineStr">
        <is>
          <t>yes</t>
        </is>
      </c>
      <c r="AA146" s="58" t="inlineStr">
        <is>
          <t>yes</t>
        </is>
      </c>
      <c r="AB146" s="86" t="inlineStr">
        <is>
          <t>no</t>
        </is>
      </c>
      <c r="AC146" s="84" t="inlineStr">
        <is>
          <t>yes</t>
        </is>
      </c>
      <c r="AD146" s="86" t="inlineStr">
        <is>
          <t>AI-assisted</t>
        </is>
      </c>
      <c r="AE146" s="86" t="inlineStr">
        <is>
          <t>asia</t>
        </is>
      </c>
      <c r="AF146" s="56" t="inlineStr">
        <is>
          <t>high</t>
        </is>
      </c>
      <c r="AG146" s="56" t="inlineStr">
        <is>
          <t>high</t>
        </is>
      </c>
      <c r="AH146" s="86" t="n">
        <v>10084</v>
      </c>
      <c r="AI146" s="86" t="n">
        <v>0.044</v>
      </c>
      <c r="AJ146" s="86" t="n">
        <v>447</v>
      </c>
      <c r="AK146" s="86" t="n">
        <v>9637</v>
      </c>
      <c r="AL146" s="86" t="n">
        <v>0.906</v>
      </c>
      <c r="AM146" s="86" t="n">
        <v>0.999</v>
      </c>
      <c r="AN146" s="86" t="n">
        <v>405</v>
      </c>
      <c r="AO146" s="86" t="n">
        <v>42</v>
      </c>
      <c r="AP146" s="86" t="n">
        <v>9627</v>
      </c>
      <c r="AQ146" s="86" t="n">
        <v>10</v>
      </c>
    </row>
    <row r="147" ht="16" customHeight="1" s="55">
      <c r="A147" s="88" t="inlineStr">
        <is>
          <t>Dong et al. 2022</t>
        </is>
      </c>
      <c r="B147" s="86" t="inlineStr">
        <is>
          <t>DL_assisted_reader</t>
        </is>
      </c>
      <c r="C147" s="86" t="inlineStr">
        <is>
          <t>RAIDS + Senior retinal specialists (reader study) — referable DR</t>
        </is>
      </c>
      <c r="D147" s="84" t="inlineStr">
        <is>
          <t>retinaspecialist</t>
        </is>
      </c>
      <c r="E147" s="84" t="inlineStr">
        <is>
          <t>human_with_ai</t>
        </is>
      </c>
      <c r="F147" s="86" t="inlineStr">
        <is>
          <t>original</t>
        </is>
      </c>
      <c r="G147" s="86" t="inlineStr">
        <is>
          <t>retrospective</t>
        </is>
      </c>
      <c r="H147" s="84" t="inlineStr">
        <is>
          <t>cross-sectional</t>
        </is>
      </c>
      <c r="I147" s="84" t="inlineStr">
        <is>
          <t>yes</t>
        </is>
      </c>
      <c r="J147" s="84" t="inlineStr">
        <is>
          <t>health examination centers; hospitals</t>
        </is>
      </c>
      <c r="K147" s="86" t="inlineStr">
        <is>
          <t>middle</t>
        </is>
      </c>
      <c r="L147" s="86" t="inlineStr">
        <is>
          <t>primary</t>
        </is>
      </c>
      <c r="M147" s="86" t="inlineStr">
        <is>
          <t>yes</t>
        </is>
      </c>
      <c r="N147" s="86" t="inlineStr">
        <is>
          <t>rdr</t>
        </is>
      </c>
      <c r="O147" s="86" t="inlineStr">
        <is>
          <t>yes</t>
        </is>
      </c>
      <c r="P147" s="86" t="inlineStr">
        <is>
          <t>non-mydriatic</t>
        </is>
      </c>
      <c r="Q147" s="86" t="inlineStr">
        <is>
          <t>desktop</t>
        </is>
      </c>
      <c r="R147" s="84" t="inlineStr">
        <is>
          <t>single</t>
        </is>
      </c>
      <c r="S147" s="84" t="inlineStr">
        <is>
          <t>ikang</t>
        </is>
      </c>
      <c r="T147" s="86" t="inlineStr">
        <is>
          <t>other</t>
        </is>
      </c>
      <c r="U147" s="84" t="inlineStr">
        <is>
          <t>PP</t>
        </is>
      </c>
      <c r="V147" s="86" t="inlineStr">
        <is>
          <t>expert panel</t>
        </is>
      </c>
      <c r="W147" s="56" t="inlineStr">
        <is>
          <t>yes</t>
        </is>
      </c>
      <c r="X147" s="86" t="inlineStr">
        <is>
          <t>fundus</t>
        </is>
      </c>
      <c r="Y147" s="86" t="inlineStr">
        <is>
          <t>1</t>
        </is>
      </c>
      <c r="Z147" s="58" t="inlineStr">
        <is>
          <t>yes</t>
        </is>
      </c>
      <c r="AA147" s="58" t="inlineStr">
        <is>
          <t>yes</t>
        </is>
      </c>
      <c r="AB147" s="86" t="inlineStr">
        <is>
          <t>no</t>
        </is>
      </c>
      <c r="AC147" s="84" t="inlineStr">
        <is>
          <t>yes</t>
        </is>
      </c>
      <c r="AD147" s="86" t="inlineStr">
        <is>
          <t>AI-assisted</t>
        </is>
      </c>
      <c r="AE147" s="86" t="inlineStr">
        <is>
          <t>asia</t>
        </is>
      </c>
      <c r="AF147" s="56" t="inlineStr">
        <is>
          <t>high</t>
        </is>
      </c>
      <c r="AG147" s="56" t="inlineStr">
        <is>
          <t>high</t>
        </is>
      </c>
      <c r="AH147" s="86" t="n">
        <v>10084</v>
      </c>
      <c r="AI147" s="86" t="n">
        <v>0.044</v>
      </c>
      <c r="AJ147" s="86" t="n">
        <v>447</v>
      </c>
      <c r="AK147" s="86" t="n">
        <v>9637</v>
      </c>
      <c r="AL147" s="86" t="n">
        <v>0.906</v>
      </c>
      <c r="AM147" s="86" t="n">
        <v>0.999</v>
      </c>
      <c r="AN147" s="86" t="n">
        <v>405</v>
      </c>
      <c r="AO147" s="86" t="n">
        <v>42</v>
      </c>
      <c r="AP147" s="86" t="n">
        <v>9627</v>
      </c>
      <c r="AQ147" s="86" t="n">
        <v>10</v>
      </c>
    </row>
    <row r="148" ht="16" customHeight="1" s="55">
      <c r="A148" s="88" t="inlineStr">
        <is>
          <t>Zhang et al. 2022b</t>
        </is>
      </c>
      <c r="B148" s="86" t="inlineStr">
        <is>
          <t>Reader</t>
        </is>
      </c>
      <c r="C148" s="86" t="inlineStr">
        <is>
          <t>rDR (human expert 1) — human–system comparison (image-level)</t>
        </is>
      </c>
      <c r="D148" s="84" t="inlineStr">
        <is>
          <t>retinaspecialist</t>
        </is>
      </c>
      <c r="E148" s="84" t="inlineStr">
        <is>
          <t>human_only</t>
        </is>
      </c>
      <c r="F148" s="86" t="inlineStr">
        <is>
          <t>original</t>
        </is>
      </c>
      <c r="G148" s="86" t="inlineStr">
        <is>
          <t>retrospective</t>
        </is>
      </c>
      <c r="H148" s="84" t="inlineStr">
        <is>
          <t>cross-sectional</t>
        </is>
      </c>
      <c r="I148" s="84" t="inlineStr">
        <is>
          <t>yes</t>
        </is>
      </c>
      <c r="J148" s="84" t="inlineStr">
        <is>
          <t>screening programmes; hospitals</t>
        </is>
      </c>
      <c r="K148" s="86" t="inlineStr">
        <is>
          <t>middle</t>
        </is>
      </c>
      <c r="L148" s="86" t="inlineStr">
        <is>
          <t>mixed</t>
        </is>
      </c>
      <c r="M148" s="86" t="inlineStr">
        <is>
          <t>yes</t>
        </is>
      </c>
      <c r="N148" s="86" t="inlineStr">
        <is>
          <t>rdr</t>
        </is>
      </c>
      <c r="O148" s="86" t="inlineStr">
        <is>
          <t>no</t>
        </is>
      </c>
      <c r="P148" s="86" t="inlineStr">
        <is>
          <t>mydriatic</t>
        </is>
      </c>
      <c r="Q148" s="86" t="inlineStr">
        <is>
          <t>mixed</t>
        </is>
      </c>
      <c r="R148" s="84" t="inlineStr">
        <is>
          <t>multiple</t>
        </is>
      </c>
      <c r="S148" s="84" t="inlineStr">
        <is>
          <t>zhang_2022</t>
        </is>
      </c>
      <c r="T148" s="86" t="inlineStr">
        <is>
          <t>icdr</t>
        </is>
      </c>
      <c r="U148" s="84" t="inlineStr">
        <is>
          <t>PP</t>
        </is>
      </c>
      <c r="V148" s="86" t="inlineStr">
        <is>
          <t>reading center</t>
        </is>
      </c>
      <c r="W148" s="56" t="inlineStr">
        <is>
          <t>no</t>
        </is>
      </c>
      <c r="X148" s="86" t="inlineStr">
        <is>
          <t>fundus</t>
        </is>
      </c>
      <c r="Y148" s="86" t="inlineStr">
        <is>
          <t>1</t>
        </is>
      </c>
      <c r="Z148" s="32" t="inlineStr">
        <is>
          <t>no</t>
        </is>
      </c>
      <c r="AA148" s="86" t="inlineStr">
        <is>
          <t>no</t>
        </is>
      </c>
      <c r="AB148" s="86" t="inlineStr">
        <is>
          <t>no</t>
        </is>
      </c>
      <c r="AC148" s="84" t="inlineStr">
        <is>
          <t>yes</t>
        </is>
      </c>
      <c r="AD148" s="86" t="inlineStr">
        <is>
          <t>NR</t>
        </is>
      </c>
      <c r="AE148" s="86" t="inlineStr">
        <is>
          <t>asia</t>
        </is>
      </c>
      <c r="AF148" s="56" t="inlineStr">
        <is>
          <t>high</t>
        </is>
      </c>
      <c r="AG148" s="56" t="inlineStr">
        <is>
          <t>high</t>
        </is>
      </c>
      <c r="AH148" s="86" t="n">
        <v>252</v>
      </c>
      <c r="AI148" s="86" t="n">
        <v>0.339</v>
      </c>
      <c r="AJ148" s="86" t="n">
        <v>85</v>
      </c>
      <c r="AK148" s="86" t="n">
        <v>167</v>
      </c>
      <c r="AL148" s="86" t="n">
        <v>0.918</v>
      </c>
      <c r="AM148" s="86" t="n">
        <v>0.982</v>
      </c>
      <c r="AN148" s="86" t="n">
        <v>78</v>
      </c>
      <c r="AO148" s="86" t="n">
        <v>7</v>
      </c>
      <c r="AP148" s="86" t="n">
        <v>164</v>
      </c>
      <c r="AQ148" s="86" t="n">
        <v>3</v>
      </c>
    </row>
    <row r="149" ht="16" customHeight="1" s="55">
      <c r="A149" s="88" t="inlineStr">
        <is>
          <t>Zhang et al. 2022b</t>
        </is>
      </c>
      <c r="B149" s="86" t="inlineStr">
        <is>
          <t>Reader</t>
        </is>
      </c>
      <c r="C149" s="86" t="inlineStr">
        <is>
          <t>rDR (human expert 2) — human–system comparison (image-level)</t>
        </is>
      </c>
      <c r="D149" s="84" t="inlineStr">
        <is>
          <t>retinaspecialist</t>
        </is>
      </c>
      <c r="E149" s="84" t="inlineStr">
        <is>
          <t>human_only</t>
        </is>
      </c>
      <c r="F149" s="86" t="inlineStr">
        <is>
          <t>original</t>
        </is>
      </c>
      <c r="G149" s="86" t="inlineStr">
        <is>
          <t>retrospective</t>
        </is>
      </c>
      <c r="H149" s="84" t="inlineStr">
        <is>
          <t>cross-sectional</t>
        </is>
      </c>
      <c r="I149" s="84" t="inlineStr">
        <is>
          <t>yes</t>
        </is>
      </c>
      <c r="J149" s="84" t="inlineStr">
        <is>
          <t>screening programmes; hospitals</t>
        </is>
      </c>
      <c r="K149" s="86" t="inlineStr">
        <is>
          <t>middle</t>
        </is>
      </c>
      <c r="L149" s="86" t="inlineStr">
        <is>
          <t>mixed</t>
        </is>
      </c>
      <c r="M149" s="86" t="inlineStr">
        <is>
          <t>yes</t>
        </is>
      </c>
      <c r="N149" s="86" t="inlineStr">
        <is>
          <t>rdr</t>
        </is>
      </c>
      <c r="O149" s="86" t="inlineStr">
        <is>
          <t>no</t>
        </is>
      </c>
      <c r="P149" s="86" t="inlineStr">
        <is>
          <t>mydriatic</t>
        </is>
      </c>
      <c r="Q149" s="86" t="inlineStr">
        <is>
          <t>mixed</t>
        </is>
      </c>
      <c r="R149" s="84" t="inlineStr">
        <is>
          <t>multiple</t>
        </is>
      </c>
      <c r="S149" s="84" t="inlineStr">
        <is>
          <t>zhang_2022</t>
        </is>
      </c>
      <c r="T149" s="86" t="inlineStr">
        <is>
          <t>icdr</t>
        </is>
      </c>
      <c r="U149" s="84" t="inlineStr">
        <is>
          <t>PP</t>
        </is>
      </c>
      <c r="V149" s="86" t="inlineStr">
        <is>
          <t>reading center</t>
        </is>
      </c>
      <c r="W149" s="56" t="inlineStr">
        <is>
          <t>no</t>
        </is>
      </c>
      <c r="X149" s="86" t="inlineStr">
        <is>
          <t>fundus</t>
        </is>
      </c>
      <c r="Y149" s="86" t="inlineStr">
        <is>
          <t>1</t>
        </is>
      </c>
      <c r="Z149" s="32" t="inlineStr">
        <is>
          <t>no</t>
        </is>
      </c>
      <c r="AA149" s="86" t="inlineStr">
        <is>
          <t>no</t>
        </is>
      </c>
      <c r="AB149" s="86" t="inlineStr">
        <is>
          <t>no</t>
        </is>
      </c>
      <c r="AC149" s="84" t="inlineStr">
        <is>
          <t>yes</t>
        </is>
      </c>
      <c r="AD149" s="86" t="inlineStr">
        <is>
          <t>NR</t>
        </is>
      </c>
      <c r="AE149" s="86" t="inlineStr">
        <is>
          <t>asia</t>
        </is>
      </c>
      <c r="AF149" s="56" t="inlineStr">
        <is>
          <t>high</t>
        </is>
      </c>
      <c r="AG149" s="56" t="inlineStr">
        <is>
          <t>high</t>
        </is>
      </c>
      <c r="AH149" s="86" t="n">
        <v>252</v>
      </c>
      <c r="AI149" s="86" t="n">
        <v>0.337</v>
      </c>
      <c r="AJ149" s="86" t="n">
        <v>85</v>
      </c>
      <c r="AK149" s="86" t="n">
        <v>167</v>
      </c>
      <c r="AL149" s="86" t="n">
        <v>0.929</v>
      </c>
      <c r="AM149" s="86" t="n">
        <v>0.964</v>
      </c>
      <c r="AN149" s="86" t="n">
        <v>79</v>
      </c>
      <c r="AO149" s="86" t="n">
        <v>6</v>
      </c>
      <c r="AP149" s="86" t="n">
        <v>161</v>
      </c>
      <c r="AQ149" s="86" t="n">
        <v>6</v>
      </c>
    </row>
    <row r="150" ht="16" customHeight="1" s="55">
      <c r="A150" s="88" t="inlineStr">
        <is>
          <t>Zhang et al. 2022b</t>
        </is>
      </c>
      <c r="B150" s="86" t="inlineStr">
        <is>
          <t>Reader</t>
        </is>
      </c>
      <c r="C150" s="86" t="inlineStr">
        <is>
          <t>rDR (human expert 3) — human–system comparison (image-level)</t>
        </is>
      </c>
      <c r="D150" s="84" t="inlineStr">
        <is>
          <t>retinaspecialist</t>
        </is>
      </c>
      <c r="E150" s="84" t="inlineStr">
        <is>
          <t>human_only</t>
        </is>
      </c>
      <c r="F150" s="86" t="inlineStr">
        <is>
          <t>original</t>
        </is>
      </c>
      <c r="G150" s="86" t="inlineStr">
        <is>
          <t>retrospective</t>
        </is>
      </c>
      <c r="H150" s="84" t="inlineStr">
        <is>
          <t>cross-sectional</t>
        </is>
      </c>
      <c r="I150" s="84" t="inlineStr">
        <is>
          <t>yes</t>
        </is>
      </c>
      <c r="J150" s="84" t="inlineStr">
        <is>
          <t>screening programmes; hospitals</t>
        </is>
      </c>
      <c r="K150" s="86" t="inlineStr">
        <is>
          <t>middle</t>
        </is>
      </c>
      <c r="L150" s="86" t="inlineStr">
        <is>
          <t>mixed</t>
        </is>
      </c>
      <c r="M150" s="86" t="inlineStr">
        <is>
          <t>yes</t>
        </is>
      </c>
      <c r="N150" s="86" t="inlineStr">
        <is>
          <t>rdr</t>
        </is>
      </c>
      <c r="O150" s="86" t="inlineStr">
        <is>
          <t>no</t>
        </is>
      </c>
      <c r="P150" s="86" t="inlineStr">
        <is>
          <t>mydriatic</t>
        </is>
      </c>
      <c r="Q150" s="86" t="inlineStr">
        <is>
          <t>mixed</t>
        </is>
      </c>
      <c r="R150" s="84" t="inlineStr">
        <is>
          <t>multiple</t>
        </is>
      </c>
      <c r="S150" s="84" t="inlineStr">
        <is>
          <t>zhang_2022</t>
        </is>
      </c>
      <c r="T150" s="86" t="inlineStr">
        <is>
          <t>icdr</t>
        </is>
      </c>
      <c r="U150" s="84" t="inlineStr">
        <is>
          <t>PP</t>
        </is>
      </c>
      <c r="V150" s="86" t="inlineStr">
        <is>
          <t>reading center</t>
        </is>
      </c>
      <c r="W150" s="56" t="inlineStr">
        <is>
          <t>no</t>
        </is>
      </c>
      <c r="X150" s="86" t="inlineStr">
        <is>
          <t>fundus</t>
        </is>
      </c>
      <c r="Y150" s="86" t="inlineStr">
        <is>
          <t>1</t>
        </is>
      </c>
      <c r="Z150" s="32" t="inlineStr">
        <is>
          <t>no</t>
        </is>
      </c>
      <c r="AA150" s="86" t="inlineStr">
        <is>
          <t>no</t>
        </is>
      </c>
      <c r="AB150" s="86" t="inlineStr">
        <is>
          <t>no</t>
        </is>
      </c>
      <c r="AC150" s="84" t="inlineStr">
        <is>
          <t>yes</t>
        </is>
      </c>
      <c r="AD150" s="86" t="inlineStr">
        <is>
          <t>NR</t>
        </is>
      </c>
      <c r="AE150" s="86" t="inlineStr">
        <is>
          <t>asia</t>
        </is>
      </c>
      <c r="AF150" s="56" t="inlineStr">
        <is>
          <t>high</t>
        </is>
      </c>
      <c r="AG150" s="56" t="inlineStr">
        <is>
          <t>high</t>
        </is>
      </c>
      <c r="AH150" s="86" t="n">
        <v>252</v>
      </c>
      <c r="AI150" s="86" t="n">
        <v>0.337</v>
      </c>
      <c r="AJ150" s="86" t="n">
        <v>85</v>
      </c>
      <c r="AK150" s="86" t="n">
        <v>167</v>
      </c>
      <c r="AL150" s="86" t="n">
        <v>0.953</v>
      </c>
      <c r="AM150" s="86" t="n">
        <v>0.958</v>
      </c>
      <c r="AN150" s="86" t="n">
        <v>81</v>
      </c>
      <c r="AO150" s="86" t="n">
        <v>4</v>
      </c>
      <c r="AP150" s="86" t="n">
        <v>160</v>
      </c>
      <c r="AQ150" s="86" t="n">
        <v>7</v>
      </c>
    </row>
    <row r="151" ht="16" customHeight="1" s="55">
      <c r="A151" s="88" t="inlineStr">
        <is>
          <t>Zhang et al. 2022b</t>
        </is>
      </c>
      <c r="B151" s="86" t="inlineStr">
        <is>
          <t>DL</t>
        </is>
      </c>
      <c r="C151" s="86" t="inlineStr">
        <is>
          <t>rDR (DLA) — human–system comparison (image-level)</t>
        </is>
      </c>
      <c r="D151" s="84" t="inlineStr">
        <is>
          <t>NR</t>
        </is>
      </c>
      <c r="E151" s="84" t="inlineStr">
        <is>
          <t>ai_only</t>
        </is>
      </c>
      <c r="F151" s="86" t="inlineStr">
        <is>
          <t>original</t>
        </is>
      </c>
      <c r="G151" s="86" t="inlineStr">
        <is>
          <t>retrospective</t>
        </is>
      </c>
      <c r="H151" s="84" t="inlineStr">
        <is>
          <t>cross-sectional</t>
        </is>
      </c>
      <c r="I151" s="84" t="inlineStr">
        <is>
          <t>yes</t>
        </is>
      </c>
      <c r="J151" s="84" t="inlineStr">
        <is>
          <t>screening programmes; hospitals</t>
        </is>
      </c>
      <c r="K151" s="86" t="inlineStr">
        <is>
          <t>middle</t>
        </is>
      </c>
      <c r="L151" s="86" t="inlineStr">
        <is>
          <t>mixed</t>
        </is>
      </c>
      <c r="M151" s="86" t="inlineStr">
        <is>
          <t>yes</t>
        </is>
      </c>
      <c r="N151" s="86" t="inlineStr">
        <is>
          <t>rdr</t>
        </is>
      </c>
      <c r="O151" s="86" t="inlineStr">
        <is>
          <t>no</t>
        </is>
      </c>
      <c r="P151" s="86" t="inlineStr">
        <is>
          <t>mydriatic</t>
        </is>
      </c>
      <c r="Q151" s="86" t="inlineStr">
        <is>
          <t>mixed</t>
        </is>
      </c>
      <c r="R151" s="84" t="inlineStr">
        <is>
          <t>multiple</t>
        </is>
      </c>
      <c r="S151" s="84" t="inlineStr">
        <is>
          <t>zhang_2022</t>
        </is>
      </c>
      <c r="T151" s="86" t="inlineStr">
        <is>
          <t>icdr</t>
        </is>
      </c>
      <c r="U151" s="84" t="inlineStr">
        <is>
          <t>PP</t>
        </is>
      </c>
      <c r="V151" s="86" t="inlineStr">
        <is>
          <t>reading center</t>
        </is>
      </c>
      <c r="W151" s="56" t="inlineStr">
        <is>
          <t>no</t>
        </is>
      </c>
      <c r="X151" s="86" t="inlineStr">
        <is>
          <t>fundus</t>
        </is>
      </c>
      <c r="Y151" s="86" t="inlineStr">
        <is>
          <t>1</t>
        </is>
      </c>
      <c r="Z151" s="32" t="inlineStr">
        <is>
          <t>no</t>
        </is>
      </c>
      <c r="AA151" s="86" t="inlineStr">
        <is>
          <t>no</t>
        </is>
      </c>
      <c r="AB151" s="86" t="inlineStr">
        <is>
          <t>no</t>
        </is>
      </c>
      <c r="AC151" s="84" t="inlineStr">
        <is>
          <t>yes</t>
        </is>
      </c>
      <c r="AD151" s="86" t="inlineStr">
        <is>
          <t>Inception</t>
        </is>
      </c>
      <c r="AE151" s="86" t="inlineStr">
        <is>
          <t>asia</t>
        </is>
      </c>
      <c r="AF151" s="56" t="inlineStr">
        <is>
          <t>high</t>
        </is>
      </c>
      <c r="AG151" s="56" t="inlineStr">
        <is>
          <t>high</t>
        </is>
      </c>
      <c r="AH151" s="86" t="n">
        <v>252</v>
      </c>
      <c r="AI151" s="86" t="n">
        <v>0.337</v>
      </c>
      <c r="AJ151" s="86" t="n">
        <v>85</v>
      </c>
      <c r="AK151" s="86" t="n">
        <v>167</v>
      </c>
      <c r="AL151" s="86" t="n">
        <v>0.953</v>
      </c>
      <c r="AM151" s="86" t="n">
        <v>0.976</v>
      </c>
      <c r="AN151" s="86" t="n">
        <v>81</v>
      </c>
      <c r="AO151" s="86" t="n">
        <v>4</v>
      </c>
      <c r="AP151" s="86" t="n">
        <v>163</v>
      </c>
      <c r="AQ151" s="86" t="n">
        <v>4</v>
      </c>
    </row>
    <row r="152" ht="16" customHeight="1" s="55">
      <c r="A152" s="88" t="inlineStr">
        <is>
          <t>Pawar et al. 2021</t>
        </is>
      </c>
      <c r="B152" s="86" t="inlineStr">
        <is>
          <t>DL</t>
        </is>
      </c>
      <c r="C152" s="86" t="inlineStr">
        <is>
          <t>AI vs GT — RDR detection (gradable images only)</t>
        </is>
      </c>
      <c r="D152" s="84" t="inlineStr">
        <is>
          <t>NR</t>
        </is>
      </c>
      <c r="E152" s="84" t="inlineStr">
        <is>
          <t>ai_only</t>
        </is>
      </c>
      <c r="F152" s="86" t="inlineStr">
        <is>
          <t>original</t>
        </is>
      </c>
      <c r="G152" s="86" t="inlineStr">
        <is>
          <t>retrospective</t>
        </is>
      </c>
      <c r="H152" s="84" t="inlineStr">
        <is>
          <t>cross-sectional</t>
        </is>
      </c>
      <c r="I152" s="84" t="inlineStr">
        <is>
          <t>no</t>
        </is>
      </c>
      <c r="J152" s="84" t="inlineStr">
        <is>
          <t>community eye clinic</t>
        </is>
      </c>
      <c r="K152" s="86" t="inlineStr">
        <is>
          <t>middle</t>
        </is>
      </c>
      <c r="L152" s="86" t="inlineStr">
        <is>
          <t>primary</t>
        </is>
      </c>
      <c r="M152" s="86" t="inlineStr">
        <is>
          <t>no</t>
        </is>
      </c>
      <c r="N152" s="86" t="inlineStr">
        <is>
          <t>rdr</t>
        </is>
      </c>
      <c r="O152" s="86" t="inlineStr">
        <is>
          <t>no</t>
        </is>
      </c>
      <c r="P152" s="86" t="inlineStr">
        <is>
          <t>mixed</t>
        </is>
      </c>
      <c r="Q152" s="86" t="inlineStr">
        <is>
          <t>portable</t>
        </is>
      </c>
      <c r="R152" s="84" t="inlineStr">
        <is>
          <t>single</t>
        </is>
      </c>
      <c r="S152" s="84" t="inlineStr">
        <is>
          <t>pawar_2021</t>
        </is>
      </c>
      <c r="T152" s="86" t="inlineStr">
        <is>
          <t>icdr</t>
        </is>
      </c>
      <c r="U152" s="84" t="inlineStr">
        <is>
          <t>hybrid</t>
        </is>
      </c>
      <c r="V152" s="86" t="inlineStr">
        <is>
          <t>expert panel</t>
        </is>
      </c>
      <c r="W152" s="86" t="inlineStr">
        <is>
          <t>yes</t>
        </is>
      </c>
      <c r="X152" s="86" t="inlineStr">
        <is>
          <t>fundus</t>
        </is>
      </c>
      <c r="Y152" s="86" t="inlineStr">
        <is>
          <t>1</t>
        </is>
      </c>
      <c r="Z152" s="86" t="inlineStr">
        <is>
          <t>yes</t>
        </is>
      </c>
      <c r="AA152" s="58" t="inlineStr">
        <is>
          <t>yes</t>
        </is>
      </c>
      <c r="AB152" s="58" t="inlineStr">
        <is>
          <t>no</t>
        </is>
      </c>
      <c r="AC152" s="84" t="inlineStr">
        <is>
          <t>no</t>
        </is>
      </c>
      <c r="AD152" s="86" t="inlineStr">
        <is>
          <t>proprietary</t>
        </is>
      </c>
      <c r="AE152" s="86" t="inlineStr">
        <is>
          <t>asia</t>
        </is>
      </c>
      <c r="AF152" s="56" t="inlineStr">
        <is>
          <t>high</t>
        </is>
      </c>
      <c r="AG152" s="56" t="inlineStr">
        <is>
          <t>high</t>
        </is>
      </c>
      <c r="AH152" s="86" t="n">
        <v>258</v>
      </c>
      <c r="AI152" s="86" t="n">
        <v>0.182</v>
      </c>
      <c r="AJ152" s="86" t="n">
        <v>47</v>
      </c>
      <c r="AK152" s="86" t="n">
        <v>211</v>
      </c>
      <c r="AL152" s="86" t="n">
        <v>1</v>
      </c>
      <c r="AM152" s="86" t="n">
        <v>0.915</v>
      </c>
      <c r="AN152" s="86" t="n">
        <v>47</v>
      </c>
      <c r="AO152" s="86" t="n">
        <v>0</v>
      </c>
      <c r="AP152" s="86" t="n">
        <v>193</v>
      </c>
      <c r="AQ152" s="86" t="n">
        <v>18</v>
      </c>
    </row>
    <row r="153" ht="16" customHeight="1" s="55">
      <c r="A153" s="88" t="inlineStr">
        <is>
          <t>Pawar et al. 2021</t>
        </is>
      </c>
      <c r="B153" s="86" t="inlineStr">
        <is>
          <t>Reader</t>
        </is>
      </c>
      <c r="C153" s="86" t="inlineStr">
        <is>
          <t>Grader 1 vs GT — RDR (reconstructed)</t>
        </is>
      </c>
      <c r="D153" s="84" t="inlineStr">
        <is>
          <t>trainedgrader</t>
        </is>
      </c>
      <c r="E153" s="84" t="inlineStr">
        <is>
          <t>human_only</t>
        </is>
      </c>
      <c r="F153" s="86" t="inlineStr">
        <is>
          <t>original</t>
        </is>
      </c>
      <c r="G153" s="86" t="inlineStr">
        <is>
          <t>retrospective</t>
        </is>
      </c>
      <c r="H153" s="84" t="inlineStr">
        <is>
          <t>cross-sectional</t>
        </is>
      </c>
      <c r="I153" s="84" t="inlineStr">
        <is>
          <t>no</t>
        </is>
      </c>
      <c r="J153" s="84" t="inlineStr">
        <is>
          <t>community eye clinic</t>
        </is>
      </c>
      <c r="K153" s="86" t="inlineStr">
        <is>
          <t>middle</t>
        </is>
      </c>
      <c r="L153" s="86" t="inlineStr">
        <is>
          <t>primary</t>
        </is>
      </c>
      <c r="M153" s="86" t="inlineStr">
        <is>
          <t>no</t>
        </is>
      </c>
      <c r="N153" s="86" t="inlineStr">
        <is>
          <t>rdr</t>
        </is>
      </c>
      <c r="O153" s="86" t="inlineStr">
        <is>
          <t>no</t>
        </is>
      </c>
      <c r="P153" s="86" t="inlineStr">
        <is>
          <t>mixed</t>
        </is>
      </c>
      <c r="Q153" s="86" t="inlineStr">
        <is>
          <t>portable</t>
        </is>
      </c>
      <c r="R153" s="84" t="inlineStr">
        <is>
          <t>single</t>
        </is>
      </c>
      <c r="S153" s="84" t="inlineStr">
        <is>
          <t>pawar_2021</t>
        </is>
      </c>
      <c r="T153" s="86" t="inlineStr">
        <is>
          <t>icdr</t>
        </is>
      </c>
      <c r="U153" s="84" t="inlineStr">
        <is>
          <t>hybrid</t>
        </is>
      </c>
      <c r="V153" s="86" t="inlineStr">
        <is>
          <t>expert panel</t>
        </is>
      </c>
      <c r="W153" s="86" t="inlineStr">
        <is>
          <t>yes</t>
        </is>
      </c>
      <c r="X153" s="86" t="inlineStr">
        <is>
          <t>fundus</t>
        </is>
      </c>
      <c r="Y153" s="86" t="inlineStr">
        <is>
          <t>1</t>
        </is>
      </c>
      <c r="Z153" s="86" t="inlineStr">
        <is>
          <t>yes</t>
        </is>
      </c>
      <c r="AA153" s="58" t="inlineStr">
        <is>
          <t>yes</t>
        </is>
      </c>
      <c r="AB153" s="86" t="inlineStr">
        <is>
          <t>no</t>
        </is>
      </c>
      <c r="AC153" s="84" t="inlineStr">
        <is>
          <t>no</t>
        </is>
      </c>
      <c r="AD153" s="86" t="inlineStr">
        <is>
          <t>NR</t>
        </is>
      </c>
      <c r="AE153" s="86" t="inlineStr">
        <is>
          <t>asia</t>
        </is>
      </c>
      <c r="AF153" s="56" t="inlineStr">
        <is>
          <t>high</t>
        </is>
      </c>
      <c r="AG153" s="56" t="inlineStr">
        <is>
          <t>high</t>
        </is>
      </c>
      <c r="AH153" s="86" t="n">
        <v>258</v>
      </c>
      <c r="AI153" s="86" t="n">
        <v>0.182</v>
      </c>
      <c r="AJ153" s="86" t="n">
        <v>47</v>
      </c>
      <c r="AK153" s="86" t="n">
        <v>211</v>
      </c>
      <c r="AL153" s="86" t="n">
        <v>0.878</v>
      </c>
      <c r="AM153" s="86" t="n">
        <v>0.995</v>
      </c>
      <c r="AN153" s="86" t="n">
        <v>41</v>
      </c>
      <c r="AO153" s="86" t="n">
        <v>6</v>
      </c>
      <c r="AP153" s="86" t="n">
        <v>210</v>
      </c>
      <c r="AQ153" s="86" t="n">
        <v>1</v>
      </c>
    </row>
    <row r="154" ht="16" customHeight="1" s="55">
      <c r="A154" s="88" t="inlineStr">
        <is>
          <t>Pawar et al. 2021</t>
        </is>
      </c>
      <c r="B154" s="86" t="inlineStr">
        <is>
          <t>Reader</t>
        </is>
      </c>
      <c r="C154" s="86" t="inlineStr">
        <is>
          <t>Grader 2 vs GT — RDR (reconstructed)</t>
        </is>
      </c>
      <c r="D154" s="84" t="inlineStr">
        <is>
          <t>trainedgrader</t>
        </is>
      </c>
      <c r="E154" s="84" t="inlineStr">
        <is>
          <t>human_only</t>
        </is>
      </c>
      <c r="F154" s="86" t="inlineStr">
        <is>
          <t>original</t>
        </is>
      </c>
      <c r="G154" s="86" t="inlineStr">
        <is>
          <t>retrospective</t>
        </is>
      </c>
      <c r="H154" s="84" t="inlineStr">
        <is>
          <t>cross-sectional</t>
        </is>
      </c>
      <c r="I154" s="84" t="inlineStr">
        <is>
          <t>no</t>
        </is>
      </c>
      <c r="J154" s="84" t="inlineStr">
        <is>
          <t>community eye clinic</t>
        </is>
      </c>
      <c r="K154" s="86" t="inlineStr">
        <is>
          <t>middle</t>
        </is>
      </c>
      <c r="L154" s="86" t="inlineStr">
        <is>
          <t>primary</t>
        </is>
      </c>
      <c r="M154" s="86" t="inlineStr">
        <is>
          <t>no</t>
        </is>
      </c>
      <c r="N154" s="86" t="inlineStr">
        <is>
          <t>rdr</t>
        </is>
      </c>
      <c r="O154" s="86" t="inlineStr">
        <is>
          <t>no</t>
        </is>
      </c>
      <c r="P154" s="86" t="inlineStr">
        <is>
          <t>mixed</t>
        </is>
      </c>
      <c r="Q154" s="86" t="inlineStr">
        <is>
          <t>portable</t>
        </is>
      </c>
      <c r="R154" s="84" t="inlineStr">
        <is>
          <t>single</t>
        </is>
      </c>
      <c r="S154" s="84" t="inlineStr">
        <is>
          <t>pawar_2021</t>
        </is>
      </c>
      <c r="T154" s="86" t="inlineStr">
        <is>
          <t>icdr</t>
        </is>
      </c>
      <c r="U154" s="84" t="inlineStr">
        <is>
          <t>hybrid</t>
        </is>
      </c>
      <c r="V154" s="86" t="inlineStr">
        <is>
          <t>expert panel</t>
        </is>
      </c>
      <c r="W154" s="86" t="inlineStr">
        <is>
          <t>yes</t>
        </is>
      </c>
      <c r="X154" s="86" t="inlineStr">
        <is>
          <t>fundus</t>
        </is>
      </c>
      <c r="Y154" s="86" t="inlineStr">
        <is>
          <t>1</t>
        </is>
      </c>
      <c r="Z154" s="86" t="inlineStr">
        <is>
          <t>yes</t>
        </is>
      </c>
      <c r="AA154" s="58" t="inlineStr">
        <is>
          <t>yes</t>
        </is>
      </c>
      <c r="AB154" s="86" t="inlineStr">
        <is>
          <t>no</t>
        </is>
      </c>
      <c r="AC154" s="84" t="inlineStr">
        <is>
          <t>no</t>
        </is>
      </c>
      <c r="AD154" s="86" t="inlineStr">
        <is>
          <t>NR</t>
        </is>
      </c>
      <c r="AE154" s="86" t="inlineStr">
        <is>
          <t>asia</t>
        </is>
      </c>
      <c r="AF154" s="56" t="inlineStr">
        <is>
          <t>high</t>
        </is>
      </c>
      <c r="AG154" s="56" t="inlineStr">
        <is>
          <t>high</t>
        </is>
      </c>
      <c r="AH154" s="86" t="n">
        <v>258</v>
      </c>
      <c r="AI154" s="86" t="n">
        <v>0.182</v>
      </c>
      <c r="AJ154" s="86" t="n">
        <v>47</v>
      </c>
      <c r="AK154" s="86" t="n">
        <v>211</v>
      </c>
      <c r="AL154" s="86" t="n">
        <v>0.927</v>
      </c>
      <c r="AM154" s="86" t="n">
        <v>1</v>
      </c>
      <c r="AN154" s="86" t="n">
        <v>44</v>
      </c>
      <c r="AO154" s="86" t="n">
        <v>3</v>
      </c>
      <c r="AP154" s="86" t="n">
        <v>211</v>
      </c>
      <c r="AQ154" s="86" t="n">
        <v>0</v>
      </c>
    </row>
    <row r="155" ht="16" customHeight="1" s="55">
      <c r="A155" s="88" t="inlineStr">
        <is>
          <t>Pawar et al. 2021</t>
        </is>
      </c>
      <c r="B155" s="86" t="inlineStr">
        <is>
          <t>Reader</t>
        </is>
      </c>
      <c r="C155" s="86" t="inlineStr">
        <is>
          <t>Grader 3 vs GT — RDR (reconstructed)</t>
        </is>
      </c>
      <c r="D155" s="84" t="inlineStr">
        <is>
          <t>trainedgrader</t>
        </is>
      </c>
      <c r="E155" s="84" t="inlineStr">
        <is>
          <t>human_only</t>
        </is>
      </c>
      <c r="F155" s="86" t="inlineStr">
        <is>
          <t>original</t>
        </is>
      </c>
      <c r="G155" s="86" t="inlineStr">
        <is>
          <t>retrospective</t>
        </is>
      </c>
      <c r="H155" s="84" t="inlineStr">
        <is>
          <t>cross-sectional</t>
        </is>
      </c>
      <c r="I155" s="84" t="inlineStr">
        <is>
          <t>no</t>
        </is>
      </c>
      <c r="J155" s="84" t="inlineStr">
        <is>
          <t>community eye clinic</t>
        </is>
      </c>
      <c r="K155" s="86" t="inlineStr">
        <is>
          <t>middle</t>
        </is>
      </c>
      <c r="L155" s="86" t="inlineStr">
        <is>
          <t>primary</t>
        </is>
      </c>
      <c r="M155" s="86" t="inlineStr">
        <is>
          <t>no</t>
        </is>
      </c>
      <c r="N155" s="86" t="inlineStr">
        <is>
          <t>rdr</t>
        </is>
      </c>
      <c r="O155" s="86" t="inlineStr">
        <is>
          <t>no</t>
        </is>
      </c>
      <c r="P155" s="86" t="inlineStr">
        <is>
          <t>mixed</t>
        </is>
      </c>
      <c r="Q155" s="86" t="inlineStr">
        <is>
          <t>portable</t>
        </is>
      </c>
      <c r="R155" s="84" t="inlineStr">
        <is>
          <t>single</t>
        </is>
      </c>
      <c r="S155" s="84" t="inlineStr">
        <is>
          <t>pawar_2021</t>
        </is>
      </c>
      <c r="T155" s="86" t="inlineStr">
        <is>
          <t>icdr</t>
        </is>
      </c>
      <c r="U155" s="84" t="inlineStr">
        <is>
          <t>hybrid</t>
        </is>
      </c>
      <c r="V155" s="86" t="inlineStr">
        <is>
          <t>expert panel</t>
        </is>
      </c>
      <c r="W155" s="86" t="inlineStr">
        <is>
          <t>yes</t>
        </is>
      </c>
      <c r="X155" s="86" t="inlineStr">
        <is>
          <t>fundus</t>
        </is>
      </c>
      <c r="Y155" s="86" t="inlineStr">
        <is>
          <t>1</t>
        </is>
      </c>
      <c r="Z155" s="86" t="inlineStr">
        <is>
          <t>yes</t>
        </is>
      </c>
      <c r="AA155" s="58" t="inlineStr">
        <is>
          <t>yes</t>
        </is>
      </c>
      <c r="AB155" s="86" t="inlineStr">
        <is>
          <t>no</t>
        </is>
      </c>
      <c r="AC155" s="84" t="inlineStr">
        <is>
          <t>no</t>
        </is>
      </c>
      <c r="AD155" s="86" t="inlineStr">
        <is>
          <t>NR</t>
        </is>
      </c>
      <c r="AE155" s="86" t="inlineStr">
        <is>
          <t>asia</t>
        </is>
      </c>
      <c r="AF155" s="56" t="inlineStr">
        <is>
          <t>high</t>
        </is>
      </c>
      <c r="AG155" s="56" t="inlineStr">
        <is>
          <t>high</t>
        </is>
      </c>
      <c r="AH155" s="86" t="n">
        <v>258</v>
      </c>
      <c r="AI155" s="86" t="n">
        <v>0.182</v>
      </c>
      <c r="AJ155" s="86" t="n">
        <v>47</v>
      </c>
      <c r="AK155" s="86" t="n">
        <v>211</v>
      </c>
      <c r="AL155" s="86" t="n">
        <v>0.805</v>
      </c>
      <c r="AM155" s="86" t="n">
        <v>0.982</v>
      </c>
      <c r="AN155" s="86" t="n">
        <v>38</v>
      </c>
      <c r="AO155" s="86" t="n">
        <v>9</v>
      </c>
      <c r="AP155" s="86" t="n">
        <v>207</v>
      </c>
      <c r="AQ155" s="86" t="n">
        <v>4</v>
      </c>
    </row>
    <row r="156" ht="16" customHeight="1" s="55">
      <c r="A156" s="88" t="inlineStr">
        <is>
          <t>Pawar et al. 2021</t>
        </is>
      </c>
      <c r="B156" s="86" t="inlineStr">
        <is>
          <t>Reader</t>
        </is>
      </c>
      <c r="C156" s="86" t="inlineStr">
        <is>
          <t>Grader 4 vs GT — RDR (reconstructed)</t>
        </is>
      </c>
      <c r="D156" s="84" t="inlineStr">
        <is>
          <t>trainedgrader</t>
        </is>
      </c>
      <c r="E156" s="84" t="inlineStr">
        <is>
          <t>human_only</t>
        </is>
      </c>
      <c r="F156" s="86" t="inlineStr">
        <is>
          <t>original</t>
        </is>
      </c>
      <c r="G156" s="86" t="inlineStr">
        <is>
          <t>retrospective</t>
        </is>
      </c>
      <c r="H156" s="84" t="inlineStr">
        <is>
          <t>cross-sectional</t>
        </is>
      </c>
      <c r="I156" s="84" t="inlineStr">
        <is>
          <t>no</t>
        </is>
      </c>
      <c r="J156" s="84" t="inlineStr">
        <is>
          <t>community eye clinic</t>
        </is>
      </c>
      <c r="K156" s="86" t="inlineStr">
        <is>
          <t>middle</t>
        </is>
      </c>
      <c r="L156" s="86" t="inlineStr">
        <is>
          <t>primary</t>
        </is>
      </c>
      <c r="M156" s="86" t="inlineStr">
        <is>
          <t>no</t>
        </is>
      </c>
      <c r="N156" s="86" t="inlineStr">
        <is>
          <t>rdr</t>
        </is>
      </c>
      <c r="O156" s="86" t="inlineStr">
        <is>
          <t>no</t>
        </is>
      </c>
      <c r="P156" s="86" t="inlineStr">
        <is>
          <t>mixed</t>
        </is>
      </c>
      <c r="Q156" s="86" t="inlineStr">
        <is>
          <t>portable</t>
        </is>
      </c>
      <c r="R156" s="84" t="inlineStr">
        <is>
          <t>single</t>
        </is>
      </c>
      <c r="S156" s="84" t="inlineStr">
        <is>
          <t>pawar_2021</t>
        </is>
      </c>
      <c r="T156" s="86" t="inlineStr">
        <is>
          <t>icdr</t>
        </is>
      </c>
      <c r="U156" s="84" t="inlineStr">
        <is>
          <t>hybrid</t>
        </is>
      </c>
      <c r="V156" s="86" t="inlineStr">
        <is>
          <t>expert panel</t>
        </is>
      </c>
      <c r="W156" s="86" t="inlineStr">
        <is>
          <t>yes</t>
        </is>
      </c>
      <c r="X156" s="86" t="inlineStr">
        <is>
          <t>fundus</t>
        </is>
      </c>
      <c r="Y156" s="86" t="inlineStr">
        <is>
          <t>1</t>
        </is>
      </c>
      <c r="Z156" s="86" t="inlineStr">
        <is>
          <t>yes</t>
        </is>
      </c>
      <c r="AA156" s="58" t="inlineStr">
        <is>
          <t>yes</t>
        </is>
      </c>
      <c r="AB156" s="86" t="inlineStr">
        <is>
          <t>no</t>
        </is>
      </c>
      <c r="AC156" s="84" t="inlineStr">
        <is>
          <t>no</t>
        </is>
      </c>
      <c r="AD156" s="86" t="inlineStr">
        <is>
          <t>NR</t>
        </is>
      </c>
      <c r="AE156" s="86" t="inlineStr">
        <is>
          <t>asia</t>
        </is>
      </c>
      <c r="AF156" s="56" t="inlineStr">
        <is>
          <t>high</t>
        </is>
      </c>
      <c r="AG156" s="56" t="inlineStr">
        <is>
          <t>high</t>
        </is>
      </c>
      <c r="AH156" s="86" t="n">
        <v>258</v>
      </c>
      <c r="AI156" s="86" t="n">
        <v>0.182</v>
      </c>
      <c r="AJ156" s="86" t="n">
        <v>47</v>
      </c>
      <c r="AK156" s="86" t="n">
        <v>211</v>
      </c>
      <c r="AL156" s="86" t="n">
        <v>0.976</v>
      </c>
      <c r="AM156" s="86" t="n">
        <v>0.977</v>
      </c>
      <c r="AN156" s="86" t="n">
        <v>46</v>
      </c>
      <c r="AO156" s="86" t="n">
        <v>1</v>
      </c>
      <c r="AP156" s="86" t="n">
        <v>206</v>
      </c>
      <c r="AQ156" s="86" t="n">
        <v>5</v>
      </c>
    </row>
    <row r="157" ht="16" customHeight="1" s="55">
      <c r="A157" s="88" t="inlineStr">
        <is>
          <t>Li et al. 2023</t>
        </is>
      </c>
      <c r="B157" s="86" t="inlineStr">
        <is>
          <t>DL</t>
        </is>
      </c>
      <c r="C157" s="86" t="inlineStr">
        <is>
          <t>Deep learning system — referable DR (ICDR; moderate NPDR+ ± DME)</t>
        </is>
      </c>
      <c r="D157" s="84" t="inlineStr">
        <is>
          <t>NR</t>
        </is>
      </c>
      <c r="E157" s="84" t="inlineStr">
        <is>
          <t>ai_only</t>
        </is>
      </c>
      <c r="F157" s="86" t="inlineStr">
        <is>
          <t>original</t>
        </is>
      </c>
      <c r="G157" s="86" t="inlineStr">
        <is>
          <t>prospective</t>
        </is>
      </c>
      <c r="H157" s="84" t="inlineStr">
        <is>
          <t>cross-sectional</t>
        </is>
      </c>
      <c r="I157" s="84" t="inlineStr">
        <is>
          <t>yes</t>
        </is>
      </c>
      <c r="J157" s="84" t="inlineStr">
        <is>
          <t>hospitals; clinics; screening</t>
        </is>
      </c>
      <c r="K157" s="86" t="inlineStr">
        <is>
          <t>middle</t>
        </is>
      </c>
      <c r="L157" s="86" t="inlineStr">
        <is>
          <t>mixed</t>
        </is>
      </c>
      <c r="M157" s="86" t="inlineStr">
        <is>
          <t>yes</t>
        </is>
      </c>
      <c r="N157" s="86" t="inlineStr">
        <is>
          <t>rdr</t>
        </is>
      </c>
      <c r="O157" s="86" t="inlineStr">
        <is>
          <t>yes</t>
        </is>
      </c>
      <c r="P157" s="86" t="inlineStr">
        <is>
          <t>NR</t>
        </is>
      </c>
      <c r="Q157" s="86" t="inlineStr">
        <is>
          <t>desktop</t>
        </is>
      </c>
      <c r="R157" s="84" t="inlineStr">
        <is>
          <t>multiple</t>
        </is>
      </c>
      <c r="S157" s="84" t="inlineStr">
        <is>
          <t>li_2023</t>
        </is>
      </c>
      <c r="T157" s="86" t="inlineStr">
        <is>
          <t>icdr</t>
        </is>
      </c>
      <c r="U157" s="84" t="inlineStr">
        <is>
          <t>PP</t>
        </is>
      </c>
      <c r="V157" s="86" t="inlineStr">
        <is>
          <t>expert panel</t>
        </is>
      </c>
      <c r="W157" s="56" t="inlineStr">
        <is>
          <t>no</t>
        </is>
      </c>
      <c r="X157" s="86" t="inlineStr">
        <is>
          <t>fundus</t>
        </is>
      </c>
      <c r="Y157" s="86" t="inlineStr">
        <is>
          <t>NR</t>
        </is>
      </c>
      <c r="Z157" s="58" t="inlineStr">
        <is>
          <t>no</t>
        </is>
      </c>
      <c r="AA157" s="58" t="inlineStr">
        <is>
          <t>no</t>
        </is>
      </c>
      <c r="AB157" s="58" t="inlineStr">
        <is>
          <t>no</t>
        </is>
      </c>
      <c r="AC157" s="84" t="inlineStr">
        <is>
          <t>yes</t>
        </is>
      </c>
      <c r="AD157" s="86" t="inlineStr">
        <is>
          <t>Inception</t>
        </is>
      </c>
      <c r="AE157" s="86" t="inlineStr">
        <is>
          <t>asia</t>
        </is>
      </c>
      <c r="AF157" s="56" t="inlineStr">
        <is>
          <t>high</t>
        </is>
      </c>
      <c r="AG157" s="56" t="inlineStr">
        <is>
          <t>high</t>
        </is>
      </c>
      <c r="AH157" s="86" t="n">
        <v>300</v>
      </c>
      <c r="AI157" s="86" t="n">
        <v>0.15</v>
      </c>
      <c r="AJ157" s="86" t="n">
        <v>45</v>
      </c>
      <c r="AK157" s="86" t="n">
        <v>255</v>
      </c>
      <c r="AL157" s="86" t="n">
        <v>0.978</v>
      </c>
      <c r="AM157" s="86" t="n">
        <v>0.925</v>
      </c>
      <c r="AN157" s="86" t="n">
        <v>44</v>
      </c>
      <c r="AO157" s="86" t="n">
        <v>1</v>
      </c>
      <c r="AP157" s="86" t="n">
        <v>236</v>
      </c>
      <c r="AQ157" s="86" t="n">
        <v>19</v>
      </c>
    </row>
    <row r="158" ht="16" customHeight="1" s="55">
      <c r="A158" s="88" t="inlineStr">
        <is>
          <t>Li et al. 2023</t>
        </is>
      </c>
      <c r="B158" s="86" t="inlineStr">
        <is>
          <t>Reader</t>
        </is>
      </c>
      <c r="C158" s="86" t="inlineStr">
        <is>
          <t>General ophthalmologists (group majority) — referable DR</t>
        </is>
      </c>
      <c r="D158" s="84" t="inlineStr">
        <is>
          <t>ophthalmologist</t>
        </is>
      </c>
      <c r="E158" s="84" t="inlineStr">
        <is>
          <t>human_only</t>
        </is>
      </c>
      <c r="F158" s="86" t="inlineStr">
        <is>
          <t>original</t>
        </is>
      </c>
      <c r="G158" s="86" t="inlineStr">
        <is>
          <t>prospective</t>
        </is>
      </c>
      <c r="H158" s="84" t="inlineStr">
        <is>
          <t>cross-sectional</t>
        </is>
      </c>
      <c r="I158" s="84" t="inlineStr">
        <is>
          <t>yes</t>
        </is>
      </c>
      <c r="J158" s="84" t="inlineStr">
        <is>
          <t>hospitals; clinics; screening</t>
        </is>
      </c>
      <c r="K158" s="86" t="inlineStr">
        <is>
          <t>middle</t>
        </is>
      </c>
      <c r="L158" s="86" t="inlineStr">
        <is>
          <t>mixed</t>
        </is>
      </c>
      <c r="M158" s="86" t="inlineStr">
        <is>
          <t>yes</t>
        </is>
      </c>
      <c r="N158" s="86" t="inlineStr">
        <is>
          <t>rdr</t>
        </is>
      </c>
      <c r="O158" s="86" t="inlineStr">
        <is>
          <t>yes</t>
        </is>
      </c>
      <c r="P158" s="86" t="inlineStr">
        <is>
          <t>NR</t>
        </is>
      </c>
      <c r="Q158" s="86" t="inlineStr">
        <is>
          <t>desktop</t>
        </is>
      </c>
      <c r="R158" s="84" t="inlineStr">
        <is>
          <t>multiple</t>
        </is>
      </c>
      <c r="S158" s="84" t="inlineStr">
        <is>
          <t>li_2023</t>
        </is>
      </c>
      <c r="T158" s="86" t="inlineStr">
        <is>
          <t>icdr</t>
        </is>
      </c>
      <c r="U158" s="84" t="inlineStr">
        <is>
          <t>PP</t>
        </is>
      </c>
      <c r="V158" s="86" t="inlineStr">
        <is>
          <t>expert panel</t>
        </is>
      </c>
      <c r="W158" s="56" t="inlineStr">
        <is>
          <t>no</t>
        </is>
      </c>
      <c r="X158" s="86" t="inlineStr">
        <is>
          <t>fundus</t>
        </is>
      </c>
      <c r="Y158" s="86" t="inlineStr">
        <is>
          <t>NR</t>
        </is>
      </c>
      <c r="Z158" s="58" t="inlineStr">
        <is>
          <t>no</t>
        </is>
      </c>
      <c r="AA158" s="58" t="inlineStr">
        <is>
          <t>no</t>
        </is>
      </c>
      <c r="AB158" s="86" t="inlineStr">
        <is>
          <t>no</t>
        </is>
      </c>
      <c r="AC158" s="84" t="inlineStr">
        <is>
          <t>yes</t>
        </is>
      </c>
      <c r="AD158" s="86" t="inlineStr">
        <is>
          <t>NR</t>
        </is>
      </c>
      <c r="AE158" s="86" t="inlineStr">
        <is>
          <t>asia</t>
        </is>
      </c>
      <c r="AF158" s="56" t="inlineStr">
        <is>
          <t>high</t>
        </is>
      </c>
      <c r="AG158" s="56" t="inlineStr">
        <is>
          <t>high</t>
        </is>
      </c>
      <c r="AH158" s="86" t="n">
        <v>300</v>
      </c>
      <c r="AI158" s="86" t="n">
        <v>0.15</v>
      </c>
      <c r="AJ158" s="86" t="n">
        <v>45</v>
      </c>
      <c r="AK158" s="86" t="n">
        <v>255</v>
      </c>
      <c r="AL158" s="86" t="n">
        <v>0.911</v>
      </c>
      <c r="AM158" s="86" t="n">
        <v>0.996</v>
      </c>
      <c r="AN158" s="86" t="n">
        <v>41</v>
      </c>
      <c r="AO158" s="86" t="n">
        <v>4</v>
      </c>
      <c r="AP158" s="86" t="n">
        <v>254</v>
      </c>
      <c r="AQ158" s="86" t="n">
        <v>1</v>
      </c>
    </row>
    <row r="159" ht="16" customHeight="1" s="55">
      <c r="A159" s="88" t="inlineStr">
        <is>
          <t>Sayres et al. 2019</t>
        </is>
      </c>
      <c r="B159" s="86" t="inlineStr">
        <is>
          <t>DL</t>
        </is>
      </c>
      <c r="C159" s="86" t="inlineStr">
        <is>
          <t>Deep learning model (Inception-v4) — moderate-or-worse DR (rDR)</t>
        </is>
      </c>
      <c r="D159" s="84" t="inlineStr">
        <is>
          <t>NR</t>
        </is>
      </c>
      <c r="E159" s="84" t="inlineStr">
        <is>
          <t>ai_only</t>
        </is>
      </c>
      <c r="F159" s="86" t="inlineStr">
        <is>
          <t>original</t>
        </is>
      </c>
      <c r="G159" s="86" t="inlineStr">
        <is>
          <t>retrospective</t>
        </is>
      </c>
      <c r="H159" s="84" t="inlineStr">
        <is>
          <t>cross-sectional</t>
        </is>
      </c>
      <c r="I159" s="84" t="inlineStr">
        <is>
          <t>yes</t>
        </is>
      </c>
      <c r="J159" s="84" t="inlineStr">
        <is>
          <t>screening clinics</t>
        </is>
      </c>
      <c r="K159" s="86" t="inlineStr">
        <is>
          <t>high</t>
        </is>
      </c>
      <c r="L159" s="86" t="inlineStr">
        <is>
          <t>mixed</t>
        </is>
      </c>
      <c r="M159" s="86" t="inlineStr">
        <is>
          <t>yes</t>
        </is>
      </c>
      <c r="N159" s="86" t="inlineStr">
        <is>
          <t>rdr</t>
        </is>
      </c>
      <c r="O159" s="86" t="inlineStr">
        <is>
          <t>yes</t>
        </is>
      </c>
      <c r="P159" s="86" t="inlineStr">
        <is>
          <t>NR</t>
        </is>
      </c>
      <c r="Q159" s="86" t="inlineStr">
        <is>
          <t>desktop</t>
        </is>
      </c>
      <c r="R159" s="84" t="inlineStr">
        <is>
          <t>NR</t>
        </is>
      </c>
      <c r="S159" s="84" t="inlineStr">
        <is>
          <t>eyepacs_india</t>
        </is>
      </c>
      <c r="T159" s="86" t="inlineStr">
        <is>
          <t>icdr</t>
        </is>
      </c>
      <c r="U159" s="84" t="inlineStr">
        <is>
          <t>PP</t>
        </is>
      </c>
      <c r="V159" s="86" t="inlineStr">
        <is>
          <t>expert panel</t>
        </is>
      </c>
      <c r="W159" s="86" t="inlineStr">
        <is>
          <t>yes</t>
        </is>
      </c>
      <c r="X159" s="86" t="inlineStr">
        <is>
          <t>fundus</t>
        </is>
      </c>
      <c r="Y159" s="86" t="inlineStr">
        <is>
          <t>1</t>
        </is>
      </c>
      <c r="Z159" s="58" t="inlineStr">
        <is>
          <t>yes</t>
        </is>
      </c>
      <c r="AA159" s="86" t="inlineStr">
        <is>
          <t>no</t>
        </is>
      </c>
      <c r="AB159" s="86" t="inlineStr">
        <is>
          <t>no</t>
        </is>
      </c>
      <c r="AC159" s="84" t="inlineStr">
        <is>
          <t>yes</t>
        </is>
      </c>
      <c r="AD159" s="86" t="inlineStr">
        <is>
          <t>Inception</t>
        </is>
      </c>
      <c r="AE159" s="86" t="inlineStr">
        <is>
          <t>america</t>
        </is>
      </c>
      <c r="AF159" s="56" t="inlineStr">
        <is>
          <t>high</t>
        </is>
      </c>
      <c r="AG159" s="56" t="inlineStr">
        <is>
          <t>high</t>
        </is>
      </c>
      <c r="AH159" s="86" t="n">
        <v>1796</v>
      </c>
      <c r="AI159" s="86" t="n">
        <v>0.155</v>
      </c>
      <c r="AJ159" s="86" t="n">
        <v>279</v>
      </c>
      <c r="AK159" s="86" t="n">
        <v>1517</v>
      </c>
      <c r="AL159" s="86" t="n">
        <v>0.915</v>
      </c>
      <c r="AM159" s="86" t="n">
        <v>0.947</v>
      </c>
      <c r="AN159" s="86" t="n">
        <v>255</v>
      </c>
      <c r="AO159" s="86" t="n">
        <v>24</v>
      </c>
      <c r="AP159" s="86" t="n">
        <v>1437</v>
      </c>
      <c r="AQ159" s="86" t="n">
        <v>80</v>
      </c>
    </row>
    <row r="160" ht="16" customHeight="1" s="55">
      <c r="A160" s="88" t="inlineStr">
        <is>
          <t>Sayres et al. 2019</t>
        </is>
      </c>
      <c r="B160" s="86" t="inlineStr">
        <is>
          <t>Reader</t>
        </is>
      </c>
      <c r="C160" s="86" t="inlineStr">
        <is>
          <t>Mean reader (unassisted) — moderate-or-worse DR (rDR)</t>
        </is>
      </c>
      <c r="D160" s="84" t="inlineStr">
        <is>
          <t>ophthalmologist</t>
        </is>
      </c>
      <c r="E160" s="84" t="inlineStr">
        <is>
          <t>human_only</t>
        </is>
      </c>
      <c r="F160" s="86" t="inlineStr">
        <is>
          <t>original</t>
        </is>
      </c>
      <c r="G160" s="86" t="inlineStr">
        <is>
          <t>retrospective</t>
        </is>
      </c>
      <c r="H160" s="84" t="inlineStr">
        <is>
          <t>cross-sectional</t>
        </is>
      </c>
      <c r="I160" s="84" t="inlineStr">
        <is>
          <t>yes</t>
        </is>
      </c>
      <c r="J160" s="84" t="inlineStr">
        <is>
          <t>screening clinics</t>
        </is>
      </c>
      <c r="K160" s="86" t="inlineStr">
        <is>
          <t>high</t>
        </is>
      </c>
      <c r="L160" s="86" t="inlineStr">
        <is>
          <t>mixed</t>
        </is>
      </c>
      <c r="M160" s="86" t="inlineStr">
        <is>
          <t>yes</t>
        </is>
      </c>
      <c r="N160" s="86" t="inlineStr">
        <is>
          <t>rdr</t>
        </is>
      </c>
      <c r="O160" s="86" t="inlineStr">
        <is>
          <t>yes</t>
        </is>
      </c>
      <c r="P160" s="86" t="inlineStr">
        <is>
          <t>NR</t>
        </is>
      </c>
      <c r="Q160" s="86" t="inlineStr">
        <is>
          <t>desktop</t>
        </is>
      </c>
      <c r="R160" s="84" t="inlineStr">
        <is>
          <t>NR</t>
        </is>
      </c>
      <c r="S160" s="84" t="inlineStr">
        <is>
          <t>eyepacs_india</t>
        </is>
      </c>
      <c r="T160" s="86" t="inlineStr">
        <is>
          <t>icdr</t>
        </is>
      </c>
      <c r="U160" s="84" t="inlineStr">
        <is>
          <t>PP</t>
        </is>
      </c>
      <c r="V160" s="86" t="inlineStr">
        <is>
          <t>expert panel</t>
        </is>
      </c>
      <c r="W160" s="86" t="inlineStr">
        <is>
          <t>yes</t>
        </is>
      </c>
      <c r="X160" s="86" t="inlineStr">
        <is>
          <t>fundus</t>
        </is>
      </c>
      <c r="Y160" s="86" t="inlineStr">
        <is>
          <t>1</t>
        </is>
      </c>
      <c r="Z160" s="58" t="inlineStr">
        <is>
          <t>yes</t>
        </is>
      </c>
      <c r="AA160" s="86" t="inlineStr">
        <is>
          <t>no</t>
        </is>
      </c>
      <c r="AB160" s="86" t="inlineStr">
        <is>
          <t>no</t>
        </is>
      </c>
      <c r="AC160" s="84" t="inlineStr">
        <is>
          <t>yes</t>
        </is>
      </c>
      <c r="AD160" s="86" t="inlineStr">
        <is>
          <t>NR</t>
        </is>
      </c>
      <c r="AE160" s="86" t="inlineStr">
        <is>
          <t>america</t>
        </is>
      </c>
      <c r="AF160" s="56" t="inlineStr">
        <is>
          <t>high</t>
        </is>
      </c>
      <c r="AG160" s="56" t="inlineStr">
        <is>
          <t>high</t>
        </is>
      </c>
      <c r="AH160" s="86" t="n">
        <v>1796</v>
      </c>
      <c r="AI160" s="86" t="n">
        <v>0.155</v>
      </c>
      <c r="AJ160" s="86" t="n">
        <v>279</v>
      </c>
      <c r="AK160" s="86" t="n">
        <v>1517</v>
      </c>
      <c r="AL160" s="86" t="n">
        <v>0.794</v>
      </c>
      <c r="AM160" s="86" t="n">
        <v>0.966</v>
      </c>
      <c r="AN160" s="86" t="n">
        <v>222</v>
      </c>
      <c r="AO160" s="86" t="n">
        <v>57</v>
      </c>
      <c r="AP160" s="86" t="n">
        <v>1465</v>
      </c>
      <c r="AQ160" s="86" t="n">
        <v>52</v>
      </c>
    </row>
    <row r="161" ht="16" customHeight="1" s="55">
      <c r="A161" s="88" t="inlineStr">
        <is>
          <t>Sayres et al. 2019</t>
        </is>
      </c>
      <c r="B161" s="86" t="inlineStr">
        <is>
          <t>DL_assisted_reader</t>
        </is>
      </c>
      <c r="C161" s="86" t="inlineStr">
        <is>
          <t>Mean reader (grades-only assistance) — moderate-or-worse DR (rDR)</t>
        </is>
      </c>
      <c r="D161" s="84" t="inlineStr">
        <is>
          <t>ophthalmologist</t>
        </is>
      </c>
      <c r="E161" s="84" t="inlineStr">
        <is>
          <t>human_with_ai</t>
        </is>
      </c>
      <c r="F161" s="86" t="inlineStr">
        <is>
          <t>original</t>
        </is>
      </c>
      <c r="G161" s="86" t="inlineStr">
        <is>
          <t>retrospective</t>
        </is>
      </c>
      <c r="H161" s="84" t="inlineStr">
        <is>
          <t>cross-sectional</t>
        </is>
      </c>
      <c r="I161" s="84" t="inlineStr">
        <is>
          <t>yes</t>
        </is>
      </c>
      <c r="J161" s="84" t="inlineStr">
        <is>
          <t>screening clinics</t>
        </is>
      </c>
      <c r="K161" s="86" t="inlineStr">
        <is>
          <t>high</t>
        </is>
      </c>
      <c r="L161" s="86" t="inlineStr">
        <is>
          <t>mixed</t>
        </is>
      </c>
      <c r="M161" s="86" t="inlineStr">
        <is>
          <t>yes</t>
        </is>
      </c>
      <c r="N161" s="86" t="inlineStr">
        <is>
          <t>rdr</t>
        </is>
      </c>
      <c r="O161" s="86" t="inlineStr">
        <is>
          <t>yes</t>
        </is>
      </c>
      <c r="P161" s="86" t="inlineStr">
        <is>
          <t>NR</t>
        </is>
      </c>
      <c r="Q161" s="86" t="inlineStr">
        <is>
          <t>desktop</t>
        </is>
      </c>
      <c r="R161" s="84" t="inlineStr">
        <is>
          <t>NR</t>
        </is>
      </c>
      <c r="S161" s="84" t="inlineStr">
        <is>
          <t>eyepacs_india</t>
        </is>
      </c>
      <c r="T161" s="86" t="inlineStr">
        <is>
          <t>icdr</t>
        </is>
      </c>
      <c r="U161" s="84" t="inlineStr">
        <is>
          <t>PP</t>
        </is>
      </c>
      <c r="V161" s="86" t="inlineStr">
        <is>
          <t>expert panel</t>
        </is>
      </c>
      <c r="W161" s="86" t="inlineStr">
        <is>
          <t>yes</t>
        </is>
      </c>
      <c r="X161" s="86" t="inlineStr">
        <is>
          <t>fundus</t>
        </is>
      </c>
      <c r="Y161" s="86" t="inlineStr">
        <is>
          <t>1</t>
        </is>
      </c>
      <c r="Z161" s="58" t="inlineStr">
        <is>
          <t>yes</t>
        </is>
      </c>
      <c r="AA161" s="86" t="inlineStr">
        <is>
          <t>no</t>
        </is>
      </c>
      <c r="AB161" s="86" t="inlineStr">
        <is>
          <t>no</t>
        </is>
      </c>
      <c r="AC161" s="84" t="inlineStr">
        <is>
          <t>yes</t>
        </is>
      </c>
      <c r="AD161" s="86" t="inlineStr">
        <is>
          <t>AI-assisted</t>
        </is>
      </c>
      <c r="AE161" s="86" t="inlineStr">
        <is>
          <t>america</t>
        </is>
      </c>
      <c r="AF161" s="56" t="inlineStr">
        <is>
          <t>high</t>
        </is>
      </c>
      <c r="AG161" s="56" t="inlineStr">
        <is>
          <t>high</t>
        </is>
      </c>
      <c r="AH161" s="86" t="n">
        <v>1796</v>
      </c>
      <c r="AI161" s="86" t="n">
        <v>0.155</v>
      </c>
      <c r="AJ161" s="86" t="n">
        <v>279</v>
      </c>
      <c r="AK161" s="86" t="n">
        <v>1517</v>
      </c>
      <c r="AL161" s="86" t="n">
        <v>0.875</v>
      </c>
      <c r="AM161" s="86" t="n">
        <v>0.961</v>
      </c>
      <c r="AN161" s="86" t="n">
        <v>244</v>
      </c>
      <c r="AO161" s="86" t="n">
        <v>35</v>
      </c>
      <c r="AP161" s="86" t="n">
        <v>1458</v>
      </c>
      <c r="AQ161" s="86" t="n">
        <v>59</v>
      </c>
    </row>
    <row r="162" ht="16" customHeight="1" s="55">
      <c r="A162" s="88" t="inlineStr">
        <is>
          <t>Sayres et al. 2019</t>
        </is>
      </c>
      <c r="B162" s="86" t="inlineStr">
        <is>
          <t>DL_assisted_reader</t>
        </is>
      </c>
      <c r="C162" s="86" t="inlineStr">
        <is>
          <t>Mean reader (grades + heatmap assistance) — moderate-or-worse DR (rDR)</t>
        </is>
      </c>
      <c r="D162" s="84" t="inlineStr">
        <is>
          <t>ophthalmologist</t>
        </is>
      </c>
      <c r="E162" s="84" t="inlineStr">
        <is>
          <t>human_with_ai</t>
        </is>
      </c>
      <c r="F162" s="86" t="inlineStr">
        <is>
          <t>original</t>
        </is>
      </c>
      <c r="G162" s="86" t="inlineStr">
        <is>
          <t>retrospective</t>
        </is>
      </c>
      <c r="H162" s="84" t="inlineStr">
        <is>
          <t>cross-sectional</t>
        </is>
      </c>
      <c r="I162" s="84" t="inlineStr">
        <is>
          <t>yes</t>
        </is>
      </c>
      <c r="J162" s="84" t="inlineStr">
        <is>
          <t>screening clinics</t>
        </is>
      </c>
      <c r="K162" s="86" t="inlineStr">
        <is>
          <t>high</t>
        </is>
      </c>
      <c r="L162" s="86" t="inlineStr">
        <is>
          <t>mixed</t>
        </is>
      </c>
      <c r="M162" s="86" t="inlineStr">
        <is>
          <t>yes</t>
        </is>
      </c>
      <c r="N162" s="86" t="inlineStr">
        <is>
          <t>rdr</t>
        </is>
      </c>
      <c r="O162" s="86" t="inlineStr">
        <is>
          <t>yes</t>
        </is>
      </c>
      <c r="P162" s="86" t="inlineStr">
        <is>
          <t>NR</t>
        </is>
      </c>
      <c r="Q162" s="86" t="inlineStr">
        <is>
          <t>desktop</t>
        </is>
      </c>
      <c r="R162" s="84" t="inlineStr">
        <is>
          <t>NR</t>
        </is>
      </c>
      <c r="S162" s="84" t="inlineStr">
        <is>
          <t>eyepacs_india</t>
        </is>
      </c>
      <c r="T162" s="86" t="inlineStr">
        <is>
          <t>icdr</t>
        </is>
      </c>
      <c r="U162" s="84" t="inlineStr">
        <is>
          <t>PP</t>
        </is>
      </c>
      <c r="V162" s="86" t="inlineStr">
        <is>
          <t>expert panel</t>
        </is>
      </c>
      <c r="W162" s="86" t="inlineStr">
        <is>
          <t>yes</t>
        </is>
      </c>
      <c r="X162" s="86" t="inlineStr">
        <is>
          <t>fundus</t>
        </is>
      </c>
      <c r="Y162" s="86" t="inlineStr">
        <is>
          <t>1</t>
        </is>
      </c>
      <c r="Z162" s="58" t="inlineStr">
        <is>
          <t>yes</t>
        </is>
      </c>
      <c r="AA162" s="86" t="inlineStr">
        <is>
          <t>no</t>
        </is>
      </c>
      <c r="AB162" s="86" t="inlineStr">
        <is>
          <t>no</t>
        </is>
      </c>
      <c r="AC162" s="84" t="inlineStr">
        <is>
          <t>yes</t>
        </is>
      </c>
      <c r="AD162" s="86" t="inlineStr">
        <is>
          <t>AI-assisted</t>
        </is>
      </c>
      <c r="AE162" s="86" t="inlineStr">
        <is>
          <t>america</t>
        </is>
      </c>
      <c r="AF162" s="56" t="inlineStr">
        <is>
          <t>high</t>
        </is>
      </c>
      <c r="AG162" s="56" t="inlineStr">
        <is>
          <t>high</t>
        </is>
      </c>
      <c r="AH162" s="86" t="n">
        <v>1796</v>
      </c>
      <c r="AI162" s="86" t="n">
        <v>0.155</v>
      </c>
      <c r="AJ162" s="86" t="n">
        <v>279</v>
      </c>
      <c r="AK162" s="86" t="n">
        <v>1517</v>
      </c>
      <c r="AL162" s="86" t="n">
        <v>0.887</v>
      </c>
      <c r="AM162" s="86" t="n">
        <v>0.955</v>
      </c>
      <c r="AN162" s="86" t="n">
        <v>247</v>
      </c>
      <c r="AO162" s="86" t="n">
        <v>32</v>
      </c>
      <c r="AP162" s="86" t="n">
        <v>1449</v>
      </c>
      <c r="AQ162" s="86" t="n">
        <v>68</v>
      </c>
    </row>
    <row r="163" ht="16" customHeight="1" s="55">
      <c r="A163" s="88" t="inlineStr">
        <is>
          <t>Gulshan et al. 2019</t>
        </is>
      </c>
      <c r="B163" s="86" t="inlineStr">
        <is>
          <t>DL</t>
        </is>
      </c>
      <c r="C163" s="86" t="inlineStr">
        <is>
          <t>Automated DR system (site: Aravind)</t>
        </is>
      </c>
      <c r="D163" s="84" t="inlineStr">
        <is>
          <t>NR</t>
        </is>
      </c>
      <c r="E163" s="84" t="inlineStr">
        <is>
          <t>ai_only</t>
        </is>
      </c>
      <c r="F163" s="86" t="inlineStr">
        <is>
          <t>original</t>
        </is>
      </c>
      <c r="G163" s="86" t="inlineStr">
        <is>
          <t>prospective</t>
        </is>
      </c>
      <c r="H163" s="84" t="inlineStr">
        <is>
          <t>cohort</t>
        </is>
      </c>
      <c r="I163" s="84" t="inlineStr">
        <is>
          <t>yes</t>
        </is>
      </c>
      <c r="J163" s="84" t="inlineStr">
        <is>
          <t>tertiary eye centers</t>
        </is>
      </c>
      <c r="K163" s="86" t="inlineStr">
        <is>
          <t>middle</t>
        </is>
      </c>
      <c r="L163" s="86" t="inlineStr">
        <is>
          <t>tertiary</t>
        </is>
      </c>
      <c r="M163" s="86" t="inlineStr">
        <is>
          <t>yes</t>
        </is>
      </c>
      <c r="N163" s="86" t="inlineStr">
        <is>
          <t>rdr</t>
        </is>
      </c>
      <c r="O163" s="86" t="inlineStr">
        <is>
          <t>yes</t>
        </is>
      </c>
      <c r="P163" s="86" t="inlineStr">
        <is>
          <t>non-mydriatic</t>
        </is>
      </c>
      <c r="Q163" s="86" t="inlineStr">
        <is>
          <t>desktop</t>
        </is>
      </c>
      <c r="R163" s="84" t="inlineStr">
        <is>
          <t>multiple</t>
        </is>
      </c>
      <c r="S163" s="84" t="inlineStr">
        <is>
          <t>eyepacs_india</t>
        </is>
      </c>
      <c r="T163" s="86" t="inlineStr">
        <is>
          <t>icdr</t>
        </is>
      </c>
      <c r="U163" s="84" t="inlineStr">
        <is>
          <t>PP</t>
        </is>
      </c>
      <c r="V163" s="86" t="inlineStr">
        <is>
          <t>expert panel</t>
        </is>
      </c>
      <c r="W163" s="56" t="inlineStr">
        <is>
          <t>yes</t>
        </is>
      </c>
      <c r="X163" s="86" t="inlineStr">
        <is>
          <t>fundus</t>
        </is>
      </c>
      <c r="Y163" s="86" t="inlineStr">
        <is>
          <t>1</t>
        </is>
      </c>
      <c r="Z163" s="32" t="inlineStr">
        <is>
          <t>yes</t>
        </is>
      </c>
      <c r="AA163" s="58" t="inlineStr">
        <is>
          <t>no</t>
        </is>
      </c>
      <c r="AB163" s="58" t="inlineStr">
        <is>
          <t>no</t>
        </is>
      </c>
      <c r="AC163" s="84" t="inlineStr">
        <is>
          <t>yes</t>
        </is>
      </c>
      <c r="AD163" s="86" t="inlineStr">
        <is>
          <t>Inception</t>
        </is>
      </c>
      <c r="AE163" s="86" t="inlineStr">
        <is>
          <t>asia</t>
        </is>
      </c>
      <c r="AF163" s="86" t="inlineStr">
        <is>
          <t>high</t>
        </is>
      </c>
      <c r="AG163" s="86" t="inlineStr">
        <is>
          <t>NR</t>
        </is>
      </c>
      <c r="AH163" s="86" t="n">
        <v>1905</v>
      </c>
      <c r="AI163" s="86" t="n">
        <v>0.336</v>
      </c>
      <c r="AJ163" s="86" t="n">
        <v>640</v>
      </c>
      <c r="AK163" s="86" t="n">
        <v>1265</v>
      </c>
      <c r="AL163" s="86" t="n">
        <v>0.889</v>
      </c>
      <c r="AM163" s="86" t="n">
        <v>0.922</v>
      </c>
      <c r="AN163" s="86" t="n">
        <v>569</v>
      </c>
      <c r="AO163" s="86" t="n">
        <v>71</v>
      </c>
      <c r="AP163" s="86" t="n">
        <v>1166</v>
      </c>
      <c r="AQ163" s="86" t="n">
        <v>99</v>
      </c>
    </row>
    <row r="164" ht="16" customHeight="1" s="55">
      <c r="A164" s="88" t="inlineStr">
        <is>
          <t>Gulshan et al. 2019</t>
        </is>
      </c>
      <c r="B164" s="86" t="inlineStr">
        <is>
          <t>Reader</t>
        </is>
      </c>
      <c r="C164" s="86" t="inlineStr">
        <is>
          <t>Trained grader (site: Aravind)</t>
        </is>
      </c>
      <c r="D164" s="84" t="inlineStr">
        <is>
          <t>trainedgrader</t>
        </is>
      </c>
      <c r="E164" s="84" t="inlineStr">
        <is>
          <t>human_only</t>
        </is>
      </c>
      <c r="F164" s="86" t="inlineStr">
        <is>
          <t>original</t>
        </is>
      </c>
      <c r="G164" s="86" t="inlineStr">
        <is>
          <t>prospective</t>
        </is>
      </c>
      <c r="H164" s="84" t="inlineStr">
        <is>
          <t>cohort</t>
        </is>
      </c>
      <c r="I164" s="84" t="inlineStr">
        <is>
          <t>yes</t>
        </is>
      </c>
      <c r="J164" s="84" t="inlineStr">
        <is>
          <t>tertiary eye centers</t>
        </is>
      </c>
      <c r="K164" s="86" t="inlineStr">
        <is>
          <t>middle</t>
        </is>
      </c>
      <c r="L164" s="86" t="inlineStr">
        <is>
          <t>tertiary</t>
        </is>
      </c>
      <c r="M164" s="86" t="inlineStr">
        <is>
          <t>yes</t>
        </is>
      </c>
      <c r="N164" s="86" t="inlineStr">
        <is>
          <t>rdr</t>
        </is>
      </c>
      <c r="O164" s="86" t="inlineStr">
        <is>
          <t>yes</t>
        </is>
      </c>
      <c r="P164" s="86" t="inlineStr">
        <is>
          <t>non-mydriatic</t>
        </is>
      </c>
      <c r="Q164" s="86" t="inlineStr">
        <is>
          <t>desktop</t>
        </is>
      </c>
      <c r="R164" s="84" t="inlineStr">
        <is>
          <t>multiple</t>
        </is>
      </c>
      <c r="S164" s="84" t="inlineStr">
        <is>
          <t>eyepacs_india</t>
        </is>
      </c>
      <c r="T164" s="86" t="inlineStr">
        <is>
          <t>icdr</t>
        </is>
      </c>
      <c r="U164" s="84" t="inlineStr">
        <is>
          <t>PP</t>
        </is>
      </c>
      <c r="V164" s="86" t="inlineStr">
        <is>
          <t>expert panel</t>
        </is>
      </c>
      <c r="W164" s="56" t="inlineStr">
        <is>
          <t>yes</t>
        </is>
      </c>
      <c r="X164" s="86" t="inlineStr">
        <is>
          <t>fundus</t>
        </is>
      </c>
      <c r="Y164" s="86" t="inlineStr">
        <is>
          <t>1</t>
        </is>
      </c>
      <c r="Z164" s="32" t="inlineStr">
        <is>
          <t>yes</t>
        </is>
      </c>
      <c r="AA164" s="58" t="inlineStr">
        <is>
          <t>no</t>
        </is>
      </c>
      <c r="AB164" s="86" t="inlineStr">
        <is>
          <t>no</t>
        </is>
      </c>
      <c r="AC164" s="84" t="inlineStr">
        <is>
          <t>yes</t>
        </is>
      </c>
      <c r="AD164" s="86" t="inlineStr">
        <is>
          <t>NR</t>
        </is>
      </c>
      <c r="AE164" s="86" t="inlineStr">
        <is>
          <t>asia</t>
        </is>
      </c>
      <c r="AF164" s="86" t="inlineStr">
        <is>
          <t>high</t>
        </is>
      </c>
      <c r="AG164" s="86" t="inlineStr">
        <is>
          <t>NR</t>
        </is>
      </c>
      <c r="AH164" s="86" t="n">
        <v>1905</v>
      </c>
      <c r="AI164" s="86" t="n">
        <v>0.336</v>
      </c>
      <c r="AJ164" s="86" t="n">
        <v>640</v>
      </c>
      <c r="AK164" s="86" t="n">
        <v>1265</v>
      </c>
      <c r="AL164" s="86" t="n">
        <v>0.757</v>
      </c>
      <c r="AM164" s="86" t="n">
        <v>0.9419999999999999</v>
      </c>
      <c r="AN164" s="86" t="n">
        <v>484</v>
      </c>
      <c r="AO164" s="86" t="n">
        <v>156</v>
      </c>
      <c r="AP164" s="86" t="n">
        <v>1192</v>
      </c>
      <c r="AQ164" s="86" t="n">
        <v>73</v>
      </c>
    </row>
    <row r="165" ht="16" customHeight="1" s="55">
      <c r="A165" s="88" t="inlineStr">
        <is>
          <t>Gulshan et al. 2019</t>
        </is>
      </c>
      <c r="B165" s="86" t="inlineStr">
        <is>
          <t>Reader</t>
        </is>
      </c>
      <c r="C165" s="86" t="inlineStr">
        <is>
          <t>Retina specialist (site: Aravind)</t>
        </is>
      </c>
      <c r="D165" s="84" t="inlineStr">
        <is>
          <t>retinaspecialist</t>
        </is>
      </c>
      <c r="E165" s="84" t="inlineStr">
        <is>
          <t>human_only</t>
        </is>
      </c>
      <c r="F165" s="86" t="inlineStr">
        <is>
          <t>original</t>
        </is>
      </c>
      <c r="G165" s="86" t="inlineStr">
        <is>
          <t>prospective</t>
        </is>
      </c>
      <c r="H165" s="84" t="inlineStr">
        <is>
          <t>cohort</t>
        </is>
      </c>
      <c r="I165" s="84" t="inlineStr">
        <is>
          <t>yes</t>
        </is>
      </c>
      <c r="J165" s="84" t="inlineStr">
        <is>
          <t>tertiary eye centers</t>
        </is>
      </c>
      <c r="K165" s="86" t="inlineStr">
        <is>
          <t>middle</t>
        </is>
      </c>
      <c r="L165" s="86" t="inlineStr">
        <is>
          <t>tertiary</t>
        </is>
      </c>
      <c r="M165" s="86" t="inlineStr">
        <is>
          <t>yes</t>
        </is>
      </c>
      <c r="N165" s="86" t="inlineStr">
        <is>
          <t>rdr</t>
        </is>
      </c>
      <c r="O165" s="86" t="inlineStr">
        <is>
          <t>yes</t>
        </is>
      </c>
      <c r="P165" s="86" t="inlineStr">
        <is>
          <t>non-mydriatic</t>
        </is>
      </c>
      <c r="Q165" s="86" t="inlineStr">
        <is>
          <t>desktop</t>
        </is>
      </c>
      <c r="R165" s="84" t="inlineStr">
        <is>
          <t>multiple</t>
        </is>
      </c>
      <c r="S165" s="84" t="inlineStr">
        <is>
          <t>eyepacs_india</t>
        </is>
      </c>
      <c r="T165" s="86" t="inlineStr">
        <is>
          <t>icdr</t>
        </is>
      </c>
      <c r="U165" s="84" t="inlineStr">
        <is>
          <t>PP</t>
        </is>
      </c>
      <c r="V165" s="86" t="inlineStr">
        <is>
          <t>expert panel</t>
        </is>
      </c>
      <c r="W165" s="56" t="inlineStr">
        <is>
          <t>yes</t>
        </is>
      </c>
      <c r="X165" s="86" t="inlineStr">
        <is>
          <t>fundus</t>
        </is>
      </c>
      <c r="Y165" s="86" t="inlineStr">
        <is>
          <t>1</t>
        </is>
      </c>
      <c r="Z165" s="32" t="inlineStr">
        <is>
          <t>yes</t>
        </is>
      </c>
      <c r="AA165" s="58" t="inlineStr">
        <is>
          <t>no</t>
        </is>
      </c>
      <c r="AB165" s="86" t="inlineStr">
        <is>
          <t>no</t>
        </is>
      </c>
      <c r="AC165" s="84" t="inlineStr">
        <is>
          <t>yes</t>
        </is>
      </c>
      <c r="AD165" s="86" t="inlineStr">
        <is>
          <t>NR</t>
        </is>
      </c>
      <c r="AE165" s="86" t="inlineStr">
        <is>
          <t>asia</t>
        </is>
      </c>
      <c r="AF165" s="86" t="inlineStr">
        <is>
          <t>high</t>
        </is>
      </c>
      <c r="AG165" s="86" t="inlineStr">
        <is>
          <t>NR</t>
        </is>
      </c>
      <c r="AH165" s="86" t="n">
        <v>1905</v>
      </c>
      <c r="AI165" s="86" t="n">
        <v>0.336</v>
      </c>
      <c r="AJ165" s="86" t="n">
        <v>640</v>
      </c>
      <c r="AK165" s="86" t="n">
        <v>1265</v>
      </c>
      <c r="AL165" s="86" t="n">
        <v>0.898</v>
      </c>
      <c r="AM165" s="86" t="n">
        <v>0.835</v>
      </c>
      <c r="AN165" s="86" t="n">
        <v>575</v>
      </c>
      <c r="AO165" s="86" t="n">
        <v>65</v>
      </c>
      <c r="AP165" s="86" t="n">
        <v>1056</v>
      </c>
      <c r="AQ165" s="86" t="n">
        <v>209</v>
      </c>
    </row>
    <row r="166" ht="16" customHeight="1" s="55">
      <c r="A166" s="88" t="inlineStr">
        <is>
          <t>Gulshan et al. 2019</t>
        </is>
      </c>
      <c r="B166" s="86" t="inlineStr">
        <is>
          <t>DL</t>
        </is>
      </c>
      <c r="C166" s="86" t="inlineStr">
        <is>
          <t>Automated DR system (site: Sankara Nethralaya)</t>
        </is>
      </c>
      <c r="D166" s="84" t="inlineStr">
        <is>
          <t>NR</t>
        </is>
      </c>
      <c r="E166" s="84" t="inlineStr">
        <is>
          <t>ai_only</t>
        </is>
      </c>
      <c r="F166" s="86" t="inlineStr">
        <is>
          <t>original</t>
        </is>
      </c>
      <c r="G166" s="86" t="inlineStr">
        <is>
          <t>prospective</t>
        </is>
      </c>
      <c r="H166" s="84" t="inlineStr">
        <is>
          <t>cohort</t>
        </is>
      </c>
      <c r="I166" s="84" t="inlineStr">
        <is>
          <t>yes</t>
        </is>
      </c>
      <c r="J166" s="84" t="inlineStr">
        <is>
          <t>tertiary eye centers</t>
        </is>
      </c>
      <c r="K166" s="86" t="inlineStr">
        <is>
          <t>middle</t>
        </is>
      </c>
      <c r="L166" s="86" t="inlineStr">
        <is>
          <t>tertiary</t>
        </is>
      </c>
      <c r="M166" s="86" t="inlineStr">
        <is>
          <t>yes</t>
        </is>
      </c>
      <c r="N166" s="86" t="inlineStr">
        <is>
          <t>rdr</t>
        </is>
      </c>
      <c r="O166" s="86" t="inlineStr">
        <is>
          <t>yes</t>
        </is>
      </c>
      <c r="P166" s="86" t="inlineStr">
        <is>
          <t>non-mydriatic</t>
        </is>
      </c>
      <c r="Q166" s="86" t="inlineStr">
        <is>
          <t>desktop</t>
        </is>
      </c>
      <c r="R166" s="84" t="inlineStr">
        <is>
          <t>multiple</t>
        </is>
      </c>
      <c r="S166" s="84" t="inlineStr">
        <is>
          <t>eyepacs_india</t>
        </is>
      </c>
      <c r="T166" s="86" t="inlineStr">
        <is>
          <t>icdr</t>
        </is>
      </c>
      <c r="U166" s="84" t="inlineStr">
        <is>
          <t>PP</t>
        </is>
      </c>
      <c r="V166" s="86" t="inlineStr">
        <is>
          <t>expert panel</t>
        </is>
      </c>
      <c r="W166" s="56" t="inlineStr">
        <is>
          <t>yes</t>
        </is>
      </c>
      <c r="X166" s="86" t="inlineStr">
        <is>
          <t>fundus</t>
        </is>
      </c>
      <c r="Y166" s="86" t="inlineStr">
        <is>
          <t>1</t>
        </is>
      </c>
      <c r="Z166" s="32" t="inlineStr">
        <is>
          <t>yes</t>
        </is>
      </c>
      <c r="AA166" s="58" t="inlineStr">
        <is>
          <t>no</t>
        </is>
      </c>
      <c r="AB166" s="58" t="inlineStr">
        <is>
          <t>no</t>
        </is>
      </c>
      <c r="AC166" s="84" t="inlineStr">
        <is>
          <t>yes</t>
        </is>
      </c>
      <c r="AD166" s="86" t="inlineStr">
        <is>
          <t>Inception</t>
        </is>
      </c>
      <c r="AE166" s="86" t="inlineStr">
        <is>
          <t>asia</t>
        </is>
      </c>
      <c r="AF166" s="86" t="inlineStr">
        <is>
          <t>high</t>
        </is>
      </c>
      <c r="AG166" s="86" t="inlineStr">
        <is>
          <t>NR</t>
        </is>
      </c>
      <c r="AH166" s="86" t="n">
        <v>3747</v>
      </c>
      <c r="AI166" s="86" t="n">
        <v>0.308</v>
      </c>
      <c r="AJ166" s="86" t="n">
        <v>1153</v>
      </c>
      <c r="AK166" s="86" t="n">
        <v>2594</v>
      </c>
      <c r="AL166" s="86" t="n">
        <v>0.921</v>
      </c>
      <c r="AM166" s="86" t="n">
        <v>0.952</v>
      </c>
      <c r="AN166" s="86" t="n">
        <v>1062</v>
      </c>
      <c r="AO166" s="86" t="n">
        <v>91</v>
      </c>
      <c r="AP166" s="86" t="n">
        <v>2469</v>
      </c>
      <c r="AQ166" s="86" t="n">
        <v>125</v>
      </c>
    </row>
    <row r="167" ht="16" customHeight="1" s="55">
      <c r="A167" s="88" t="inlineStr">
        <is>
          <t>Gulshan et al. 2019</t>
        </is>
      </c>
      <c r="B167" s="86" t="inlineStr">
        <is>
          <t>Reader</t>
        </is>
      </c>
      <c r="C167" s="86" t="inlineStr">
        <is>
          <t>Trained grader (site: Sankara Nethralaya)</t>
        </is>
      </c>
      <c r="D167" s="84" t="inlineStr">
        <is>
          <t>trainedgrader</t>
        </is>
      </c>
      <c r="E167" s="84" t="inlineStr">
        <is>
          <t>human_only</t>
        </is>
      </c>
      <c r="F167" s="86" t="inlineStr">
        <is>
          <t>original</t>
        </is>
      </c>
      <c r="G167" s="86" t="inlineStr">
        <is>
          <t>prospective</t>
        </is>
      </c>
      <c r="H167" s="84" t="inlineStr">
        <is>
          <t>cohort</t>
        </is>
      </c>
      <c r="I167" s="84" t="inlineStr">
        <is>
          <t>yes</t>
        </is>
      </c>
      <c r="J167" s="84" t="inlineStr">
        <is>
          <t>tertiary eye centers</t>
        </is>
      </c>
      <c r="K167" s="86" t="inlineStr">
        <is>
          <t>middle</t>
        </is>
      </c>
      <c r="L167" s="86" t="inlineStr">
        <is>
          <t>tertiary</t>
        </is>
      </c>
      <c r="M167" s="86" t="inlineStr">
        <is>
          <t>yes</t>
        </is>
      </c>
      <c r="N167" s="86" t="inlineStr">
        <is>
          <t>rdr</t>
        </is>
      </c>
      <c r="O167" s="86" t="inlineStr">
        <is>
          <t>yes</t>
        </is>
      </c>
      <c r="P167" s="86" t="inlineStr">
        <is>
          <t>non-mydriatic</t>
        </is>
      </c>
      <c r="Q167" s="86" t="inlineStr">
        <is>
          <t>desktop</t>
        </is>
      </c>
      <c r="R167" s="84" t="inlineStr">
        <is>
          <t>multiple</t>
        </is>
      </c>
      <c r="S167" s="84" t="inlineStr">
        <is>
          <t>eyepacs_india</t>
        </is>
      </c>
      <c r="T167" s="86" t="inlineStr">
        <is>
          <t>icdr</t>
        </is>
      </c>
      <c r="U167" s="84" t="inlineStr">
        <is>
          <t>PP</t>
        </is>
      </c>
      <c r="V167" s="86" t="inlineStr">
        <is>
          <t>expert panel</t>
        </is>
      </c>
      <c r="W167" s="56" t="inlineStr">
        <is>
          <t>yes</t>
        </is>
      </c>
      <c r="X167" s="86" t="inlineStr">
        <is>
          <t>fundus</t>
        </is>
      </c>
      <c r="Y167" s="86" t="inlineStr">
        <is>
          <t>1</t>
        </is>
      </c>
      <c r="Z167" s="32" t="inlineStr">
        <is>
          <t>yes</t>
        </is>
      </c>
      <c r="AA167" s="58" t="inlineStr">
        <is>
          <t>no</t>
        </is>
      </c>
      <c r="AB167" s="86" t="inlineStr">
        <is>
          <t>no</t>
        </is>
      </c>
      <c r="AC167" s="84" t="inlineStr">
        <is>
          <t>yes</t>
        </is>
      </c>
      <c r="AD167" s="86" t="inlineStr">
        <is>
          <t>NR</t>
        </is>
      </c>
      <c r="AE167" s="86" t="inlineStr">
        <is>
          <t>asia</t>
        </is>
      </c>
      <c r="AF167" s="86" t="inlineStr">
        <is>
          <t>high</t>
        </is>
      </c>
      <c r="AG167" s="86" t="inlineStr">
        <is>
          <t>NR</t>
        </is>
      </c>
      <c r="AH167" s="86" t="n">
        <v>3747</v>
      </c>
      <c r="AI167" s="86" t="n">
        <v>0.308</v>
      </c>
      <c r="AJ167" s="86" t="n">
        <v>1153</v>
      </c>
      <c r="AK167" s="86" t="n">
        <v>2594</v>
      </c>
      <c r="AL167" s="86" t="n">
        <v>0.842</v>
      </c>
      <c r="AM167" s="86" t="n">
        <v>0.986</v>
      </c>
      <c r="AN167" s="86" t="n">
        <v>971</v>
      </c>
      <c r="AO167" s="86" t="n">
        <v>182</v>
      </c>
      <c r="AP167" s="86" t="n">
        <v>2558</v>
      </c>
      <c r="AQ167" s="86" t="n">
        <v>36</v>
      </c>
    </row>
    <row r="168" ht="16" customHeight="1" s="55">
      <c r="A168" s="88" t="inlineStr">
        <is>
          <t>Gulshan et al. 2019</t>
        </is>
      </c>
      <c r="B168" s="86" t="inlineStr">
        <is>
          <t>Reader</t>
        </is>
      </c>
      <c r="C168" s="86" t="inlineStr">
        <is>
          <t>Retina specialist (site: Sankara Nethralaya)</t>
        </is>
      </c>
      <c r="D168" s="84" t="inlineStr">
        <is>
          <t>retinaspecialist</t>
        </is>
      </c>
      <c r="E168" s="84" t="inlineStr">
        <is>
          <t>human_only</t>
        </is>
      </c>
      <c r="F168" s="86" t="inlineStr">
        <is>
          <t>original</t>
        </is>
      </c>
      <c r="G168" s="86" t="inlineStr">
        <is>
          <t>prospective</t>
        </is>
      </c>
      <c r="H168" s="84" t="inlineStr">
        <is>
          <t>cohort</t>
        </is>
      </c>
      <c r="I168" s="84" t="inlineStr">
        <is>
          <t>yes</t>
        </is>
      </c>
      <c r="J168" s="84" t="inlineStr">
        <is>
          <t>tertiary eye centers</t>
        </is>
      </c>
      <c r="K168" s="86" t="inlineStr">
        <is>
          <t>middle</t>
        </is>
      </c>
      <c r="L168" s="86" t="inlineStr">
        <is>
          <t>tertiary</t>
        </is>
      </c>
      <c r="M168" s="86" t="inlineStr">
        <is>
          <t>yes</t>
        </is>
      </c>
      <c r="N168" s="86" t="inlineStr">
        <is>
          <t>rdr</t>
        </is>
      </c>
      <c r="O168" s="86" t="inlineStr">
        <is>
          <t>yes</t>
        </is>
      </c>
      <c r="P168" s="86" t="inlineStr">
        <is>
          <t>non-mydriatic</t>
        </is>
      </c>
      <c r="Q168" s="86" t="inlineStr">
        <is>
          <t>desktop</t>
        </is>
      </c>
      <c r="R168" s="84" t="inlineStr">
        <is>
          <t>multiple</t>
        </is>
      </c>
      <c r="S168" s="84" t="inlineStr">
        <is>
          <t>eyepacs_india</t>
        </is>
      </c>
      <c r="T168" s="86" t="inlineStr">
        <is>
          <t>icdr</t>
        </is>
      </c>
      <c r="U168" s="84" t="inlineStr">
        <is>
          <t>PP</t>
        </is>
      </c>
      <c r="V168" s="86" t="inlineStr">
        <is>
          <t>expert panel</t>
        </is>
      </c>
      <c r="W168" s="56" t="inlineStr">
        <is>
          <t>yes</t>
        </is>
      </c>
      <c r="X168" s="86" t="inlineStr">
        <is>
          <t>fundus</t>
        </is>
      </c>
      <c r="Y168" s="86" t="inlineStr">
        <is>
          <t>1</t>
        </is>
      </c>
      <c r="Z168" s="32" t="inlineStr">
        <is>
          <t>yes</t>
        </is>
      </c>
      <c r="AA168" s="58" t="inlineStr">
        <is>
          <t>no</t>
        </is>
      </c>
      <c r="AB168" s="86" t="inlineStr">
        <is>
          <t>no</t>
        </is>
      </c>
      <c r="AC168" s="84" t="inlineStr">
        <is>
          <t>yes</t>
        </is>
      </c>
      <c r="AD168" s="86" t="inlineStr">
        <is>
          <t>NR</t>
        </is>
      </c>
      <c r="AE168" s="86" t="inlineStr">
        <is>
          <t>asia</t>
        </is>
      </c>
      <c r="AF168" s="86" t="inlineStr">
        <is>
          <t>high</t>
        </is>
      </c>
      <c r="AG168" s="86" t="inlineStr">
        <is>
          <t>NR</t>
        </is>
      </c>
      <c r="AH168" s="86" t="n">
        <v>3747</v>
      </c>
      <c r="AI168" s="86" t="n">
        <v>0.308</v>
      </c>
      <c r="AJ168" s="86" t="n">
        <v>1153</v>
      </c>
      <c r="AK168" s="86" t="n">
        <v>2594</v>
      </c>
      <c r="AL168" s="86" t="n">
        <v>0.734</v>
      </c>
      <c r="AM168" s="86" t="n">
        <v>0.987</v>
      </c>
      <c r="AN168" s="86" t="n">
        <v>846</v>
      </c>
      <c r="AO168" s="86" t="n">
        <v>307</v>
      </c>
      <c r="AP168" s="86" t="n">
        <v>2560</v>
      </c>
      <c r="AQ168" s="86" t="n">
        <v>34</v>
      </c>
    </row>
    <row r="169" ht="16" customHeight="1" s="55">
      <c r="A169" s="88" t="inlineStr">
        <is>
          <t>Qian et al. 2022</t>
        </is>
      </c>
      <c r="B169" s="86" t="inlineStr">
        <is>
          <t>DL</t>
        </is>
      </c>
      <c r="C169" s="86" t="inlineStr">
        <is>
          <t>Automated DR grading system — referable DR (moderate-or-worse)</t>
        </is>
      </c>
      <c r="D169" s="84" t="inlineStr">
        <is>
          <t>NR</t>
        </is>
      </c>
      <c r="E169" s="84" t="inlineStr">
        <is>
          <t>ai_only</t>
        </is>
      </c>
      <c r="F169" s="86" t="inlineStr">
        <is>
          <t>original</t>
        </is>
      </c>
      <c r="G169" s="86" t="inlineStr">
        <is>
          <t>retrospective</t>
        </is>
      </c>
      <c r="H169" s="84" t="inlineStr">
        <is>
          <t>cross-sectional</t>
        </is>
      </c>
      <c r="I169" s="84" t="inlineStr">
        <is>
          <t>no</t>
        </is>
      </c>
      <c r="J169" s="84" t="inlineStr">
        <is>
          <t>university hospital</t>
        </is>
      </c>
      <c r="K169" s="86" t="inlineStr">
        <is>
          <t>middle</t>
        </is>
      </c>
      <c r="L169" s="86" t="inlineStr">
        <is>
          <t>tertiary</t>
        </is>
      </c>
      <c r="M169" s="86" t="inlineStr">
        <is>
          <t>no</t>
        </is>
      </c>
      <c r="N169" s="86" t="inlineStr">
        <is>
          <t>rdr</t>
        </is>
      </c>
      <c r="O169" s="86" t="inlineStr">
        <is>
          <t>no</t>
        </is>
      </c>
      <c r="P169" s="86" t="inlineStr">
        <is>
          <t>non-mydriatic</t>
        </is>
      </c>
      <c r="Q169" s="86" t="inlineStr">
        <is>
          <t>desktop</t>
        </is>
      </c>
      <c r="R169" s="84" t="inlineStr">
        <is>
          <t>single</t>
        </is>
      </c>
      <c r="S169" s="84" t="inlineStr">
        <is>
          <t>qian_2022</t>
        </is>
      </c>
      <c r="T169" s="86" t="inlineStr">
        <is>
          <t>icdr</t>
        </is>
      </c>
      <c r="U169" s="84" t="inlineStr">
        <is>
          <t>PP</t>
        </is>
      </c>
      <c r="V169" s="86" t="inlineStr">
        <is>
          <t>expert panel</t>
        </is>
      </c>
      <c r="W169" s="86" t="inlineStr">
        <is>
          <t>yes</t>
        </is>
      </c>
      <c r="X169" s="86" t="inlineStr">
        <is>
          <t>fundus</t>
        </is>
      </c>
      <c r="Y169" s="86" t="inlineStr">
        <is>
          <t>1</t>
        </is>
      </c>
      <c r="Z169" s="86" t="inlineStr">
        <is>
          <t>no</t>
        </is>
      </c>
      <c r="AA169" s="58" t="inlineStr">
        <is>
          <t>no</t>
        </is>
      </c>
      <c r="AB169" s="58" t="inlineStr">
        <is>
          <t>no</t>
        </is>
      </c>
      <c r="AC169" s="84" t="inlineStr">
        <is>
          <t>no</t>
        </is>
      </c>
      <c r="AD169" s="86" t="inlineStr">
        <is>
          <t>ResNet</t>
        </is>
      </c>
      <c r="AE169" s="86" t="inlineStr">
        <is>
          <t>asia</t>
        </is>
      </c>
      <c r="AF169" s="56" t="inlineStr">
        <is>
          <t>high</t>
        </is>
      </c>
      <c r="AG169" s="56" t="inlineStr">
        <is>
          <t>high</t>
        </is>
      </c>
      <c r="AH169" s="86" t="n">
        <v>2766</v>
      </c>
      <c r="AI169" s="86" t="n">
        <v>0.245</v>
      </c>
      <c r="AJ169" s="86" t="n">
        <v>679</v>
      </c>
      <c r="AK169" s="86" t="n">
        <v>2087</v>
      </c>
      <c r="AL169" s="86" t="n">
        <v>0.965</v>
      </c>
      <c r="AM169" s="86" t="n">
        <v>0.966</v>
      </c>
      <c r="AN169" s="86" t="n">
        <v>655</v>
      </c>
      <c r="AO169" s="86" t="n">
        <v>24</v>
      </c>
      <c r="AP169" s="86" t="n">
        <v>2015</v>
      </c>
      <c r="AQ169" s="86" t="n">
        <v>72</v>
      </c>
    </row>
    <row r="170" ht="16" customHeight="1" s="55">
      <c r="A170" s="88" t="inlineStr">
        <is>
          <t>Qian et al. 2022</t>
        </is>
      </c>
      <c r="B170" s="86" t="inlineStr">
        <is>
          <t>Reader</t>
        </is>
      </c>
      <c r="C170" s="86" t="inlineStr">
        <is>
          <t>Junior resident (w/o AI assistance) — referable DR (reconstructed)</t>
        </is>
      </c>
      <c r="D170" s="84" t="inlineStr">
        <is>
          <t>ophthalmologist</t>
        </is>
      </c>
      <c r="E170" s="84" t="inlineStr">
        <is>
          <t>human_only</t>
        </is>
      </c>
      <c r="F170" s="86" t="inlineStr">
        <is>
          <t>original</t>
        </is>
      </c>
      <c r="G170" s="86" t="inlineStr">
        <is>
          <t>retrospective</t>
        </is>
      </c>
      <c r="H170" s="84" t="inlineStr">
        <is>
          <t>cross-sectional</t>
        </is>
      </c>
      <c r="I170" s="84" t="inlineStr">
        <is>
          <t>no</t>
        </is>
      </c>
      <c r="J170" s="84" t="inlineStr">
        <is>
          <t>university hospital</t>
        </is>
      </c>
      <c r="K170" s="86" t="inlineStr">
        <is>
          <t>middle</t>
        </is>
      </c>
      <c r="L170" s="86" t="inlineStr">
        <is>
          <t>tertiary</t>
        </is>
      </c>
      <c r="M170" s="86" t="inlineStr">
        <is>
          <t>no</t>
        </is>
      </c>
      <c r="N170" s="86" t="inlineStr">
        <is>
          <t>rdr</t>
        </is>
      </c>
      <c r="O170" s="86" t="inlineStr">
        <is>
          <t>no</t>
        </is>
      </c>
      <c r="P170" s="86" t="inlineStr">
        <is>
          <t>non-mydriatic</t>
        </is>
      </c>
      <c r="Q170" s="86" t="inlineStr">
        <is>
          <t>desktop</t>
        </is>
      </c>
      <c r="R170" s="84" t="inlineStr">
        <is>
          <t>single</t>
        </is>
      </c>
      <c r="S170" s="84" t="inlineStr">
        <is>
          <t>qian_2022</t>
        </is>
      </c>
      <c r="T170" s="86" t="inlineStr">
        <is>
          <t>icdr</t>
        </is>
      </c>
      <c r="U170" s="84" t="inlineStr">
        <is>
          <t>PP</t>
        </is>
      </c>
      <c r="V170" s="86" t="inlineStr">
        <is>
          <t>expert panel</t>
        </is>
      </c>
      <c r="W170" s="56" t="inlineStr">
        <is>
          <t>yes</t>
        </is>
      </c>
      <c r="X170" s="86" t="inlineStr">
        <is>
          <t>fundus</t>
        </is>
      </c>
      <c r="Y170" s="86" t="inlineStr">
        <is>
          <t>1</t>
        </is>
      </c>
      <c r="Z170" s="86" t="inlineStr">
        <is>
          <t>no</t>
        </is>
      </c>
      <c r="AA170" s="58" t="inlineStr">
        <is>
          <t>no</t>
        </is>
      </c>
      <c r="AB170" s="86" t="inlineStr">
        <is>
          <t>no</t>
        </is>
      </c>
      <c r="AC170" s="84" t="inlineStr">
        <is>
          <t>no</t>
        </is>
      </c>
      <c r="AD170" s="86" t="inlineStr">
        <is>
          <t>NR</t>
        </is>
      </c>
      <c r="AE170" s="86" t="inlineStr">
        <is>
          <t>asia</t>
        </is>
      </c>
      <c r="AF170" s="56" t="inlineStr">
        <is>
          <t>high</t>
        </is>
      </c>
      <c r="AG170" s="56" t="inlineStr">
        <is>
          <t>high</t>
        </is>
      </c>
      <c r="AH170" s="86" t="n">
        <v>2766</v>
      </c>
      <c r="AI170" s="86" t="n">
        <v>0.245</v>
      </c>
      <c r="AJ170" s="86" t="n">
        <v>679</v>
      </c>
      <c r="AK170" s="86" t="n">
        <v>2087</v>
      </c>
      <c r="AL170" s="86" t="n">
        <v>0.91</v>
      </c>
      <c r="AM170" s="86" t="n">
        <v>0.993</v>
      </c>
      <c r="AN170" s="86" t="n">
        <v>618</v>
      </c>
      <c r="AO170" s="86" t="n">
        <v>61</v>
      </c>
      <c r="AP170" s="86" t="n">
        <v>2072</v>
      </c>
      <c r="AQ170" s="86" t="n">
        <v>15</v>
      </c>
    </row>
    <row r="171" ht="16" customHeight="1" s="55">
      <c r="A171" s="88" t="inlineStr">
        <is>
          <t>Qian et al. 2022</t>
        </is>
      </c>
      <c r="B171" s="86" t="inlineStr">
        <is>
          <t>DL_assisted_reader</t>
        </is>
      </c>
      <c r="C171" s="86" t="inlineStr">
        <is>
          <t>Junior resident (with AI assistance) — referable DR (reconstructed)</t>
        </is>
      </c>
      <c r="D171" s="84" t="inlineStr">
        <is>
          <t>ophthalmologist</t>
        </is>
      </c>
      <c r="E171" s="84" t="inlineStr">
        <is>
          <t>human_with_ai</t>
        </is>
      </c>
      <c r="F171" s="86" t="inlineStr">
        <is>
          <t>original</t>
        </is>
      </c>
      <c r="G171" s="86" t="inlineStr">
        <is>
          <t>retrospective</t>
        </is>
      </c>
      <c r="H171" s="84" t="inlineStr">
        <is>
          <t>cross-sectional</t>
        </is>
      </c>
      <c r="I171" s="84" t="inlineStr">
        <is>
          <t>no</t>
        </is>
      </c>
      <c r="J171" s="84" t="inlineStr">
        <is>
          <t>university hospital</t>
        </is>
      </c>
      <c r="K171" s="86" t="inlineStr">
        <is>
          <t>middle</t>
        </is>
      </c>
      <c r="L171" s="86" t="inlineStr">
        <is>
          <t>tertiary</t>
        </is>
      </c>
      <c r="M171" s="86" t="inlineStr">
        <is>
          <t>no</t>
        </is>
      </c>
      <c r="N171" s="86" t="inlineStr">
        <is>
          <t>rdr</t>
        </is>
      </c>
      <c r="O171" s="86" t="inlineStr">
        <is>
          <t>no</t>
        </is>
      </c>
      <c r="P171" s="86" t="inlineStr">
        <is>
          <t>non-mydriatic</t>
        </is>
      </c>
      <c r="Q171" s="86" t="inlineStr">
        <is>
          <t>desktop</t>
        </is>
      </c>
      <c r="R171" s="84" t="inlineStr">
        <is>
          <t>single</t>
        </is>
      </c>
      <c r="S171" s="84" t="inlineStr">
        <is>
          <t>qian_2022</t>
        </is>
      </c>
      <c r="T171" s="86" t="inlineStr">
        <is>
          <t>icdr</t>
        </is>
      </c>
      <c r="U171" s="84" t="inlineStr">
        <is>
          <t>PP</t>
        </is>
      </c>
      <c r="V171" s="86" t="inlineStr">
        <is>
          <t>expert panel</t>
        </is>
      </c>
      <c r="W171" s="56" t="inlineStr">
        <is>
          <t>yes</t>
        </is>
      </c>
      <c r="X171" s="86" t="inlineStr">
        <is>
          <t>fundus</t>
        </is>
      </c>
      <c r="Y171" s="86" t="inlineStr">
        <is>
          <t>1</t>
        </is>
      </c>
      <c r="Z171" s="86" t="inlineStr">
        <is>
          <t>no</t>
        </is>
      </c>
      <c r="AA171" s="58" t="inlineStr">
        <is>
          <t>no</t>
        </is>
      </c>
      <c r="AB171" s="86" t="inlineStr">
        <is>
          <t>no</t>
        </is>
      </c>
      <c r="AC171" s="84" t="inlineStr">
        <is>
          <t>no</t>
        </is>
      </c>
      <c r="AD171" s="86" t="inlineStr">
        <is>
          <t>AI-assisted</t>
        </is>
      </c>
      <c r="AE171" s="86" t="inlineStr">
        <is>
          <t>asia</t>
        </is>
      </c>
      <c r="AF171" s="56" t="inlineStr">
        <is>
          <t>high</t>
        </is>
      </c>
      <c r="AG171" s="56" t="inlineStr">
        <is>
          <t>high</t>
        </is>
      </c>
      <c r="AH171" s="86" t="n">
        <v>2766</v>
      </c>
      <c r="AI171" s="86" t="n">
        <v>0.245</v>
      </c>
      <c r="AJ171" s="86" t="n">
        <v>679</v>
      </c>
      <c r="AK171" s="86" t="n">
        <v>2087</v>
      </c>
      <c r="AL171" s="86" t="n">
        <v>0.972</v>
      </c>
      <c r="AM171" s="86" t="n">
        <v>0.994</v>
      </c>
      <c r="AN171" s="86" t="n">
        <v>660</v>
      </c>
      <c r="AO171" s="86" t="n">
        <v>19</v>
      </c>
      <c r="AP171" s="86" t="n">
        <v>2074</v>
      </c>
      <c r="AQ171" s="86" t="n">
        <v>13</v>
      </c>
    </row>
    <row r="172" ht="16" customHeight="1" s="55">
      <c r="A172" s="88" t="inlineStr">
        <is>
          <t>Qian et al. 2022</t>
        </is>
      </c>
      <c r="B172" s="86" t="inlineStr">
        <is>
          <t>Reader</t>
        </is>
      </c>
      <c r="C172" s="86" t="inlineStr">
        <is>
          <t>Medical student (w/o AI assistance) — referable DR (reconstructed)</t>
        </is>
      </c>
      <c r="D172" s="84" t="inlineStr">
        <is>
          <t>physician</t>
        </is>
      </c>
      <c r="E172" s="84" t="inlineStr">
        <is>
          <t>human_only</t>
        </is>
      </c>
      <c r="F172" s="86" t="inlineStr">
        <is>
          <t>original</t>
        </is>
      </c>
      <c r="G172" s="86" t="inlineStr">
        <is>
          <t>retrospective</t>
        </is>
      </c>
      <c r="H172" s="84" t="inlineStr">
        <is>
          <t>cross-sectional</t>
        </is>
      </c>
      <c r="I172" s="84" t="inlineStr">
        <is>
          <t>no</t>
        </is>
      </c>
      <c r="J172" s="84" t="inlineStr">
        <is>
          <t>university hospital</t>
        </is>
      </c>
      <c r="K172" s="86" t="inlineStr">
        <is>
          <t>middle</t>
        </is>
      </c>
      <c r="L172" s="86" t="inlineStr">
        <is>
          <t>tertiary</t>
        </is>
      </c>
      <c r="M172" s="86" t="inlineStr">
        <is>
          <t>no</t>
        </is>
      </c>
      <c r="N172" s="86" t="inlineStr">
        <is>
          <t>rdr</t>
        </is>
      </c>
      <c r="O172" s="86" t="inlineStr">
        <is>
          <t>no</t>
        </is>
      </c>
      <c r="P172" s="86" t="inlineStr">
        <is>
          <t>non-mydriatic</t>
        </is>
      </c>
      <c r="Q172" s="86" t="inlineStr">
        <is>
          <t>desktop</t>
        </is>
      </c>
      <c r="R172" s="84" t="inlineStr">
        <is>
          <t>single</t>
        </is>
      </c>
      <c r="S172" s="84" t="inlineStr">
        <is>
          <t>qian_2022</t>
        </is>
      </c>
      <c r="T172" s="86" t="inlineStr">
        <is>
          <t>icdr</t>
        </is>
      </c>
      <c r="U172" s="84" t="inlineStr">
        <is>
          <t>PP</t>
        </is>
      </c>
      <c r="V172" s="86" t="inlineStr">
        <is>
          <t>expert panel</t>
        </is>
      </c>
      <c r="W172" s="56" t="inlineStr">
        <is>
          <t>yes</t>
        </is>
      </c>
      <c r="X172" s="86" t="inlineStr">
        <is>
          <t>fundus</t>
        </is>
      </c>
      <c r="Y172" s="86" t="inlineStr">
        <is>
          <t>1</t>
        </is>
      </c>
      <c r="Z172" s="86" t="inlineStr">
        <is>
          <t>no</t>
        </is>
      </c>
      <c r="AA172" s="58" t="inlineStr">
        <is>
          <t>no</t>
        </is>
      </c>
      <c r="AB172" s="86" t="inlineStr">
        <is>
          <t>no</t>
        </is>
      </c>
      <c r="AC172" s="84" t="inlineStr">
        <is>
          <t>no</t>
        </is>
      </c>
      <c r="AD172" s="86" t="inlineStr">
        <is>
          <t>NR</t>
        </is>
      </c>
      <c r="AE172" s="86" t="inlineStr">
        <is>
          <t>asia</t>
        </is>
      </c>
      <c r="AF172" s="56" t="inlineStr">
        <is>
          <t>high</t>
        </is>
      </c>
      <c r="AG172" s="56" t="inlineStr">
        <is>
          <t>high</t>
        </is>
      </c>
      <c r="AH172" s="86" t="n">
        <v>2766</v>
      </c>
      <c r="AI172" s="86" t="n">
        <v>0.245</v>
      </c>
      <c r="AJ172" s="86" t="n">
        <v>679</v>
      </c>
      <c r="AK172" s="86" t="n">
        <v>2087</v>
      </c>
      <c r="AL172" s="86" t="n">
        <v>0.838</v>
      </c>
      <c r="AM172" s="86" t="n">
        <v>0.921</v>
      </c>
      <c r="AN172" s="86" t="n">
        <v>569</v>
      </c>
      <c r="AO172" s="86" t="n">
        <v>110</v>
      </c>
      <c r="AP172" s="86" t="n">
        <v>1922</v>
      </c>
      <c r="AQ172" s="86" t="n">
        <v>165</v>
      </c>
    </row>
    <row r="173" ht="16" customHeight="1" s="55">
      <c r="A173" s="88" t="inlineStr">
        <is>
          <t>Qian et al. 2022</t>
        </is>
      </c>
      <c r="B173" s="86" t="inlineStr">
        <is>
          <t>DL_assisted_reader</t>
        </is>
      </c>
      <c r="C173" s="86" t="inlineStr">
        <is>
          <t>Medical student (with AI assistance) — referable DR (reconstructed)</t>
        </is>
      </c>
      <c r="D173" s="84" t="inlineStr">
        <is>
          <t>physician</t>
        </is>
      </c>
      <c r="E173" s="84" t="inlineStr">
        <is>
          <t>human_with_ai</t>
        </is>
      </c>
      <c r="F173" s="86" t="inlineStr">
        <is>
          <t>original</t>
        </is>
      </c>
      <c r="G173" s="86" t="inlineStr">
        <is>
          <t>retrospective</t>
        </is>
      </c>
      <c r="H173" s="84" t="inlineStr">
        <is>
          <t>cross-sectional</t>
        </is>
      </c>
      <c r="I173" s="84" t="inlineStr">
        <is>
          <t>no</t>
        </is>
      </c>
      <c r="J173" s="84" t="inlineStr">
        <is>
          <t>university hospital</t>
        </is>
      </c>
      <c r="K173" s="86" t="inlineStr">
        <is>
          <t>middle</t>
        </is>
      </c>
      <c r="L173" s="86" t="inlineStr">
        <is>
          <t>tertiary</t>
        </is>
      </c>
      <c r="M173" s="86" t="inlineStr">
        <is>
          <t>no</t>
        </is>
      </c>
      <c r="N173" s="86" t="inlineStr">
        <is>
          <t>rdr</t>
        </is>
      </c>
      <c r="O173" s="86" t="inlineStr">
        <is>
          <t>no</t>
        </is>
      </c>
      <c r="P173" s="86" t="inlineStr">
        <is>
          <t>non-mydriatic</t>
        </is>
      </c>
      <c r="Q173" s="86" t="inlineStr">
        <is>
          <t>desktop</t>
        </is>
      </c>
      <c r="R173" s="84" t="inlineStr">
        <is>
          <t>single</t>
        </is>
      </c>
      <c r="S173" s="84" t="inlineStr">
        <is>
          <t>qian_2022</t>
        </is>
      </c>
      <c r="T173" s="86" t="inlineStr">
        <is>
          <t>icdr</t>
        </is>
      </c>
      <c r="U173" s="84" t="inlineStr">
        <is>
          <t>PP</t>
        </is>
      </c>
      <c r="V173" s="86" t="inlineStr">
        <is>
          <t>expert panel</t>
        </is>
      </c>
      <c r="W173" s="56" t="inlineStr">
        <is>
          <t>yes</t>
        </is>
      </c>
      <c r="X173" s="86" t="inlineStr">
        <is>
          <t>fundus</t>
        </is>
      </c>
      <c r="Y173" s="86" t="inlineStr">
        <is>
          <t>1</t>
        </is>
      </c>
      <c r="Z173" s="86" t="inlineStr">
        <is>
          <t>no</t>
        </is>
      </c>
      <c r="AA173" s="58" t="inlineStr">
        <is>
          <t>no</t>
        </is>
      </c>
      <c r="AB173" s="86" t="inlineStr">
        <is>
          <t>no</t>
        </is>
      </c>
      <c r="AC173" s="84" t="inlineStr">
        <is>
          <t>no</t>
        </is>
      </c>
      <c r="AD173" s="86" t="inlineStr">
        <is>
          <t>AI-assisted</t>
        </is>
      </c>
      <c r="AE173" s="86" t="inlineStr">
        <is>
          <t>asia</t>
        </is>
      </c>
      <c r="AF173" s="56" t="inlineStr">
        <is>
          <t>high</t>
        </is>
      </c>
      <c r="AG173" s="56" t="inlineStr">
        <is>
          <t>high</t>
        </is>
      </c>
      <c r="AH173" s="86" t="n">
        <v>2766</v>
      </c>
      <c r="AI173" s="86" t="n">
        <v>0.245</v>
      </c>
      <c r="AJ173" s="86" t="n">
        <v>679</v>
      </c>
      <c r="AK173" s="86" t="n">
        <v>2087</v>
      </c>
      <c r="AL173" s="86" t="n">
        <v>0.976</v>
      </c>
      <c r="AM173" s="86" t="n">
        <v>0.946</v>
      </c>
      <c r="AN173" s="86" t="n">
        <v>663</v>
      </c>
      <c r="AO173" s="86" t="n">
        <v>16</v>
      </c>
      <c r="AP173" s="86" t="n">
        <v>1974</v>
      </c>
      <c r="AQ173" s="86" t="n">
        <v>113</v>
      </c>
    </row>
    <row r="174" ht="16" customHeight="1" s="55">
      <c r="A174" s="88" t="inlineStr">
        <is>
          <t>Fleming et al. 2024</t>
        </is>
      </c>
      <c r="B174" s="86" t="inlineStr">
        <is>
          <t>Reader</t>
        </is>
      </c>
      <c r="C174" s="86" t="inlineStr">
        <is>
          <t>DES final grade (QA set) — ungradable OR any disease</t>
        </is>
      </c>
      <c r="D174" s="84" t="inlineStr">
        <is>
          <t>trainedgrader</t>
        </is>
      </c>
      <c r="E174" s="84" t="inlineStr">
        <is>
          <t>human_only</t>
        </is>
      </c>
      <c r="F174" s="86" t="inlineStr">
        <is>
          <t>original</t>
        </is>
      </c>
      <c r="G174" s="86" t="inlineStr">
        <is>
          <t>retrospective</t>
        </is>
      </c>
      <c r="H174" s="84" t="inlineStr">
        <is>
          <t>cross-sectional</t>
        </is>
      </c>
      <c r="I174" s="84" t="inlineStr">
        <is>
          <t>yes</t>
        </is>
      </c>
      <c r="J174" s="84" t="inlineStr">
        <is>
          <t>national screening programme</t>
        </is>
      </c>
      <c r="K174" s="86" t="inlineStr">
        <is>
          <t>high</t>
        </is>
      </c>
      <c r="L174" s="86" t="inlineStr">
        <is>
          <t>mixed</t>
        </is>
      </c>
      <c r="M174" s="86" t="inlineStr">
        <is>
          <t>yes</t>
        </is>
      </c>
      <c r="N174" s="86" t="inlineStr">
        <is>
          <t>any dr</t>
        </is>
      </c>
      <c r="O174" s="86" t="inlineStr">
        <is>
          <t>no</t>
        </is>
      </c>
      <c r="P174" s="86" t="inlineStr">
        <is>
          <t>mixed</t>
        </is>
      </c>
      <c r="Q174" s="86" t="inlineStr">
        <is>
          <t>desktop</t>
        </is>
      </c>
      <c r="R174" s="84" t="inlineStr">
        <is>
          <t>NR</t>
        </is>
      </c>
      <c r="S174" s="84" t="inlineStr">
        <is>
          <t>fleming_2024</t>
        </is>
      </c>
      <c r="T174" s="86" t="inlineStr">
        <is>
          <t>other</t>
        </is>
      </c>
      <c r="U174" s="84" t="inlineStr">
        <is>
          <t>ITT</t>
        </is>
      </c>
      <c r="V174" s="86" t="inlineStr">
        <is>
          <t>reading center</t>
        </is>
      </c>
      <c r="W174" s="56" t="inlineStr">
        <is>
          <t>no</t>
        </is>
      </c>
      <c r="X174" s="86" t="inlineStr">
        <is>
          <t>fundus</t>
        </is>
      </c>
      <c r="Y174" s="86" t="inlineStr">
        <is>
          <t>1</t>
        </is>
      </c>
      <c r="Z174" s="32" t="inlineStr">
        <is>
          <t>no</t>
        </is>
      </c>
      <c r="AA174" s="86" t="inlineStr">
        <is>
          <t>no</t>
        </is>
      </c>
      <c r="AB174" s="86" t="inlineStr">
        <is>
          <t>no</t>
        </is>
      </c>
      <c r="AC174" s="84" t="inlineStr">
        <is>
          <t>NR</t>
        </is>
      </c>
      <c r="AD174" s="86" t="inlineStr">
        <is>
          <t>NR</t>
        </is>
      </c>
      <c r="AE174" s="86" t="inlineStr">
        <is>
          <t>europe</t>
        </is>
      </c>
      <c r="AF174" s="86" t="inlineStr">
        <is>
          <t>NR</t>
        </is>
      </c>
      <c r="AG174" s="86" t="inlineStr">
        <is>
          <t>NR</t>
        </is>
      </c>
      <c r="AH174" s="86" t="n">
        <v>743</v>
      </c>
      <c r="AI174" s="86" t="inlineStr">
        <is>
          <t>NR</t>
        </is>
      </c>
      <c r="AJ174" s="86" t="n">
        <v>583</v>
      </c>
      <c r="AK174" s="86" t="n">
        <v>160</v>
      </c>
      <c r="AL174" s="86" t="n">
        <v>0.928</v>
      </c>
      <c r="AM174" s="86" t="n">
        <v>0.9</v>
      </c>
      <c r="AN174" s="86" t="n">
        <v>541</v>
      </c>
      <c r="AO174" s="86" t="n">
        <v>42</v>
      </c>
      <c r="AP174" s="86" t="n">
        <v>144</v>
      </c>
      <c r="AQ174" s="86" t="n">
        <v>16</v>
      </c>
    </row>
    <row r="175" ht="16" customHeight="1" s="55">
      <c r="A175" s="88" t="inlineStr">
        <is>
          <t>Fleming et al. 2024</t>
        </is>
      </c>
      <c r="B175" s="86" t="inlineStr">
        <is>
          <t>DL</t>
        </is>
      </c>
      <c r="C175" s="86" t="inlineStr">
        <is>
          <t>DLAG sens @ same spec as DES final grade</t>
        </is>
      </c>
      <c r="D175" s="84" t="inlineStr">
        <is>
          <t>trainedgrader</t>
        </is>
      </c>
      <c r="E175" s="84" t="inlineStr">
        <is>
          <t>ai_only</t>
        </is>
      </c>
      <c r="F175" s="86" t="inlineStr">
        <is>
          <t>original</t>
        </is>
      </c>
      <c r="G175" s="86" t="inlineStr">
        <is>
          <t>retrospective</t>
        </is>
      </c>
      <c r="H175" s="84" t="inlineStr">
        <is>
          <t>cross-sectional</t>
        </is>
      </c>
      <c r="I175" s="84" t="inlineStr">
        <is>
          <t>yes</t>
        </is>
      </c>
      <c r="J175" s="84" t="inlineStr">
        <is>
          <t>national screening programme</t>
        </is>
      </c>
      <c r="K175" s="86" t="inlineStr">
        <is>
          <t>high</t>
        </is>
      </c>
      <c r="L175" s="86" t="inlineStr">
        <is>
          <t>mixed</t>
        </is>
      </c>
      <c r="M175" s="86" t="inlineStr">
        <is>
          <t>yes</t>
        </is>
      </c>
      <c r="N175" s="86" t="inlineStr">
        <is>
          <t>any dr</t>
        </is>
      </c>
      <c r="O175" s="86" t="inlineStr">
        <is>
          <t>no</t>
        </is>
      </c>
      <c r="P175" s="86" t="inlineStr">
        <is>
          <t>mixed</t>
        </is>
      </c>
      <c r="Q175" s="86" t="inlineStr">
        <is>
          <t>desktop</t>
        </is>
      </c>
      <c r="R175" s="84" t="inlineStr">
        <is>
          <t>NR</t>
        </is>
      </c>
      <c r="S175" s="84" t="inlineStr">
        <is>
          <t>fleming_2024</t>
        </is>
      </c>
      <c r="T175" s="86" t="inlineStr">
        <is>
          <t>other</t>
        </is>
      </c>
      <c r="U175" s="84" t="inlineStr">
        <is>
          <t>ITT</t>
        </is>
      </c>
      <c r="V175" s="86" t="inlineStr">
        <is>
          <t>reading center</t>
        </is>
      </c>
      <c r="W175" s="56" t="inlineStr">
        <is>
          <t>no</t>
        </is>
      </c>
      <c r="X175" s="86" t="inlineStr">
        <is>
          <t>fundus</t>
        </is>
      </c>
      <c r="Y175" s="86" t="inlineStr">
        <is>
          <t>1</t>
        </is>
      </c>
      <c r="Z175" s="32" t="inlineStr">
        <is>
          <t>no</t>
        </is>
      </c>
      <c r="AA175" s="86" t="inlineStr">
        <is>
          <t>no</t>
        </is>
      </c>
      <c r="AB175" s="86" t="inlineStr">
        <is>
          <t>no</t>
        </is>
      </c>
      <c r="AC175" s="84" t="inlineStr">
        <is>
          <t>NR</t>
        </is>
      </c>
      <c r="AD175" s="86" t="inlineStr">
        <is>
          <t>ensemble</t>
        </is>
      </c>
      <c r="AE175" s="86" t="inlineStr">
        <is>
          <t>europe</t>
        </is>
      </c>
      <c r="AF175" s="86" t="inlineStr">
        <is>
          <t>NR</t>
        </is>
      </c>
      <c r="AG175" s="86" t="inlineStr">
        <is>
          <t>NR</t>
        </is>
      </c>
      <c r="AH175" s="86" t="n">
        <v>743</v>
      </c>
      <c r="AI175" s="86" t="inlineStr">
        <is>
          <t>NR</t>
        </is>
      </c>
      <c r="AJ175" s="86" t="n">
        <v>583</v>
      </c>
      <c r="AK175" s="86" t="n">
        <v>160</v>
      </c>
      <c r="AL175" s="86" t="n">
        <v>0.93</v>
      </c>
      <c r="AM175" s="86" t="n">
        <v>0.9</v>
      </c>
      <c r="AN175" s="86" t="n">
        <v>542</v>
      </c>
      <c r="AO175" s="86" t="n">
        <v>41</v>
      </c>
      <c r="AP175" s="86" t="n">
        <v>144</v>
      </c>
      <c r="AQ175" s="86" t="n">
        <v>16</v>
      </c>
    </row>
    <row r="176" ht="16" customHeight="1" s="55">
      <c r="A176" s="88" t="inlineStr">
        <is>
          <t>Fleming et al. 2024</t>
        </is>
      </c>
      <c r="B176" s="86" t="inlineStr">
        <is>
          <t>DL</t>
        </is>
      </c>
      <c r="C176" s="86" t="inlineStr">
        <is>
          <t>DLAG spec @ same sens as DES final grade</t>
        </is>
      </c>
      <c r="D176" s="84" t="inlineStr">
        <is>
          <t>trainedgrader</t>
        </is>
      </c>
      <c r="E176" s="84" t="inlineStr">
        <is>
          <t>ai_only</t>
        </is>
      </c>
      <c r="F176" s="86" t="inlineStr">
        <is>
          <t>original</t>
        </is>
      </c>
      <c r="G176" s="86" t="inlineStr">
        <is>
          <t>retrospective</t>
        </is>
      </c>
      <c r="H176" s="84" t="inlineStr">
        <is>
          <t>cross-sectional</t>
        </is>
      </c>
      <c r="I176" s="84" t="inlineStr">
        <is>
          <t>yes</t>
        </is>
      </c>
      <c r="J176" s="84" t="inlineStr">
        <is>
          <t>national screening programme</t>
        </is>
      </c>
      <c r="K176" s="86" t="inlineStr">
        <is>
          <t>high</t>
        </is>
      </c>
      <c r="L176" s="86" t="inlineStr">
        <is>
          <t>mixed</t>
        </is>
      </c>
      <c r="M176" s="86" t="inlineStr">
        <is>
          <t>yes</t>
        </is>
      </c>
      <c r="N176" s="86" t="inlineStr">
        <is>
          <t>any dr</t>
        </is>
      </c>
      <c r="O176" s="86" t="inlineStr">
        <is>
          <t>no</t>
        </is>
      </c>
      <c r="P176" s="86" t="inlineStr">
        <is>
          <t>mixed</t>
        </is>
      </c>
      <c r="Q176" s="86" t="inlineStr">
        <is>
          <t>desktop</t>
        </is>
      </c>
      <c r="R176" s="84" t="inlineStr">
        <is>
          <t>NR</t>
        </is>
      </c>
      <c r="S176" s="84" t="inlineStr">
        <is>
          <t>fleming_2024</t>
        </is>
      </c>
      <c r="T176" s="86" t="inlineStr">
        <is>
          <t>other</t>
        </is>
      </c>
      <c r="U176" s="84" t="inlineStr">
        <is>
          <t>ITT</t>
        </is>
      </c>
      <c r="V176" s="86" t="inlineStr">
        <is>
          <t>reading center</t>
        </is>
      </c>
      <c r="W176" s="56" t="inlineStr">
        <is>
          <t>no</t>
        </is>
      </c>
      <c r="X176" s="86" t="inlineStr">
        <is>
          <t>fundus</t>
        </is>
      </c>
      <c r="Y176" s="86" t="inlineStr">
        <is>
          <t>1</t>
        </is>
      </c>
      <c r="Z176" s="32" t="inlineStr">
        <is>
          <t>no</t>
        </is>
      </c>
      <c r="AA176" s="86" t="inlineStr">
        <is>
          <t>no</t>
        </is>
      </c>
      <c r="AB176" s="86" t="inlineStr">
        <is>
          <t>no</t>
        </is>
      </c>
      <c r="AC176" s="84" t="inlineStr">
        <is>
          <t>NR</t>
        </is>
      </c>
      <c r="AD176" s="86" t="inlineStr">
        <is>
          <t>ensemble</t>
        </is>
      </c>
      <c r="AE176" s="86" t="inlineStr">
        <is>
          <t>europe</t>
        </is>
      </c>
      <c r="AF176" s="86" t="inlineStr">
        <is>
          <t>NR</t>
        </is>
      </c>
      <c r="AG176" s="86" t="inlineStr">
        <is>
          <t>NR</t>
        </is>
      </c>
      <c r="AH176" s="86" t="n">
        <v>743</v>
      </c>
      <c r="AI176" s="86" t="inlineStr">
        <is>
          <t>NR</t>
        </is>
      </c>
      <c r="AJ176" s="86" t="n">
        <v>583</v>
      </c>
      <c r="AK176" s="86" t="n">
        <v>160</v>
      </c>
      <c r="AL176" s="86" t="n">
        <v>0.928</v>
      </c>
      <c r="AM176" s="86" t="n">
        <v>0.9</v>
      </c>
      <c r="AN176" s="86" t="n">
        <v>541</v>
      </c>
      <c r="AO176" s="86" t="n">
        <v>42</v>
      </c>
      <c r="AP176" s="86" t="n">
        <v>144</v>
      </c>
      <c r="AQ176" s="86" t="n">
        <v>16</v>
      </c>
    </row>
    <row r="177" ht="16" customHeight="1" s="55">
      <c r="A177" s="88" t="inlineStr">
        <is>
          <t>Fleming et al. 2024</t>
        </is>
      </c>
      <c r="B177" s="86" t="inlineStr">
        <is>
          <t>Reader</t>
        </is>
      </c>
      <c r="C177" s="86" t="inlineStr">
        <is>
          <t>Participating graders (QA set) — ungradable OR any disease</t>
        </is>
      </c>
      <c r="D177" s="84" t="inlineStr">
        <is>
          <t>trainedgrader</t>
        </is>
      </c>
      <c r="E177" s="84" t="inlineStr">
        <is>
          <t>human_only</t>
        </is>
      </c>
      <c r="F177" s="86" t="inlineStr">
        <is>
          <t>original</t>
        </is>
      </c>
      <c r="G177" s="86" t="inlineStr">
        <is>
          <t>retrospective</t>
        </is>
      </c>
      <c r="H177" s="84" t="inlineStr">
        <is>
          <t>cross-sectional</t>
        </is>
      </c>
      <c r="I177" s="84" t="inlineStr">
        <is>
          <t>yes</t>
        </is>
      </c>
      <c r="J177" s="84" t="inlineStr">
        <is>
          <t>national screening programme</t>
        </is>
      </c>
      <c r="K177" s="86" t="inlineStr">
        <is>
          <t>high</t>
        </is>
      </c>
      <c r="L177" s="86" t="inlineStr">
        <is>
          <t>mixed</t>
        </is>
      </c>
      <c r="M177" s="86" t="inlineStr">
        <is>
          <t>yes</t>
        </is>
      </c>
      <c r="N177" s="86" t="inlineStr">
        <is>
          <t>any dr</t>
        </is>
      </c>
      <c r="O177" s="86" t="inlineStr">
        <is>
          <t>no</t>
        </is>
      </c>
      <c r="P177" s="86" t="inlineStr">
        <is>
          <t>mixed</t>
        </is>
      </c>
      <c r="Q177" s="86" t="inlineStr">
        <is>
          <t>desktop</t>
        </is>
      </c>
      <c r="R177" s="84" t="inlineStr">
        <is>
          <t>NR</t>
        </is>
      </c>
      <c r="S177" s="84" t="inlineStr">
        <is>
          <t>fleming_2024</t>
        </is>
      </c>
      <c r="T177" s="86" t="inlineStr">
        <is>
          <t>other</t>
        </is>
      </c>
      <c r="U177" s="84" t="inlineStr">
        <is>
          <t>ITT</t>
        </is>
      </c>
      <c r="V177" s="86" t="inlineStr">
        <is>
          <t>reading center</t>
        </is>
      </c>
      <c r="W177" s="56" t="inlineStr">
        <is>
          <t>no</t>
        </is>
      </c>
      <c r="X177" s="86" t="inlineStr">
        <is>
          <t>fundus</t>
        </is>
      </c>
      <c r="Y177" s="86" t="inlineStr">
        <is>
          <t>1</t>
        </is>
      </c>
      <c r="Z177" s="32" t="inlineStr">
        <is>
          <t>no</t>
        </is>
      </c>
      <c r="AA177" s="86" t="inlineStr">
        <is>
          <t>no</t>
        </is>
      </c>
      <c r="AB177" s="86" t="inlineStr">
        <is>
          <t>no</t>
        </is>
      </c>
      <c r="AC177" s="84" t="inlineStr">
        <is>
          <t>NR</t>
        </is>
      </c>
      <c r="AD177" s="86" t="inlineStr">
        <is>
          <t>NR</t>
        </is>
      </c>
      <c r="AE177" s="86" t="inlineStr">
        <is>
          <t>europe</t>
        </is>
      </c>
      <c r="AF177" s="86" t="inlineStr">
        <is>
          <t>NR</t>
        </is>
      </c>
      <c r="AG177" s="86" t="inlineStr">
        <is>
          <t>NR</t>
        </is>
      </c>
      <c r="AH177" s="86" t="n">
        <v>46443</v>
      </c>
      <c r="AI177" s="86" t="inlineStr">
        <is>
          <t>NR</t>
        </is>
      </c>
      <c r="AJ177" s="86" t="n">
        <v>36985</v>
      </c>
      <c r="AK177" s="86" t="n">
        <v>9458</v>
      </c>
      <c r="AL177" s="86" t="n">
        <v>0.958</v>
      </c>
      <c r="AM177" s="86" t="n">
        <v>0.753</v>
      </c>
      <c r="AN177" s="86" t="n">
        <v>35443</v>
      </c>
      <c r="AO177" s="86" t="n">
        <v>1542</v>
      </c>
      <c r="AP177" s="86" t="n">
        <v>7120</v>
      </c>
      <c r="AQ177" s="86" t="n">
        <v>2338</v>
      </c>
    </row>
    <row r="178" ht="16" customHeight="1" s="55">
      <c r="A178" s="88" t="inlineStr">
        <is>
          <t>Fleming et al. 2024</t>
        </is>
      </c>
      <c r="B178" s="86" t="inlineStr">
        <is>
          <t>DL</t>
        </is>
      </c>
      <c r="C178" s="86" t="inlineStr">
        <is>
          <t>DLAG sens @ same spec as participating graders</t>
        </is>
      </c>
      <c r="D178" s="84" t="inlineStr">
        <is>
          <t>trainedgrader</t>
        </is>
      </c>
      <c r="E178" s="84" t="inlineStr">
        <is>
          <t>ai_only</t>
        </is>
      </c>
      <c r="F178" s="86" t="inlineStr">
        <is>
          <t>original</t>
        </is>
      </c>
      <c r="G178" s="86" t="inlineStr">
        <is>
          <t>retrospective</t>
        </is>
      </c>
      <c r="H178" s="84" t="inlineStr">
        <is>
          <t>cross-sectional</t>
        </is>
      </c>
      <c r="I178" s="84" t="inlineStr">
        <is>
          <t>yes</t>
        </is>
      </c>
      <c r="J178" s="84" t="inlineStr">
        <is>
          <t>national screening programme</t>
        </is>
      </c>
      <c r="K178" s="86" t="inlineStr">
        <is>
          <t>high</t>
        </is>
      </c>
      <c r="L178" s="86" t="inlineStr">
        <is>
          <t>mixed</t>
        </is>
      </c>
      <c r="M178" s="86" t="inlineStr">
        <is>
          <t>yes</t>
        </is>
      </c>
      <c r="N178" s="86" t="inlineStr">
        <is>
          <t>any dr</t>
        </is>
      </c>
      <c r="O178" s="86" t="inlineStr">
        <is>
          <t>no</t>
        </is>
      </c>
      <c r="P178" s="86" t="inlineStr">
        <is>
          <t>mixed</t>
        </is>
      </c>
      <c r="Q178" s="86" t="inlineStr">
        <is>
          <t>desktop</t>
        </is>
      </c>
      <c r="R178" s="84" t="inlineStr">
        <is>
          <t>NR</t>
        </is>
      </c>
      <c r="S178" s="84" t="inlineStr">
        <is>
          <t>fleming_2024</t>
        </is>
      </c>
      <c r="T178" s="86" t="inlineStr">
        <is>
          <t>other</t>
        </is>
      </c>
      <c r="U178" s="84" t="inlineStr">
        <is>
          <t>ITT</t>
        </is>
      </c>
      <c r="V178" s="86" t="inlineStr">
        <is>
          <t>reading center</t>
        </is>
      </c>
      <c r="W178" s="56" t="inlineStr">
        <is>
          <t>no</t>
        </is>
      </c>
      <c r="X178" s="86" t="inlineStr">
        <is>
          <t>fundus</t>
        </is>
      </c>
      <c r="Y178" s="86" t="inlineStr">
        <is>
          <t>1</t>
        </is>
      </c>
      <c r="Z178" s="32" t="inlineStr">
        <is>
          <t>no</t>
        </is>
      </c>
      <c r="AA178" s="86" t="inlineStr">
        <is>
          <t>no</t>
        </is>
      </c>
      <c r="AB178" s="86" t="inlineStr">
        <is>
          <t>no</t>
        </is>
      </c>
      <c r="AC178" s="84" t="inlineStr">
        <is>
          <t>NR</t>
        </is>
      </c>
      <c r="AD178" s="86" t="inlineStr">
        <is>
          <t>ensemble</t>
        </is>
      </c>
      <c r="AE178" s="86" t="inlineStr">
        <is>
          <t>europe</t>
        </is>
      </c>
      <c r="AF178" s="86" t="inlineStr">
        <is>
          <t>NR</t>
        </is>
      </c>
      <c r="AG178" s="86" t="inlineStr">
        <is>
          <t>NR</t>
        </is>
      </c>
      <c r="AH178" s="86" t="n">
        <v>46443</v>
      </c>
      <c r="AI178" s="86" t="inlineStr">
        <is>
          <t>NR</t>
        </is>
      </c>
      <c r="AJ178" s="86" t="n">
        <v>36985</v>
      </c>
      <c r="AK178" s="86" t="n">
        <v>9458</v>
      </c>
      <c r="AL178" s="86" t="n">
        <v>0.962</v>
      </c>
      <c r="AM178" s="86" t="n">
        <v>0.753</v>
      </c>
      <c r="AN178" s="86" t="n">
        <v>35589</v>
      </c>
      <c r="AO178" s="86" t="n">
        <v>1396</v>
      </c>
      <c r="AP178" s="86" t="n">
        <v>7120</v>
      </c>
      <c r="AQ178" s="86" t="n">
        <v>2338</v>
      </c>
    </row>
    <row r="179" ht="16" customHeight="1" s="55">
      <c r="A179" s="88" t="inlineStr">
        <is>
          <t>Fleming et al. 2024</t>
        </is>
      </c>
      <c r="B179" s="86" t="inlineStr">
        <is>
          <t>DL</t>
        </is>
      </c>
      <c r="C179" s="86" t="inlineStr">
        <is>
          <t>DLAG spec @ same sens as participating graders</t>
        </is>
      </c>
      <c r="D179" s="84" t="inlineStr">
        <is>
          <t>trainedgrader</t>
        </is>
      </c>
      <c r="E179" s="84" t="inlineStr">
        <is>
          <t>ai_only</t>
        </is>
      </c>
      <c r="F179" s="86" t="inlineStr">
        <is>
          <t>original</t>
        </is>
      </c>
      <c r="G179" s="86" t="inlineStr">
        <is>
          <t>retrospective</t>
        </is>
      </c>
      <c r="H179" s="84" t="inlineStr">
        <is>
          <t>cross-sectional</t>
        </is>
      </c>
      <c r="I179" s="84" t="inlineStr">
        <is>
          <t>yes</t>
        </is>
      </c>
      <c r="J179" s="84" t="inlineStr">
        <is>
          <t>national screening programme</t>
        </is>
      </c>
      <c r="K179" s="86" t="inlineStr">
        <is>
          <t>high</t>
        </is>
      </c>
      <c r="L179" s="86" t="inlineStr">
        <is>
          <t>mixed</t>
        </is>
      </c>
      <c r="M179" s="86" t="inlineStr">
        <is>
          <t>yes</t>
        </is>
      </c>
      <c r="N179" s="86" t="inlineStr">
        <is>
          <t>any dr</t>
        </is>
      </c>
      <c r="O179" s="86" t="inlineStr">
        <is>
          <t>no</t>
        </is>
      </c>
      <c r="P179" s="86" t="inlineStr">
        <is>
          <t>mixed</t>
        </is>
      </c>
      <c r="Q179" s="86" t="inlineStr">
        <is>
          <t>desktop</t>
        </is>
      </c>
      <c r="R179" s="84" t="inlineStr">
        <is>
          <t>NR</t>
        </is>
      </c>
      <c r="S179" s="84" t="inlineStr">
        <is>
          <t>fleming_2024</t>
        </is>
      </c>
      <c r="T179" s="86" t="inlineStr">
        <is>
          <t>other</t>
        </is>
      </c>
      <c r="U179" s="84" t="inlineStr">
        <is>
          <t>ITT</t>
        </is>
      </c>
      <c r="V179" s="86" t="inlineStr">
        <is>
          <t>reading center</t>
        </is>
      </c>
      <c r="W179" s="56" t="inlineStr">
        <is>
          <t>no</t>
        </is>
      </c>
      <c r="X179" s="86" t="inlineStr">
        <is>
          <t>fundus</t>
        </is>
      </c>
      <c r="Y179" s="86" t="inlineStr">
        <is>
          <t>1</t>
        </is>
      </c>
      <c r="Z179" s="32" t="inlineStr">
        <is>
          <t>no</t>
        </is>
      </c>
      <c r="AA179" s="86" t="inlineStr">
        <is>
          <t>no</t>
        </is>
      </c>
      <c r="AB179" s="86" t="inlineStr">
        <is>
          <t>no</t>
        </is>
      </c>
      <c r="AC179" s="84" t="inlineStr">
        <is>
          <t>NR</t>
        </is>
      </c>
      <c r="AD179" s="86" t="inlineStr">
        <is>
          <t>ensemble</t>
        </is>
      </c>
      <c r="AE179" s="86" t="inlineStr">
        <is>
          <t>europe</t>
        </is>
      </c>
      <c r="AF179" s="86" t="inlineStr">
        <is>
          <t>NR</t>
        </is>
      </c>
      <c r="AG179" s="86" t="inlineStr">
        <is>
          <t>NR</t>
        </is>
      </c>
      <c r="AH179" s="86" t="n">
        <v>46443</v>
      </c>
      <c r="AI179" s="86" t="inlineStr">
        <is>
          <t>NR</t>
        </is>
      </c>
      <c r="AJ179" s="86" t="n">
        <v>36985</v>
      </c>
      <c r="AK179" s="86" t="n">
        <v>9458</v>
      </c>
      <c r="AL179" s="86" t="n">
        <v>0.958</v>
      </c>
      <c r="AM179" s="86" t="n">
        <v>0.781</v>
      </c>
      <c r="AN179" s="86" t="n">
        <v>35443</v>
      </c>
      <c r="AO179" s="86" t="n">
        <v>1542</v>
      </c>
      <c r="AP179" s="86" t="n">
        <v>7389</v>
      </c>
      <c r="AQ179" s="86" t="n">
        <v>2069</v>
      </c>
    </row>
    <row r="180" ht="16" customHeight="1" s="55">
      <c r="A180" s="88" t="inlineStr">
        <is>
          <t>Fleming et al. 2024</t>
        </is>
      </c>
      <c r="B180" s="86" t="inlineStr">
        <is>
          <t>Reader</t>
        </is>
      </c>
      <c r="C180" s="86" t="inlineStr">
        <is>
          <t>iGradingM (QA set) — ungradable OR any disease</t>
        </is>
      </c>
      <c r="D180" s="84" t="inlineStr">
        <is>
          <t>NR</t>
        </is>
      </c>
      <c r="E180" s="84" t="inlineStr">
        <is>
          <t>human_only</t>
        </is>
      </c>
      <c r="F180" s="86" t="inlineStr">
        <is>
          <t>original</t>
        </is>
      </c>
      <c r="G180" s="86" t="inlineStr">
        <is>
          <t>retrospective</t>
        </is>
      </c>
      <c r="H180" s="84" t="inlineStr">
        <is>
          <t>cross-sectional</t>
        </is>
      </c>
      <c r="I180" s="84" t="inlineStr">
        <is>
          <t>yes</t>
        </is>
      </c>
      <c r="J180" s="84" t="inlineStr">
        <is>
          <t>national screening programme</t>
        </is>
      </c>
      <c r="K180" s="86" t="inlineStr">
        <is>
          <t>high</t>
        </is>
      </c>
      <c r="L180" s="86" t="inlineStr">
        <is>
          <t>mixed</t>
        </is>
      </c>
      <c r="M180" s="86" t="inlineStr">
        <is>
          <t>yes</t>
        </is>
      </c>
      <c r="N180" s="86" t="inlineStr">
        <is>
          <t>any dr</t>
        </is>
      </c>
      <c r="O180" s="86" t="inlineStr">
        <is>
          <t>no</t>
        </is>
      </c>
      <c r="P180" s="86" t="inlineStr">
        <is>
          <t>mixed</t>
        </is>
      </c>
      <c r="Q180" s="86" t="inlineStr">
        <is>
          <t>desktop</t>
        </is>
      </c>
      <c r="R180" s="84" t="inlineStr">
        <is>
          <t>NR</t>
        </is>
      </c>
      <c r="S180" s="84" t="inlineStr">
        <is>
          <t>fleming_2024</t>
        </is>
      </c>
      <c r="T180" s="86" t="inlineStr">
        <is>
          <t>other</t>
        </is>
      </c>
      <c r="U180" s="84" t="inlineStr">
        <is>
          <t>ITT</t>
        </is>
      </c>
      <c r="V180" s="86" t="inlineStr">
        <is>
          <t>reading center</t>
        </is>
      </c>
      <c r="W180" s="56" t="inlineStr">
        <is>
          <t>no</t>
        </is>
      </c>
      <c r="X180" s="86" t="inlineStr">
        <is>
          <t>fundus</t>
        </is>
      </c>
      <c r="Y180" s="86" t="inlineStr">
        <is>
          <t>1</t>
        </is>
      </c>
      <c r="Z180" s="32" t="inlineStr">
        <is>
          <t>no</t>
        </is>
      </c>
      <c r="AA180" s="86" t="inlineStr">
        <is>
          <t>no</t>
        </is>
      </c>
      <c r="AB180" s="86" t="inlineStr">
        <is>
          <t>no</t>
        </is>
      </c>
      <c r="AC180" s="84" t="inlineStr">
        <is>
          <t>NR</t>
        </is>
      </c>
      <c r="AD180" s="86" t="inlineStr">
        <is>
          <t>proprietary</t>
        </is>
      </c>
      <c r="AE180" s="86" t="inlineStr">
        <is>
          <t>europe</t>
        </is>
      </c>
      <c r="AF180" s="86" t="inlineStr">
        <is>
          <t>NR</t>
        </is>
      </c>
      <c r="AG180" s="86" t="inlineStr">
        <is>
          <t>NR</t>
        </is>
      </c>
      <c r="AH180" s="86" t="n">
        <v>743</v>
      </c>
      <c r="AI180" s="86" t="inlineStr">
        <is>
          <t>NR</t>
        </is>
      </c>
      <c r="AJ180" s="86" t="n">
        <v>583</v>
      </c>
      <c r="AK180" s="86" t="n">
        <v>160</v>
      </c>
      <c r="AL180" s="86" t="n">
        <v>0.93</v>
      </c>
      <c r="AM180" s="86" t="n">
        <v>0.619</v>
      </c>
      <c r="AN180" s="86" t="n">
        <v>542</v>
      </c>
      <c r="AO180" s="86" t="n">
        <v>41</v>
      </c>
      <c r="AP180" s="86" t="n">
        <v>99</v>
      </c>
      <c r="AQ180" s="86" t="n">
        <v>61</v>
      </c>
    </row>
    <row r="181" ht="16" customHeight="1" s="55">
      <c r="A181" s="88" t="inlineStr">
        <is>
          <t>Fleming et al. 2024</t>
        </is>
      </c>
      <c r="B181" s="86" t="inlineStr">
        <is>
          <t>DL</t>
        </is>
      </c>
      <c r="C181" s="86" t="inlineStr">
        <is>
          <t>DLAG sens @ same spec as iGradingM</t>
        </is>
      </c>
      <c r="D181" s="84" t="inlineStr">
        <is>
          <t>NR</t>
        </is>
      </c>
      <c r="E181" s="84" t="inlineStr">
        <is>
          <t>ai_only</t>
        </is>
      </c>
      <c r="F181" s="86" t="inlineStr">
        <is>
          <t>original</t>
        </is>
      </c>
      <c r="G181" s="86" t="inlineStr">
        <is>
          <t>retrospective</t>
        </is>
      </c>
      <c r="H181" s="84" t="inlineStr">
        <is>
          <t>cross-sectional</t>
        </is>
      </c>
      <c r="I181" s="84" t="inlineStr">
        <is>
          <t>yes</t>
        </is>
      </c>
      <c r="J181" s="84" t="inlineStr">
        <is>
          <t>national screening programme</t>
        </is>
      </c>
      <c r="K181" s="86" t="inlineStr">
        <is>
          <t>high</t>
        </is>
      </c>
      <c r="L181" s="86" t="inlineStr">
        <is>
          <t>mixed</t>
        </is>
      </c>
      <c r="M181" s="86" t="inlineStr">
        <is>
          <t>yes</t>
        </is>
      </c>
      <c r="N181" s="86" t="inlineStr">
        <is>
          <t>any dr</t>
        </is>
      </c>
      <c r="O181" s="86" t="inlineStr">
        <is>
          <t>no</t>
        </is>
      </c>
      <c r="P181" s="86" t="inlineStr">
        <is>
          <t>mixed</t>
        </is>
      </c>
      <c r="Q181" s="86" t="inlineStr">
        <is>
          <t>desktop</t>
        </is>
      </c>
      <c r="R181" s="84" t="inlineStr">
        <is>
          <t>NR</t>
        </is>
      </c>
      <c r="S181" s="84" t="inlineStr">
        <is>
          <t>fleming_2024</t>
        </is>
      </c>
      <c r="T181" s="86" t="inlineStr">
        <is>
          <t>other</t>
        </is>
      </c>
      <c r="U181" s="84" t="inlineStr">
        <is>
          <t>ITT</t>
        </is>
      </c>
      <c r="V181" s="86" t="inlineStr">
        <is>
          <t>reading center</t>
        </is>
      </c>
      <c r="W181" s="56" t="inlineStr">
        <is>
          <t>no</t>
        </is>
      </c>
      <c r="X181" s="86" t="inlineStr">
        <is>
          <t>fundus</t>
        </is>
      </c>
      <c r="Y181" s="86" t="inlineStr">
        <is>
          <t>1</t>
        </is>
      </c>
      <c r="Z181" s="32" t="inlineStr">
        <is>
          <t>no</t>
        </is>
      </c>
      <c r="AA181" s="86" t="inlineStr">
        <is>
          <t>no</t>
        </is>
      </c>
      <c r="AB181" s="86" t="inlineStr">
        <is>
          <t>no</t>
        </is>
      </c>
      <c r="AC181" s="84" t="inlineStr">
        <is>
          <t>NR</t>
        </is>
      </c>
      <c r="AD181" s="86" t="inlineStr">
        <is>
          <t>ensemble</t>
        </is>
      </c>
      <c r="AE181" s="86" t="inlineStr">
        <is>
          <t>europe</t>
        </is>
      </c>
      <c r="AF181" s="86" t="inlineStr">
        <is>
          <t>NR</t>
        </is>
      </c>
      <c r="AG181" s="86" t="inlineStr">
        <is>
          <t>NR</t>
        </is>
      </c>
      <c r="AH181" s="86" t="n">
        <v>743</v>
      </c>
      <c r="AI181" s="86" t="inlineStr">
        <is>
          <t>NR</t>
        </is>
      </c>
      <c r="AJ181" s="86" t="n">
        <v>583</v>
      </c>
      <c r="AK181" s="86" t="n">
        <v>160</v>
      </c>
      <c r="AL181" s="86" t="n">
        <v>0.976</v>
      </c>
      <c r="AM181" s="86" t="n">
        <v>0.619</v>
      </c>
      <c r="AN181" s="86" t="n">
        <v>569</v>
      </c>
      <c r="AO181" s="86" t="n">
        <v>14</v>
      </c>
      <c r="AP181" s="86" t="n">
        <v>99</v>
      </c>
      <c r="AQ181" s="86" t="n">
        <v>61</v>
      </c>
    </row>
    <row r="182" ht="16" customHeight="1" s="55">
      <c r="A182" s="88" t="inlineStr">
        <is>
          <t>Fleming et al. 2024</t>
        </is>
      </c>
      <c r="B182" s="86" t="inlineStr">
        <is>
          <t>DL</t>
        </is>
      </c>
      <c r="C182" s="86" t="inlineStr">
        <is>
          <t>DLAG spec @ same sens as iGradingM</t>
        </is>
      </c>
      <c r="D182" s="84" t="inlineStr">
        <is>
          <t>NR</t>
        </is>
      </c>
      <c r="E182" s="84" t="inlineStr">
        <is>
          <t>ai_only</t>
        </is>
      </c>
      <c r="F182" s="86" t="inlineStr">
        <is>
          <t>original</t>
        </is>
      </c>
      <c r="G182" s="86" t="inlineStr">
        <is>
          <t>retrospective</t>
        </is>
      </c>
      <c r="H182" s="84" t="inlineStr">
        <is>
          <t>cross-sectional</t>
        </is>
      </c>
      <c r="I182" s="84" t="inlineStr">
        <is>
          <t>yes</t>
        </is>
      </c>
      <c r="J182" s="84" t="inlineStr">
        <is>
          <t>national screening programme</t>
        </is>
      </c>
      <c r="K182" s="86" t="inlineStr">
        <is>
          <t>high</t>
        </is>
      </c>
      <c r="L182" s="86" t="inlineStr">
        <is>
          <t>mixed</t>
        </is>
      </c>
      <c r="M182" s="86" t="inlineStr">
        <is>
          <t>yes</t>
        </is>
      </c>
      <c r="N182" s="86" t="inlineStr">
        <is>
          <t>any dr</t>
        </is>
      </c>
      <c r="O182" s="86" t="inlineStr">
        <is>
          <t>no</t>
        </is>
      </c>
      <c r="P182" s="86" t="inlineStr">
        <is>
          <t>mixed</t>
        </is>
      </c>
      <c r="Q182" s="86" t="inlineStr">
        <is>
          <t>desktop</t>
        </is>
      </c>
      <c r="R182" s="84" t="inlineStr">
        <is>
          <t>NR</t>
        </is>
      </c>
      <c r="S182" s="84" t="inlineStr">
        <is>
          <t>fleming_2024</t>
        </is>
      </c>
      <c r="T182" s="86" t="inlineStr">
        <is>
          <t>other</t>
        </is>
      </c>
      <c r="U182" s="84" t="inlineStr">
        <is>
          <t>ITT</t>
        </is>
      </c>
      <c r="V182" s="86" t="inlineStr">
        <is>
          <t>reading center</t>
        </is>
      </c>
      <c r="W182" s="56" t="inlineStr">
        <is>
          <t>no</t>
        </is>
      </c>
      <c r="X182" s="86" t="inlineStr">
        <is>
          <t>fundus</t>
        </is>
      </c>
      <c r="Y182" s="86" t="inlineStr">
        <is>
          <t>1</t>
        </is>
      </c>
      <c r="Z182" s="32" t="inlineStr">
        <is>
          <t>no</t>
        </is>
      </c>
      <c r="AA182" s="86" t="inlineStr">
        <is>
          <t>no</t>
        </is>
      </c>
      <c r="AB182" s="86" t="inlineStr">
        <is>
          <t>no</t>
        </is>
      </c>
      <c r="AC182" s="84" t="inlineStr">
        <is>
          <t>NR</t>
        </is>
      </c>
      <c r="AD182" s="86" t="inlineStr">
        <is>
          <t>ensemble</t>
        </is>
      </c>
      <c r="AE182" s="86" t="inlineStr">
        <is>
          <t>europe</t>
        </is>
      </c>
      <c r="AF182" s="86" t="inlineStr">
        <is>
          <t>NR</t>
        </is>
      </c>
      <c r="AG182" s="86" t="inlineStr">
        <is>
          <t>NR</t>
        </is>
      </c>
      <c r="AH182" s="86" t="n">
        <v>743</v>
      </c>
      <c r="AI182" s="86" t="inlineStr">
        <is>
          <t>NR</t>
        </is>
      </c>
      <c r="AJ182" s="86" t="n">
        <v>583</v>
      </c>
      <c r="AK182" s="86" t="n">
        <v>160</v>
      </c>
      <c r="AL182" s="86" t="n">
        <v>0.93</v>
      </c>
      <c r="AM182" s="86" t="n">
        <v>0.894</v>
      </c>
      <c r="AN182" s="86" t="n">
        <v>542</v>
      </c>
      <c r="AO182" s="86" t="n">
        <v>41</v>
      </c>
      <c r="AP182" s="86" t="n">
        <v>143</v>
      </c>
      <c r="AQ182" s="86" t="n">
        <v>17</v>
      </c>
    </row>
    <row r="183" ht="16" customHeight="1" s="55">
      <c r="A183" s="88" t="inlineStr">
        <is>
          <t>Dai et al. 2021</t>
        </is>
      </c>
      <c r="B183" s="86" t="inlineStr">
        <is>
          <t>Reader</t>
        </is>
      </c>
      <c r="C183" s="86" t="inlineStr">
        <is>
          <t>Primary healthcare workers (Unaided) — Non-DR (one-vs-all)</t>
        </is>
      </c>
      <c r="D183" s="84" t="inlineStr">
        <is>
          <t>physician</t>
        </is>
      </c>
      <c r="E183" s="84" t="inlineStr">
        <is>
          <t>human_only</t>
        </is>
      </c>
      <c r="F183" s="86" t="inlineStr">
        <is>
          <t>original</t>
        </is>
      </c>
      <c r="G183" s="86" t="inlineStr">
        <is>
          <t>retrospective</t>
        </is>
      </c>
      <c r="H183" s="84" t="inlineStr">
        <is>
          <t>cross-sectional</t>
        </is>
      </c>
      <c r="I183" s="84" t="inlineStr">
        <is>
          <t>yes</t>
        </is>
      </c>
      <c r="J183" s="84" t="inlineStr">
        <is>
          <t>community screening programme</t>
        </is>
      </c>
      <c r="K183" s="86" t="inlineStr">
        <is>
          <t>middle</t>
        </is>
      </c>
      <c r="L183" s="86" t="inlineStr">
        <is>
          <t>primary</t>
        </is>
      </c>
      <c r="M183" s="86" t="inlineStr">
        <is>
          <t>yes</t>
        </is>
      </c>
      <c r="N183" s="86" t="inlineStr">
        <is>
          <t>any dr</t>
        </is>
      </c>
      <c r="O183" s="86" t="inlineStr">
        <is>
          <t>yes</t>
        </is>
      </c>
      <c r="P183" s="86" t="inlineStr">
        <is>
          <t>non-mydriatic</t>
        </is>
      </c>
      <c r="Q183" s="86" t="inlineStr">
        <is>
          <t>desktop</t>
        </is>
      </c>
      <c r="R183" s="84" t="inlineStr">
        <is>
          <t>multiple</t>
        </is>
      </c>
      <c r="S183" s="84" t="inlineStr">
        <is>
          <t>dai_2021</t>
        </is>
      </c>
      <c r="T183" s="86" t="inlineStr">
        <is>
          <t>icdr</t>
        </is>
      </c>
      <c r="U183" s="84" t="inlineStr">
        <is>
          <t>hybrid</t>
        </is>
      </c>
      <c r="V183" s="86" t="inlineStr">
        <is>
          <t>expert panel</t>
        </is>
      </c>
      <c r="W183" s="56" t="inlineStr">
        <is>
          <t>no</t>
        </is>
      </c>
      <c r="X183" s="86" t="inlineStr">
        <is>
          <t>fundus</t>
        </is>
      </c>
      <c r="Y183" s="86" t="inlineStr">
        <is>
          <t>2</t>
        </is>
      </c>
      <c r="Z183" s="58" t="inlineStr">
        <is>
          <t>yes</t>
        </is>
      </c>
      <c r="AA183" s="58" t="inlineStr">
        <is>
          <t>no</t>
        </is>
      </c>
      <c r="AB183" s="86" t="inlineStr">
        <is>
          <t>no</t>
        </is>
      </c>
      <c r="AC183" s="84" t="inlineStr">
        <is>
          <t>yes</t>
        </is>
      </c>
      <c r="AD183" s="86" t="inlineStr">
        <is>
          <t>NR</t>
        </is>
      </c>
      <c r="AE183" s="86" t="inlineStr">
        <is>
          <t>asia</t>
        </is>
      </c>
      <c r="AF183" s="56" t="inlineStr">
        <is>
          <t>high</t>
        </is>
      </c>
      <c r="AG183" s="56" t="inlineStr">
        <is>
          <t>high</t>
        </is>
      </c>
      <c r="AH183" s="86" t="n">
        <v>500</v>
      </c>
      <c r="AI183" s="86" t="n">
        <v>0.2</v>
      </c>
      <c r="AJ183" s="86" t="n">
        <v>100</v>
      </c>
      <c r="AK183" s="86" t="n">
        <v>400</v>
      </c>
      <c r="AL183" s="86" t="n">
        <v>0.586</v>
      </c>
      <c r="AM183" s="86" t="n">
        <v>0.924</v>
      </c>
      <c r="AN183" s="86" t="n">
        <v>59</v>
      </c>
      <c r="AO183" s="86" t="n">
        <v>41</v>
      </c>
      <c r="AP183" s="86" t="n">
        <v>370</v>
      </c>
      <c r="AQ183" s="86" t="n">
        <v>30</v>
      </c>
    </row>
    <row r="184" ht="16" customHeight="1" s="55">
      <c r="A184" s="88" t="inlineStr">
        <is>
          <t>Dai et al. 2021</t>
        </is>
      </c>
      <c r="B184" s="86" t="inlineStr">
        <is>
          <t>DL_assisted_reader</t>
        </is>
      </c>
      <c r="C184" s="86" t="inlineStr">
        <is>
          <t>Primary healthcare workers (Aided) — Non-DR (one-vs-all)</t>
        </is>
      </c>
      <c r="D184" s="84" t="inlineStr">
        <is>
          <t>physician</t>
        </is>
      </c>
      <c r="E184" s="84" t="inlineStr">
        <is>
          <t>human_with_ai</t>
        </is>
      </c>
      <c r="F184" s="86" t="inlineStr">
        <is>
          <t>original</t>
        </is>
      </c>
      <c r="G184" s="86" t="inlineStr">
        <is>
          <t>retrospective</t>
        </is>
      </c>
      <c r="H184" s="84" t="inlineStr">
        <is>
          <t>cross-sectional</t>
        </is>
      </c>
      <c r="I184" s="84" t="inlineStr">
        <is>
          <t>yes</t>
        </is>
      </c>
      <c r="J184" s="84" t="inlineStr">
        <is>
          <t>community screening programme</t>
        </is>
      </c>
      <c r="K184" s="86" t="inlineStr">
        <is>
          <t>middle</t>
        </is>
      </c>
      <c r="L184" s="86" t="inlineStr">
        <is>
          <t>primary</t>
        </is>
      </c>
      <c r="M184" s="86" t="inlineStr">
        <is>
          <t>yes</t>
        </is>
      </c>
      <c r="N184" s="86" t="inlineStr">
        <is>
          <t>any dr</t>
        </is>
      </c>
      <c r="O184" s="86" t="inlineStr">
        <is>
          <t>yes</t>
        </is>
      </c>
      <c r="P184" s="86" t="inlineStr">
        <is>
          <t>non-mydriatic</t>
        </is>
      </c>
      <c r="Q184" s="86" t="inlineStr">
        <is>
          <t>desktop</t>
        </is>
      </c>
      <c r="R184" s="84" t="inlineStr">
        <is>
          <t>multiple</t>
        </is>
      </c>
      <c r="S184" s="84" t="inlineStr">
        <is>
          <t>dai_2021</t>
        </is>
      </c>
      <c r="T184" s="86" t="inlineStr">
        <is>
          <t>icdr</t>
        </is>
      </c>
      <c r="U184" s="84" t="inlineStr">
        <is>
          <t>hybrid</t>
        </is>
      </c>
      <c r="V184" s="86" t="inlineStr">
        <is>
          <t>expert panel</t>
        </is>
      </c>
      <c r="W184" s="56" t="inlineStr">
        <is>
          <t>no</t>
        </is>
      </c>
      <c r="X184" s="86" t="inlineStr">
        <is>
          <t>fundus</t>
        </is>
      </c>
      <c r="Y184" s="86" t="inlineStr">
        <is>
          <t>2</t>
        </is>
      </c>
      <c r="Z184" s="58" t="inlineStr">
        <is>
          <t>yes</t>
        </is>
      </c>
      <c r="AA184" s="58" t="inlineStr">
        <is>
          <t>no</t>
        </is>
      </c>
      <c r="AB184" s="86" t="inlineStr">
        <is>
          <t>no</t>
        </is>
      </c>
      <c r="AC184" s="84" t="inlineStr">
        <is>
          <t>yes</t>
        </is>
      </c>
      <c r="AD184" s="86" t="inlineStr">
        <is>
          <t>AI-assisted</t>
        </is>
      </c>
      <c r="AE184" s="86" t="inlineStr">
        <is>
          <t>asia</t>
        </is>
      </c>
      <c r="AF184" s="56" t="inlineStr">
        <is>
          <t>high</t>
        </is>
      </c>
      <c r="AG184" s="56" t="inlineStr">
        <is>
          <t>high</t>
        </is>
      </c>
      <c r="AH184" s="86" t="n">
        <v>500</v>
      </c>
      <c r="AI184" s="86" t="n">
        <v>0.2</v>
      </c>
      <c r="AJ184" s="86" t="n">
        <v>100</v>
      </c>
      <c r="AK184" s="86" t="n">
        <v>400</v>
      </c>
      <c r="AL184" s="86" t="n">
        <v>0.6830000000000001</v>
      </c>
      <c r="AM184" s="86" t="n">
        <v>0.948</v>
      </c>
      <c r="AN184" s="86" t="n">
        <v>68</v>
      </c>
      <c r="AO184" s="86" t="n">
        <v>32</v>
      </c>
      <c r="AP184" s="86" t="n">
        <v>379</v>
      </c>
      <c r="AQ184" s="86" t="n">
        <v>21</v>
      </c>
    </row>
    <row r="185" ht="16" customHeight="1" s="55">
      <c r="A185" s="88" t="inlineStr">
        <is>
          <t>Dai et al. 2021</t>
        </is>
      </c>
      <c r="B185" s="86" t="inlineStr">
        <is>
          <t>Reader</t>
        </is>
      </c>
      <c r="C185" s="86" t="inlineStr">
        <is>
          <t>Primary healthcare workers (Unaided) — Mild NPDR (one-vs-all)</t>
        </is>
      </c>
      <c r="D185" s="84" t="inlineStr">
        <is>
          <t>physician</t>
        </is>
      </c>
      <c r="E185" s="84" t="inlineStr">
        <is>
          <t>human_only</t>
        </is>
      </c>
      <c r="F185" s="86" t="inlineStr">
        <is>
          <t>original</t>
        </is>
      </c>
      <c r="G185" s="86" t="inlineStr">
        <is>
          <t>retrospective</t>
        </is>
      </c>
      <c r="H185" s="84" t="inlineStr">
        <is>
          <t>cross-sectional</t>
        </is>
      </c>
      <c r="I185" s="84" t="inlineStr">
        <is>
          <t>yes</t>
        </is>
      </c>
      <c r="J185" s="84" t="inlineStr">
        <is>
          <t>community screening programme</t>
        </is>
      </c>
      <c r="K185" s="86" t="inlineStr">
        <is>
          <t>middle</t>
        </is>
      </c>
      <c r="L185" s="86" t="inlineStr">
        <is>
          <t>primary</t>
        </is>
      </c>
      <c r="M185" s="86" t="inlineStr">
        <is>
          <t>yes</t>
        </is>
      </c>
      <c r="N185" s="86" t="inlineStr">
        <is>
          <t>any dr</t>
        </is>
      </c>
      <c r="O185" s="86" t="inlineStr">
        <is>
          <t>yes</t>
        </is>
      </c>
      <c r="P185" s="86" t="inlineStr">
        <is>
          <t>non-mydriatic</t>
        </is>
      </c>
      <c r="Q185" s="86" t="inlineStr">
        <is>
          <t>desktop</t>
        </is>
      </c>
      <c r="R185" s="84" t="inlineStr">
        <is>
          <t>multiple</t>
        </is>
      </c>
      <c r="S185" s="84" t="inlineStr">
        <is>
          <t>dai_2021</t>
        </is>
      </c>
      <c r="T185" s="86" t="inlineStr">
        <is>
          <t>icdr</t>
        </is>
      </c>
      <c r="U185" s="84" t="inlineStr">
        <is>
          <t>hybrid</t>
        </is>
      </c>
      <c r="V185" s="86" t="inlineStr">
        <is>
          <t>expert panel</t>
        </is>
      </c>
      <c r="W185" s="56" t="inlineStr">
        <is>
          <t>no</t>
        </is>
      </c>
      <c r="X185" s="86" t="inlineStr">
        <is>
          <t>fundus</t>
        </is>
      </c>
      <c r="Y185" s="86" t="inlineStr">
        <is>
          <t>2</t>
        </is>
      </c>
      <c r="Z185" s="58" t="inlineStr">
        <is>
          <t>yes</t>
        </is>
      </c>
      <c r="AA185" s="58" t="inlineStr">
        <is>
          <t>no</t>
        </is>
      </c>
      <c r="AB185" s="86" t="inlineStr">
        <is>
          <t>no</t>
        </is>
      </c>
      <c r="AC185" s="84" t="inlineStr">
        <is>
          <t>yes</t>
        </is>
      </c>
      <c r="AD185" s="86" t="inlineStr">
        <is>
          <t>NR</t>
        </is>
      </c>
      <c r="AE185" s="86" t="inlineStr">
        <is>
          <t>asia</t>
        </is>
      </c>
      <c r="AF185" s="56" t="inlineStr">
        <is>
          <t>high</t>
        </is>
      </c>
      <c r="AG185" s="56" t="inlineStr">
        <is>
          <t>high</t>
        </is>
      </c>
      <c r="AH185" s="86" t="n">
        <v>500</v>
      </c>
      <c r="AI185" s="86" t="n">
        <v>0.2</v>
      </c>
      <c r="AJ185" s="86" t="n">
        <v>100</v>
      </c>
      <c r="AK185" s="86" t="n">
        <v>400</v>
      </c>
      <c r="AL185" s="86" t="n">
        <v>0.589</v>
      </c>
      <c r="AM185" s="86" t="n">
        <v>0.893</v>
      </c>
      <c r="AN185" s="86" t="n">
        <v>59</v>
      </c>
      <c r="AO185" s="86" t="n">
        <v>41</v>
      </c>
      <c r="AP185" s="86" t="n">
        <v>357</v>
      </c>
      <c r="AQ185" s="86" t="n">
        <v>43</v>
      </c>
    </row>
    <row r="186" ht="16" customHeight="1" s="55">
      <c r="A186" s="88" t="inlineStr">
        <is>
          <t>Dai et al. 2021</t>
        </is>
      </c>
      <c r="B186" s="86" t="inlineStr">
        <is>
          <t>DL_assisted_reader</t>
        </is>
      </c>
      <c r="C186" s="86" t="inlineStr">
        <is>
          <t>Primary healthcare workers (Aided) — Mild NPDR (one-vs-all)</t>
        </is>
      </c>
      <c r="D186" s="84" t="inlineStr">
        <is>
          <t>physician</t>
        </is>
      </c>
      <c r="E186" s="84" t="inlineStr">
        <is>
          <t>human_with_ai</t>
        </is>
      </c>
      <c r="F186" s="86" t="inlineStr">
        <is>
          <t>original</t>
        </is>
      </c>
      <c r="G186" s="86" t="inlineStr">
        <is>
          <t>retrospective</t>
        </is>
      </c>
      <c r="H186" s="84" t="inlineStr">
        <is>
          <t>cross-sectional</t>
        </is>
      </c>
      <c r="I186" s="84" t="inlineStr">
        <is>
          <t>yes</t>
        </is>
      </c>
      <c r="J186" s="84" t="inlineStr">
        <is>
          <t>community screening programme</t>
        </is>
      </c>
      <c r="K186" s="86" t="inlineStr">
        <is>
          <t>middle</t>
        </is>
      </c>
      <c r="L186" s="86" t="inlineStr">
        <is>
          <t>primary</t>
        </is>
      </c>
      <c r="M186" s="86" t="inlineStr">
        <is>
          <t>yes</t>
        </is>
      </c>
      <c r="N186" s="86" t="inlineStr">
        <is>
          <t>any dr</t>
        </is>
      </c>
      <c r="O186" s="86" t="inlineStr">
        <is>
          <t>yes</t>
        </is>
      </c>
      <c r="P186" s="86" t="inlineStr">
        <is>
          <t>non-mydriatic</t>
        </is>
      </c>
      <c r="Q186" s="86" t="inlineStr">
        <is>
          <t>desktop</t>
        </is>
      </c>
      <c r="R186" s="84" t="inlineStr">
        <is>
          <t>multiple</t>
        </is>
      </c>
      <c r="S186" s="84" t="inlineStr">
        <is>
          <t>dai_2021</t>
        </is>
      </c>
      <c r="T186" s="86" t="inlineStr">
        <is>
          <t>icdr</t>
        </is>
      </c>
      <c r="U186" s="84" t="inlineStr">
        <is>
          <t>hybrid</t>
        </is>
      </c>
      <c r="V186" s="86" t="inlineStr">
        <is>
          <t>expert panel</t>
        </is>
      </c>
      <c r="W186" s="56" t="inlineStr">
        <is>
          <t>no</t>
        </is>
      </c>
      <c r="X186" s="86" t="inlineStr">
        <is>
          <t>fundus</t>
        </is>
      </c>
      <c r="Y186" s="86" t="inlineStr">
        <is>
          <t>2</t>
        </is>
      </c>
      <c r="Z186" s="58" t="inlineStr">
        <is>
          <t>yes</t>
        </is>
      </c>
      <c r="AA186" s="58" t="inlineStr">
        <is>
          <t>no</t>
        </is>
      </c>
      <c r="AB186" s="86" t="inlineStr">
        <is>
          <t>no</t>
        </is>
      </c>
      <c r="AC186" s="84" t="inlineStr">
        <is>
          <t>yes</t>
        </is>
      </c>
      <c r="AD186" s="86" t="inlineStr">
        <is>
          <t>AI-assisted</t>
        </is>
      </c>
      <c r="AE186" s="86" t="inlineStr">
        <is>
          <t>asia</t>
        </is>
      </c>
      <c r="AF186" s="56" t="inlineStr">
        <is>
          <t>high</t>
        </is>
      </c>
      <c r="AG186" s="56" t="inlineStr">
        <is>
          <t>high</t>
        </is>
      </c>
      <c r="AH186" s="86" t="n">
        <v>500</v>
      </c>
      <c r="AI186" s="86" t="n">
        <v>0.2</v>
      </c>
      <c r="AJ186" s="86" t="n">
        <v>100</v>
      </c>
      <c r="AK186" s="86" t="n">
        <v>400</v>
      </c>
      <c r="AL186" s="86" t="n">
        <v>0.6840000000000001</v>
      </c>
      <c r="AM186" s="86" t="n">
        <v>0.907</v>
      </c>
      <c r="AN186" s="86" t="n">
        <v>68</v>
      </c>
      <c r="AO186" s="86" t="n">
        <v>32</v>
      </c>
      <c r="AP186" s="86" t="n">
        <v>363</v>
      </c>
      <c r="AQ186" s="86" t="n">
        <v>37</v>
      </c>
    </row>
    <row r="187" ht="16" customHeight="1" s="55">
      <c r="A187" s="88" t="inlineStr">
        <is>
          <t>Dai et al. 2021</t>
        </is>
      </c>
      <c r="B187" s="86" t="inlineStr">
        <is>
          <t>Reader</t>
        </is>
      </c>
      <c r="C187" s="86" t="inlineStr">
        <is>
          <t>Primary healthcare workers (Unaided) — Moderate NPDR (one-vs-all)</t>
        </is>
      </c>
      <c r="D187" s="84" t="inlineStr">
        <is>
          <t>physician</t>
        </is>
      </c>
      <c r="E187" s="84" t="inlineStr">
        <is>
          <t>human_only</t>
        </is>
      </c>
      <c r="F187" s="86" t="inlineStr">
        <is>
          <t>original</t>
        </is>
      </c>
      <c r="G187" s="86" t="inlineStr">
        <is>
          <t>retrospective</t>
        </is>
      </c>
      <c r="H187" s="84" t="inlineStr">
        <is>
          <t>cross-sectional</t>
        </is>
      </c>
      <c r="I187" s="84" t="inlineStr">
        <is>
          <t>yes</t>
        </is>
      </c>
      <c r="J187" s="84" t="inlineStr">
        <is>
          <t>community screening programme</t>
        </is>
      </c>
      <c r="K187" s="86" t="inlineStr">
        <is>
          <t>middle</t>
        </is>
      </c>
      <c r="L187" s="86" t="inlineStr">
        <is>
          <t>primary</t>
        </is>
      </c>
      <c r="M187" s="86" t="inlineStr">
        <is>
          <t>yes</t>
        </is>
      </c>
      <c r="N187" s="86" t="inlineStr">
        <is>
          <t>any dr</t>
        </is>
      </c>
      <c r="O187" s="86" t="inlineStr">
        <is>
          <t>yes</t>
        </is>
      </c>
      <c r="P187" s="86" t="inlineStr">
        <is>
          <t>non-mydriatic</t>
        </is>
      </c>
      <c r="Q187" s="86" t="inlineStr">
        <is>
          <t>desktop</t>
        </is>
      </c>
      <c r="R187" s="84" t="inlineStr">
        <is>
          <t>multiple</t>
        </is>
      </c>
      <c r="S187" s="84" t="inlineStr">
        <is>
          <t>dai_2021</t>
        </is>
      </c>
      <c r="T187" s="86" t="inlineStr">
        <is>
          <t>icdr</t>
        </is>
      </c>
      <c r="U187" s="84" t="inlineStr">
        <is>
          <t>hybrid</t>
        </is>
      </c>
      <c r="V187" s="86" t="inlineStr">
        <is>
          <t>expert panel</t>
        </is>
      </c>
      <c r="W187" s="56" t="inlineStr">
        <is>
          <t>no</t>
        </is>
      </c>
      <c r="X187" s="86" t="inlineStr">
        <is>
          <t>fundus</t>
        </is>
      </c>
      <c r="Y187" s="86" t="inlineStr">
        <is>
          <t>2</t>
        </is>
      </c>
      <c r="Z187" s="58" t="inlineStr">
        <is>
          <t>yes</t>
        </is>
      </c>
      <c r="AA187" s="58" t="inlineStr">
        <is>
          <t>no</t>
        </is>
      </c>
      <c r="AB187" s="86" t="inlineStr">
        <is>
          <t>no</t>
        </is>
      </c>
      <c r="AC187" s="84" t="inlineStr">
        <is>
          <t>yes</t>
        </is>
      </c>
      <c r="AD187" s="86" t="inlineStr">
        <is>
          <t>NR</t>
        </is>
      </c>
      <c r="AE187" s="86" t="inlineStr">
        <is>
          <t>asia</t>
        </is>
      </c>
      <c r="AF187" s="56" t="inlineStr">
        <is>
          <t>high</t>
        </is>
      </c>
      <c r="AG187" s="56" t="inlineStr">
        <is>
          <t>high</t>
        </is>
      </c>
      <c r="AH187" s="86" t="n">
        <v>500</v>
      </c>
      <c r="AI187" s="86" t="n">
        <v>0.2</v>
      </c>
      <c r="AJ187" s="86" t="n">
        <v>100</v>
      </c>
      <c r="AK187" s="86" t="n">
        <v>400</v>
      </c>
      <c r="AL187" s="86" t="n">
        <v>0.583</v>
      </c>
      <c r="AM187" s="86" t="n">
        <v>0.914</v>
      </c>
      <c r="AN187" s="86" t="n">
        <v>58</v>
      </c>
      <c r="AO187" s="86" t="n">
        <v>42</v>
      </c>
      <c r="AP187" s="86" t="n">
        <v>366</v>
      </c>
      <c r="AQ187" s="86" t="n">
        <v>34</v>
      </c>
    </row>
    <row r="188" ht="16" customHeight="1" s="55">
      <c r="A188" s="88" t="inlineStr">
        <is>
          <t>Dai et al. 2021</t>
        </is>
      </c>
      <c r="B188" s="86" t="inlineStr">
        <is>
          <t>DL_assisted_reader</t>
        </is>
      </c>
      <c r="C188" s="86" t="inlineStr">
        <is>
          <t>Primary healthcare workers (Aided) — Moderate NPDR (one-vs-all)</t>
        </is>
      </c>
      <c r="D188" s="84" t="inlineStr">
        <is>
          <t>physician</t>
        </is>
      </c>
      <c r="E188" s="84" t="inlineStr">
        <is>
          <t>human_with_ai</t>
        </is>
      </c>
      <c r="F188" s="86" t="inlineStr">
        <is>
          <t>original</t>
        </is>
      </c>
      <c r="G188" s="86" t="inlineStr">
        <is>
          <t>retrospective</t>
        </is>
      </c>
      <c r="H188" s="84" t="inlineStr">
        <is>
          <t>cross-sectional</t>
        </is>
      </c>
      <c r="I188" s="84" t="inlineStr">
        <is>
          <t>yes</t>
        </is>
      </c>
      <c r="J188" s="84" t="inlineStr">
        <is>
          <t>community screening programme</t>
        </is>
      </c>
      <c r="K188" s="86" t="inlineStr">
        <is>
          <t>middle</t>
        </is>
      </c>
      <c r="L188" s="86" t="inlineStr">
        <is>
          <t>primary</t>
        </is>
      </c>
      <c r="M188" s="86" t="inlineStr">
        <is>
          <t>yes</t>
        </is>
      </c>
      <c r="N188" s="86" t="inlineStr">
        <is>
          <t>any dr</t>
        </is>
      </c>
      <c r="O188" s="86" t="inlineStr">
        <is>
          <t>yes</t>
        </is>
      </c>
      <c r="P188" s="86" t="inlineStr">
        <is>
          <t>non-mydriatic</t>
        </is>
      </c>
      <c r="Q188" s="86" t="inlineStr">
        <is>
          <t>desktop</t>
        </is>
      </c>
      <c r="R188" s="84" t="inlineStr">
        <is>
          <t>multiple</t>
        </is>
      </c>
      <c r="S188" s="84" t="inlineStr">
        <is>
          <t>dai_2021</t>
        </is>
      </c>
      <c r="T188" s="86" t="inlineStr">
        <is>
          <t>icdr</t>
        </is>
      </c>
      <c r="U188" s="84" t="inlineStr">
        <is>
          <t>hybrid</t>
        </is>
      </c>
      <c r="V188" s="86" t="inlineStr">
        <is>
          <t>expert panel</t>
        </is>
      </c>
      <c r="W188" s="56" t="inlineStr">
        <is>
          <t>no</t>
        </is>
      </c>
      <c r="X188" s="86" t="inlineStr">
        <is>
          <t>fundus</t>
        </is>
      </c>
      <c r="Y188" s="86" t="inlineStr">
        <is>
          <t>2</t>
        </is>
      </c>
      <c r="Z188" s="58" t="inlineStr">
        <is>
          <t>yes</t>
        </is>
      </c>
      <c r="AA188" s="58" t="inlineStr">
        <is>
          <t>no</t>
        </is>
      </c>
      <c r="AB188" s="86" t="inlineStr">
        <is>
          <t>no</t>
        </is>
      </c>
      <c r="AC188" s="84" t="inlineStr">
        <is>
          <t>yes</t>
        </is>
      </c>
      <c r="AD188" s="86" t="inlineStr">
        <is>
          <t>AI-assisted</t>
        </is>
      </c>
      <c r="AE188" s="86" t="inlineStr">
        <is>
          <t>asia</t>
        </is>
      </c>
      <c r="AF188" s="56" t="inlineStr">
        <is>
          <t>high</t>
        </is>
      </c>
      <c r="AG188" s="56" t="inlineStr">
        <is>
          <t>high</t>
        </is>
      </c>
      <c r="AH188" s="86" t="n">
        <v>500</v>
      </c>
      <c r="AI188" s="86" t="n">
        <v>0.2</v>
      </c>
      <c r="AJ188" s="86" t="n">
        <v>100</v>
      </c>
      <c r="AK188" s="86" t="n">
        <v>400</v>
      </c>
      <c r="AL188" s="86" t="n">
        <v>0.68</v>
      </c>
      <c r="AM188" s="86" t="n">
        <v>0.922</v>
      </c>
      <c r="AN188" s="86" t="n">
        <v>68</v>
      </c>
      <c r="AO188" s="86" t="n">
        <v>32</v>
      </c>
      <c r="AP188" s="86" t="n">
        <v>369</v>
      </c>
      <c r="AQ188" s="86" t="n">
        <v>31</v>
      </c>
    </row>
    <row r="189" ht="16" customHeight="1" s="55">
      <c r="A189" s="88" t="inlineStr">
        <is>
          <t>Dai et al. 2021</t>
        </is>
      </c>
      <c r="B189" s="86" t="inlineStr">
        <is>
          <t>Reader</t>
        </is>
      </c>
      <c r="C189" s="86" t="inlineStr">
        <is>
          <t>Primary healthcare workers (Unaided) — Severe NPDR (one-vs-all)</t>
        </is>
      </c>
      <c r="D189" s="84" t="inlineStr">
        <is>
          <t>physician</t>
        </is>
      </c>
      <c r="E189" s="84" t="inlineStr">
        <is>
          <t>human_only</t>
        </is>
      </c>
      <c r="F189" s="86" t="inlineStr">
        <is>
          <t>original</t>
        </is>
      </c>
      <c r="G189" s="86" t="inlineStr">
        <is>
          <t>retrospective</t>
        </is>
      </c>
      <c r="H189" s="84" t="inlineStr">
        <is>
          <t>cross-sectional</t>
        </is>
      </c>
      <c r="I189" s="84" t="inlineStr">
        <is>
          <t>yes</t>
        </is>
      </c>
      <c r="J189" s="84" t="inlineStr">
        <is>
          <t>community screening programme</t>
        </is>
      </c>
      <c r="K189" s="86" t="inlineStr">
        <is>
          <t>middle</t>
        </is>
      </c>
      <c r="L189" s="86" t="inlineStr">
        <is>
          <t>primary</t>
        </is>
      </c>
      <c r="M189" s="86" t="inlineStr">
        <is>
          <t>yes</t>
        </is>
      </c>
      <c r="N189" s="86" t="inlineStr">
        <is>
          <t>any dr</t>
        </is>
      </c>
      <c r="O189" s="86" t="inlineStr">
        <is>
          <t>yes</t>
        </is>
      </c>
      <c r="P189" s="86" t="inlineStr">
        <is>
          <t>non-mydriatic</t>
        </is>
      </c>
      <c r="Q189" s="86" t="inlineStr">
        <is>
          <t>desktop</t>
        </is>
      </c>
      <c r="R189" s="84" t="inlineStr">
        <is>
          <t>multiple</t>
        </is>
      </c>
      <c r="S189" s="84" t="inlineStr">
        <is>
          <t>dai_2021</t>
        </is>
      </c>
      <c r="T189" s="86" t="inlineStr">
        <is>
          <t>icdr</t>
        </is>
      </c>
      <c r="U189" s="84" t="inlineStr">
        <is>
          <t>hybrid</t>
        </is>
      </c>
      <c r="V189" s="86" t="inlineStr">
        <is>
          <t>expert panel</t>
        </is>
      </c>
      <c r="W189" s="56" t="inlineStr">
        <is>
          <t>no</t>
        </is>
      </c>
      <c r="X189" s="86" t="inlineStr">
        <is>
          <t>fundus</t>
        </is>
      </c>
      <c r="Y189" s="86" t="inlineStr">
        <is>
          <t>2</t>
        </is>
      </c>
      <c r="Z189" s="58" t="inlineStr">
        <is>
          <t>yes</t>
        </is>
      </c>
      <c r="AA189" s="58" t="inlineStr">
        <is>
          <t>no</t>
        </is>
      </c>
      <c r="AB189" s="86" t="inlineStr">
        <is>
          <t>no</t>
        </is>
      </c>
      <c r="AC189" s="84" t="inlineStr">
        <is>
          <t>yes</t>
        </is>
      </c>
      <c r="AD189" s="86" t="inlineStr">
        <is>
          <t>NR</t>
        </is>
      </c>
      <c r="AE189" s="86" t="inlineStr">
        <is>
          <t>asia</t>
        </is>
      </c>
      <c r="AF189" s="56" t="inlineStr">
        <is>
          <t>high</t>
        </is>
      </c>
      <c r="AG189" s="56" t="inlineStr">
        <is>
          <t>high</t>
        </is>
      </c>
      <c r="AH189" s="86" t="n">
        <v>500</v>
      </c>
      <c r="AI189" s="86" t="n">
        <v>0.2</v>
      </c>
      <c r="AJ189" s="86" t="n">
        <v>100</v>
      </c>
      <c r="AK189" s="86" t="n">
        <v>400</v>
      </c>
      <c r="AL189" s="86" t="n">
        <v>0.827</v>
      </c>
      <c r="AM189" s="86" t="n">
        <v>0.873</v>
      </c>
      <c r="AN189" s="86" t="n">
        <v>83</v>
      </c>
      <c r="AO189" s="86" t="n">
        <v>17</v>
      </c>
      <c r="AP189" s="86" t="n">
        <v>349</v>
      </c>
      <c r="AQ189" s="86" t="n">
        <v>51</v>
      </c>
    </row>
    <row r="190" ht="16" customHeight="1" s="55">
      <c r="A190" s="88" t="inlineStr">
        <is>
          <t>Dai et al. 2021</t>
        </is>
      </c>
      <c r="B190" s="86" t="inlineStr">
        <is>
          <t>DL_assisted_reader</t>
        </is>
      </c>
      <c r="C190" s="86" t="inlineStr">
        <is>
          <t>Primary healthcare workers (Aided) — Severe NPDR (one-vs-all)</t>
        </is>
      </c>
      <c r="D190" s="84" t="inlineStr">
        <is>
          <t>physician</t>
        </is>
      </c>
      <c r="E190" s="84" t="inlineStr">
        <is>
          <t>human_with_ai</t>
        </is>
      </c>
      <c r="F190" s="86" t="inlineStr">
        <is>
          <t>original</t>
        </is>
      </c>
      <c r="G190" s="86" t="inlineStr">
        <is>
          <t>retrospective</t>
        </is>
      </c>
      <c r="H190" s="84" t="inlineStr">
        <is>
          <t>cross-sectional</t>
        </is>
      </c>
      <c r="I190" s="84" t="inlineStr">
        <is>
          <t>yes</t>
        </is>
      </c>
      <c r="J190" s="84" t="inlineStr">
        <is>
          <t>community screening programme</t>
        </is>
      </c>
      <c r="K190" s="86" t="inlineStr">
        <is>
          <t>middle</t>
        </is>
      </c>
      <c r="L190" s="86" t="inlineStr">
        <is>
          <t>primary</t>
        </is>
      </c>
      <c r="M190" s="86" t="inlineStr">
        <is>
          <t>yes</t>
        </is>
      </c>
      <c r="N190" s="86" t="inlineStr">
        <is>
          <t>any dr</t>
        </is>
      </c>
      <c r="O190" s="86" t="inlineStr">
        <is>
          <t>yes</t>
        </is>
      </c>
      <c r="P190" s="86" t="inlineStr">
        <is>
          <t>non-mydriatic</t>
        </is>
      </c>
      <c r="Q190" s="86" t="inlineStr">
        <is>
          <t>desktop</t>
        </is>
      </c>
      <c r="R190" s="84" t="inlineStr">
        <is>
          <t>multiple</t>
        </is>
      </c>
      <c r="S190" s="84" t="inlineStr">
        <is>
          <t>dai_2021</t>
        </is>
      </c>
      <c r="T190" s="86" t="inlineStr">
        <is>
          <t>icdr</t>
        </is>
      </c>
      <c r="U190" s="84" t="inlineStr">
        <is>
          <t>hybrid</t>
        </is>
      </c>
      <c r="V190" s="86" t="inlineStr">
        <is>
          <t>expert panel</t>
        </is>
      </c>
      <c r="W190" s="56" t="inlineStr">
        <is>
          <t>no</t>
        </is>
      </c>
      <c r="X190" s="86" t="inlineStr">
        <is>
          <t>fundus</t>
        </is>
      </c>
      <c r="Y190" s="86" t="inlineStr">
        <is>
          <t>2</t>
        </is>
      </c>
      <c r="Z190" s="58" t="inlineStr">
        <is>
          <t>yes</t>
        </is>
      </c>
      <c r="AA190" s="58" t="inlineStr">
        <is>
          <t>no</t>
        </is>
      </c>
      <c r="AB190" s="86" t="inlineStr">
        <is>
          <t>no</t>
        </is>
      </c>
      <c r="AC190" s="84" t="inlineStr">
        <is>
          <t>yes</t>
        </is>
      </c>
      <c r="AD190" s="86" t="inlineStr">
        <is>
          <t>AI-assisted</t>
        </is>
      </c>
      <c r="AE190" s="86" t="inlineStr">
        <is>
          <t>asia</t>
        </is>
      </c>
      <c r="AF190" s="56" t="inlineStr">
        <is>
          <t>high</t>
        </is>
      </c>
      <c r="AG190" s="56" t="inlineStr">
        <is>
          <t>high</t>
        </is>
      </c>
      <c r="AH190" s="86" t="n">
        <v>500</v>
      </c>
      <c r="AI190" s="86" t="n">
        <v>0.2</v>
      </c>
      <c r="AJ190" s="86" t="n">
        <v>100</v>
      </c>
      <c r="AK190" s="86" t="n">
        <v>400</v>
      </c>
      <c r="AL190" s="86" t="n">
        <v>0.843</v>
      </c>
      <c r="AM190" s="86" t="n">
        <v>0.9350000000000001</v>
      </c>
      <c r="AN190" s="86" t="n">
        <v>84</v>
      </c>
      <c r="AO190" s="86" t="n">
        <v>16</v>
      </c>
      <c r="AP190" s="86" t="n">
        <v>374</v>
      </c>
      <c r="AQ190" s="86" t="n">
        <v>26</v>
      </c>
    </row>
    <row r="191" ht="16" customHeight="1" s="55">
      <c r="A191" s="88" t="inlineStr">
        <is>
          <t>Dai et al. 2021</t>
        </is>
      </c>
      <c r="B191" s="86" t="inlineStr">
        <is>
          <t>Reader</t>
        </is>
      </c>
      <c r="C191" s="86" t="inlineStr">
        <is>
          <t>Primary healthcare workers (Unaided) — PDR (one-vs-all)</t>
        </is>
      </c>
      <c r="D191" s="84" t="inlineStr">
        <is>
          <t>physician</t>
        </is>
      </c>
      <c r="E191" s="84" t="inlineStr">
        <is>
          <t>human_only</t>
        </is>
      </c>
      <c r="F191" s="86" t="inlineStr">
        <is>
          <t>original</t>
        </is>
      </c>
      <c r="G191" s="86" t="inlineStr">
        <is>
          <t>retrospective</t>
        </is>
      </c>
      <c r="H191" s="84" t="inlineStr">
        <is>
          <t>cross-sectional</t>
        </is>
      </c>
      <c r="I191" s="84" t="inlineStr">
        <is>
          <t>yes</t>
        </is>
      </c>
      <c r="J191" s="84" t="inlineStr">
        <is>
          <t>community screening programme</t>
        </is>
      </c>
      <c r="K191" s="86" t="inlineStr">
        <is>
          <t>middle</t>
        </is>
      </c>
      <c r="L191" s="86" t="inlineStr">
        <is>
          <t>primary</t>
        </is>
      </c>
      <c r="M191" s="86" t="inlineStr">
        <is>
          <t>yes</t>
        </is>
      </c>
      <c r="N191" s="86" t="inlineStr">
        <is>
          <t>any dr</t>
        </is>
      </c>
      <c r="O191" s="86" t="inlineStr">
        <is>
          <t>yes</t>
        </is>
      </c>
      <c r="P191" s="86" t="inlineStr">
        <is>
          <t>non-mydriatic</t>
        </is>
      </c>
      <c r="Q191" s="86" t="inlineStr">
        <is>
          <t>desktop</t>
        </is>
      </c>
      <c r="R191" s="84" t="inlineStr">
        <is>
          <t>multiple</t>
        </is>
      </c>
      <c r="S191" s="84" t="inlineStr">
        <is>
          <t>dai_2021</t>
        </is>
      </c>
      <c r="T191" s="86" t="inlineStr">
        <is>
          <t>icdr</t>
        </is>
      </c>
      <c r="U191" s="84" t="inlineStr">
        <is>
          <t>hybrid</t>
        </is>
      </c>
      <c r="V191" s="86" t="inlineStr">
        <is>
          <t>expert panel</t>
        </is>
      </c>
      <c r="W191" s="56" t="inlineStr">
        <is>
          <t>no</t>
        </is>
      </c>
      <c r="X191" s="86" t="inlineStr">
        <is>
          <t>fundus</t>
        </is>
      </c>
      <c r="Y191" s="86" t="inlineStr">
        <is>
          <t>2</t>
        </is>
      </c>
      <c r="Z191" s="58" t="inlineStr">
        <is>
          <t>yes</t>
        </is>
      </c>
      <c r="AA191" s="58" t="inlineStr">
        <is>
          <t>no</t>
        </is>
      </c>
      <c r="AB191" s="86" t="inlineStr">
        <is>
          <t>no</t>
        </is>
      </c>
      <c r="AC191" s="84" t="inlineStr">
        <is>
          <t>yes</t>
        </is>
      </c>
      <c r="AD191" s="86" t="inlineStr">
        <is>
          <t>NR</t>
        </is>
      </c>
      <c r="AE191" s="86" t="inlineStr">
        <is>
          <t>asia</t>
        </is>
      </c>
      <c r="AF191" s="56" t="inlineStr">
        <is>
          <t>high</t>
        </is>
      </c>
      <c r="AG191" s="56" t="inlineStr">
        <is>
          <t>high</t>
        </is>
      </c>
      <c r="AH191" s="86" t="n">
        <v>500</v>
      </c>
      <c r="AI191" s="86" t="n">
        <v>0.2</v>
      </c>
      <c r="AJ191" s="86" t="n">
        <v>100</v>
      </c>
      <c r="AK191" s="86" t="n">
        <v>400</v>
      </c>
      <c r="AL191" s="86" t="n">
        <v>0.827</v>
      </c>
      <c r="AM191" s="86" t="n">
        <v>0.903</v>
      </c>
      <c r="AN191" s="86" t="n">
        <v>83</v>
      </c>
      <c r="AO191" s="86" t="n">
        <v>17</v>
      </c>
      <c r="AP191" s="86" t="n">
        <v>361</v>
      </c>
      <c r="AQ191" s="86" t="n">
        <v>39</v>
      </c>
    </row>
    <row r="192" ht="16" customHeight="1" s="55">
      <c r="A192" s="88" t="inlineStr">
        <is>
          <t>Dai et al. 2021</t>
        </is>
      </c>
      <c r="B192" s="86" t="inlineStr">
        <is>
          <t>DL_assisted_reader</t>
        </is>
      </c>
      <c r="C192" s="86" t="inlineStr">
        <is>
          <t>Primary healthcare workers (Aided) — PDR (one-vs-all)</t>
        </is>
      </c>
      <c r="D192" s="84" t="inlineStr">
        <is>
          <t>physician</t>
        </is>
      </c>
      <c r="E192" s="84" t="inlineStr">
        <is>
          <t>human_with_ai</t>
        </is>
      </c>
      <c r="F192" s="86" t="inlineStr">
        <is>
          <t>original</t>
        </is>
      </c>
      <c r="G192" s="86" t="inlineStr">
        <is>
          <t>retrospective</t>
        </is>
      </c>
      <c r="H192" s="84" t="inlineStr">
        <is>
          <t>cross-sectional</t>
        </is>
      </c>
      <c r="I192" s="84" t="inlineStr">
        <is>
          <t>yes</t>
        </is>
      </c>
      <c r="J192" s="84" t="inlineStr">
        <is>
          <t>community screening programme</t>
        </is>
      </c>
      <c r="K192" s="86" t="inlineStr">
        <is>
          <t>middle</t>
        </is>
      </c>
      <c r="L192" s="86" t="inlineStr">
        <is>
          <t>primary</t>
        </is>
      </c>
      <c r="M192" s="86" t="inlineStr">
        <is>
          <t>yes</t>
        </is>
      </c>
      <c r="N192" s="86" t="inlineStr">
        <is>
          <t>any dr</t>
        </is>
      </c>
      <c r="O192" s="86" t="inlineStr">
        <is>
          <t>yes</t>
        </is>
      </c>
      <c r="P192" s="86" t="inlineStr">
        <is>
          <t>non-mydriatic</t>
        </is>
      </c>
      <c r="Q192" s="86" t="inlineStr">
        <is>
          <t>desktop</t>
        </is>
      </c>
      <c r="R192" s="84" t="inlineStr">
        <is>
          <t>multiple</t>
        </is>
      </c>
      <c r="S192" s="84" t="inlineStr">
        <is>
          <t>dai_2021</t>
        </is>
      </c>
      <c r="T192" s="86" t="inlineStr">
        <is>
          <t>icdr</t>
        </is>
      </c>
      <c r="U192" s="84" t="inlineStr">
        <is>
          <t>hybrid</t>
        </is>
      </c>
      <c r="V192" s="86" t="inlineStr">
        <is>
          <t>expert panel</t>
        </is>
      </c>
      <c r="W192" s="56" t="inlineStr">
        <is>
          <t>no</t>
        </is>
      </c>
      <c r="X192" s="86" t="inlineStr">
        <is>
          <t>fundus</t>
        </is>
      </c>
      <c r="Y192" s="86" t="inlineStr">
        <is>
          <t>2</t>
        </is>
      </c>
      <c r="Z192" s="58" t="inlineStr">
        <is>
          <t>yes</t>
        </is>
      </c>
      <c r="AA192" s="58" t="inlineStr">
        <is>
          <t>no</t>
        </is>
      </c>
      <c r="AB192" s="86" t="inlineStr">
        <is>
          <t>no</t>
        </is>
      </c>
      <c r="AC192" s="84" t="inlineStr">
        <is>
          <t>yes</t>
        </is>
      </c>
      <c r="AD192" s="86" t="inlineStr">
        <is>
          <t>AI-assisted</t>
        </is>
      </c>
      <c r="AE192" s="86" t="inlineStr">
        <is>
          <t>asia</t>
        </is>
      </c>
      <c r="AF192" s="56" t="inlineStr">
        <is>
          <t>high</t>
        </is>
      </c>
      <c r="AG192" s="56" t="inlineStr">
        <is>
          <t>high</t>
        </is>
      </c>
      <c r="AH192" s="86" t="n">
        <v>500</v>
      </c>
      <c r="AI192" s="86" t="n">
        <v>0.2</v>
      </c>
      <c r="AJ192" s="86" t="n">
        <v>100</v>
      </c>
      <c r="AK192" s="86" t="n">
        <v>400</v>
      </c>
      <c r="AL192" s="86" t="n">
        <v>0.843</v>
      </c>
      <c r="AM192" s="86" t="n">
        <v>0.922</v>
      </c>
      <c r="AN192" s="86" t="n">
        <v>84</v>
      </c>
      <c r="AO192" s="86" t="n">
        <v>16</v>
      </c>
      <c r="AP192" s="86" t="n">
        <v>369</v>
      </c>
      <c r="AQ192" s="86" t="n">
        <v>31</v>
      </c>
    </row>
    <row r="193" ht="16" customHeight="1" s="55">
      <c r="A193" s="88" t="inlineStr">
        <is>
          <t>Qiu et al. 2024</t>
        </is>
      </c>
      <c r="B193" s="86" t="inlineStr">
        <is>
          <t>DL</t>
        </is>
      </c>
      <c r="C193" s="86" t="inlineStr">
        <is>
          <t>VisionFM (few-shot; Group2 setting) — Mild NPDR vs others</t>
        </is>
      </c>
      <c r="D193" s="84" t="inlineStr">
        <is>
          <t>NR</t>
        </is>
      </c>
      <c r="E193" s="84" t="inlineStr">
        <is>
          <t>ai_only</t>
        </is>
      </c>
      <c r="F193" s="86" t="inlineStr">
        <is>
          <t>original</t>
        </is>
      </c>
      <c r="G193" s="86" t="inlineStr">
        <is>
          <t>retrospective</t>
        </is>
      </c>
      <c r="H193" s="84" t="inlineStr">
        <is>
          <t>cross-sectional</t>
        </is>
      </c>
      <c r="I193" s="84" t="inlineStr">
        <is>
          <t>yes</t>
        </is>
      </c>
      <c r="J193" s="84" t="inlineStr">
        <is>
          <t>datasets (public; private)</t>
        </is>
      </c>
      <c r="K193" s="86" t="inlineStr">
        <is>
          <t>mixed</t>
        </is>
      </c>
      <c r="L193" s="86" t="inlineStr">
        <is>
          <t>mixed</t>
        </is>
      </c>
      <c r="M193" s="86" t="inlineStr">
        <is>
          <t>yes</t>
        </is>
      </c>
      <c r="N193" s="86" t="inlineStr">
        <is>
          <t>any dr</t>
        </is>
      </c>
      <c r="O193" s="86" t="inlineStr">
        <is>
          <t>yes</t>
        </is>
      </c>
      <c r="P193" s="86" t="inlineStr">
        <is>
          <t>mixed</t>
        </is>
      </c>
      <c r="Q193" s="86" t="inlineStr">
        <is>
          <t>desktop</t>
        </is>
      </c>
      <c r="R193" s="84" t="inlineStr">
        <is>
          <t>multiple</t>
        </is>
      </c>
      <c r="S193" s="84" t="inlineStr">
        <is>
          <t>qiu_2024</t>
        </is>
      </c>
      <c r="T193" s="86" t="inlineStr">
        <is>
          <t>icdr</t>
        </is>
      </c>
      <c r="U193" s="84" t="inlineStr">
        <is>
          <t>PP</t>
        </is>
      </c>
      <c r="V193" s="86" t="inlineStr">
        <is>
          <t>expert panel</t>
        </is>
      </c>
      <c r="W193" s="56" t="inlineStr">
        <is>
          <t>no</t>
        </is>
      </c>
      <c r="X193" s="86" t="inlineStr">
        <is>
          <t>fundus</t>
        </is>
      </c>
      <c r="Y193" s="86" t="inlineStr">
        <is>
          <t>NR</t>
        </is>
      </c>
      <c r="Z193" s="32" t="inlineStr">
        <is>
          <t>no</t>
        </is>
      </c>
      <c r="AA193" s="86" t="inlineStr">
        <is>
          <t>yes</t>
        </is>
      </c>
      <c r="AB193" s="86" t="inlineStr">
        <is>
          <t>no</t>
        </is>
      </c>
      <c r="AC193" s="84" t="inlineStr">
        <is>
          <t>no</t>
        </is>
      </c>
      <c r="AD193" s="86" t="inlineStr">
        <is>
          <t>Transformer</t>
        </is>
      </c>
      <c r="AE193" s="86" t="inlineStr">
        <is>
          <t>mixed</t>
        </is>
      </c>
      <c r="AF193" s="56" t="inlineStr">
        <is>
          <t>high</t>
        </is>
      </c>
      <c r="AG193" s="56" t="inlineStr">
        <is>
          <t>high</t>
        </is>
      </c>
      <c r="AH193" s="86" t="n">
        <v>180</v>
      </c>
      <c r="AI193" s="86" t="n">
        <v>0.111</v>
      </c>
      <c r="AJ193" s="86" t="n">
        <v>20</v>
      </c>
      <c r="AK193" s="86" t="n">
        <v>160</v>
      </c>
      <c r="AL193" s="86" t="n">
        <v>0.41</v>
      </c>
      <c r="AM193" s="86" t="n">
        <v>0.959</v>
      </c>
      <c r="AN193" s="86" t="n">
        <v>8</v>
      </c>
      <c r="AO193" s="86" t="n">
        <v>12</v>
      </c>
      <c r="AP193" s="86" t="n">
        <v>153</v>
      </c>
      <c r="AQ193" s="86" t="n">
        <v>7</v>
      </c>
    </row>
    <row r="194" ht="16" customHeight="1" s="55">
      <c r="A194" s="88" t="inlineStr">
        <is>
          <t>Qiu et al. 2024</t>
        </is>
      </c>
      <c r="B194" s="86" t="inlineStr">
        <is>
          <t>Reader</t>
        </is>
      </c>
      <c r="C194" s="86" t="inlineStr">
        <is>
          <t>Junior ophthalmologists (Group2: watched tutorial) — Mild NPDR vs others</t>
        </is>
      </c>
      <c r="D194" s="84" t="inlineStr">
        <is>
          <t>ophthalmologist</t>
        </is>
      </c>
      <c r="E194" s="84" t="inlineStr">
        <is>
          <t>human_only</t>
        </is>
      </c>
      <c r="F194" s="86" t="inlineStr">
        <is>
          <t>original</t>
        </is>
      </c>
      <c r="G194" s="86" t="inlineStr">
        <is>
          <t>retrospective</t>
        </is>
      </c>
      <c r="H194" s="84" t="inlineStr">
        <is>
          <t>cross-sectional</t>
        </is>
      </c>
      <c r="I194" s="84" t="inlineStr">
        <is>
          <t>yes</t>
        </is>
      </c>
      <c r="J194" s="84" t="inlineStr">
        <is>
          <t>datasets (public; private)</t>
        </is>
      </c>
      <c r="K194" s="86" t="inlineStr">
        <is>
          <t>mixed</t>
        </is>
      </c>
      <c r="L194" s="86" t="inlineStr">
        <is>
          <t>mixed</t>
        </is>
      </c>
      <c r="M194" s="86" t="inlineStr">
        <is>
          <t>yes</t>
        </is>
      </c>
      <c r="N194" s="86" t="inlineStr">
        <is>
          <t>any dr</t>
        </is>
      </c>
      <c r="O194" s="86" t="inlineStr">
        <is>
          <t>yes</t>
        </is>
      </c>
      <c r="P194" s="86" t="inlineStr">
        <is>
          <t>mixed</t>
        </is>
      </c>
      <c r="Q194" s="86" t="inlineStr">
        <is>
          <t>desktop</t>
        </is>
      </c>
      <c r="R194" s="84" t="inlineStr">
        <is>
          <t>multiple</t>
        </is>
      </c>
      <c r="S194" s="84" t="inlineStr">
        <is>
          <t>qiu_2024</t>
        </is>
      </c>
      <c r="T194" s="86" t="inlineStr">
        <is>
          <t>icdr</t>
        </is>
      </c>
      <c r="U194" s="84" t="inlineStr">
        <is>
          <t>PP</t>
        </is>
      </c>
      <c r="V194" s="86" t="inlineStr">
        <is>
          <t>expert panel</t>
        </is>
      </c>
      <c r="W194" s="56" t="inlineStr">
        <is>
          <t>no</t>
        </is>
      </c>
      <c r="X194" s="86" t="inlineStr">
        <is>
          <t>fundus</t>
        </is>
      </c>
      <c r="Y194" s="86" t="inlineStr">
        <is>
          <t>NR</t>
        </is>
      </c>
      <c r="Z194" s="32" t="inlineStr">
        <is>
          <t>no</t>
        </is>
      </c>
      <c r="AA194" s="86" t="inlineStr">
        <is>
          <t>yes</t>
        </is>
      </c>
      <c r="AB194" s="86" t="inlineStr">
        <is>
          <t>no</t>
        </is>
      </c>
      <c r="AC194" s="84" t="inlineStr">
        <is>
          <t>no</t>
        </is>
      </c>
      <c r="AD194" s="86" t="inlineStr">
        <is>
          <t>NR</t>
        </is>
      </c>
      <c r="AE194" s="86" t="inlineStr">
        <is>
          <t>mixed</t>
        </is>
      </c>
      <c r="AF194" s="56" t="inlineStr">
        <is>
          <t>high</t>
        </is>
      </c>
      <c r="AG194" s="56" t="inlineStr">
        <is>
          <t>high</t>
        </is>
      </c>
      <c r="AH194" s="86" t="n">
        <v>180</v>
      </c>
      <c r="AI194" s="86" t="n">
        <v>0.111</v>
      </c>
      <c r="AJ194" s="86" t="n">
        <v>20</v>
      </c>
      <c r="AK194" s="86" t="n">
        <v>160</v>
      </c>
      <c r="AL194" s="86" t="n">
        <v>0.339</v>
      </c>
      <c r="AM194" s="86" t="n">
        <v>0.978</v>
      </c>
      <c r="AN194" s="86" t="n">
        <v>7</v>
      </c>
      <c r="AO194" s="86" t="n">
        <v>13</v>
      </c>
      <c r="AP194" s="86" t="n">
        <v>156</v>
      </c>
      <c r="AQ194" s="86" t="n">
        <v>4</v>
      </c>
    </row>
    <row r="195" ht="16" customHeight="1" s="55">
      <c r="A195" s="88" t="inlineStr">
        <is>
          <t>Qiu et al. 2024</t>
        </is>
      </c>
      <c r="B195" s="86" t="inlineStr">
        <is>
          <t>Reader</t>
        </is>
      </c>
      <c r="C195" s="86" t="inlineStr">
        <is>
          <t>Intermediate ophthalmologists (Group2: watched tutorial) — Mild NPDR vs others</t>
        </is>
      </c>
      <c r="D195" s="84" t="inlineStr">
        <is>
          <t>ophthalmologist</t>
        </is>
      </c>
      <c r="E195" s="84" t="inlineStr">
        <is>
          <t>human_only</t>
        </is>
      </c>
      <c r="F195" s="86" t="inlineStr">
        <is>
          <t>original</t>
        </is>
      </c>
      <c r="G195" s="86" t="inlineStr">
        <is>
          <t>retrospective</t>
        </is>
      </c>
      <c r="H195" s="84" t="inlineStr">
        <is>
          <t>cross-sectional</t>
        </is>
      </c>
      <c r="I195" s="84" t="inlineStr">
        <is>
          <t>yes</t>
        </is>
      </c>
      <c r="J195" s="84" t="inlineStr">
        <is>
          <t>datasets (public; private)</t>
        </is>
      </c>
      <c r="K195" s="86" t="inlineStr">
        <is>
          <t>mixed</t>
        </is>
      </c>
      <c r="L195" s="86" t="inlineStr">
        <is>
          <t>mixed</t>
        </is>
      </c>
      <c r="M195" s="86" t="inlineStr">
        <is>
          <t>yes</t>
        </is>
      </c>
      <c r="N195" s="86" t="inlineStr">
        <is>
          <t>any dr</t>
        </is>
      </c>
      <c r="O195" s="86" t="inlineStr">
        <is>
          <t>yes</t>
        </is>
      </c>
      <c r="P195" s="86" t="inlineStr">
        <is>
          <t>mixed</t>
        </is>
      </c>
      <c r="Q195" s="86" t="inlineStr">
        <is>
          <t>desktop</t>
        </is>
      </c>
      <c r="R195" s="84" t="inlineStr">
        <is>
          <t>multiple</t>
        </is>
      </c>
      <c r="S195" s="84" t="inlineStr">
        <is>
          <t>qiu_2024</t>
        </is>
      </c>
      <c r="T195" s="86" t="inlineStr">
        <is>
          <t>icdr</t>
        </is>
      </c>
      <c r="U195" s="84" t="inlineStr">
        <is>
          <t>PP</t>
        </is>
      </c>
      <c r="V195" s="86" t="inlineStr">
        <is>
          <t>expert panel</t>
        </is>
      </c>
      <c r="W195" s="56" t="inlineStr">
        <is>
          <t>no</t>
        </is>
      </c>
      <c r="X195" s="86" t="inlineStr">
        <is>
          <t>fundus</t>
        </is>
      </c>
      <c r="Y195" s="86" t="inlineStr">
        <is>
          <t>NR</t>
        </is>
      </c>
      <c r="Z195" s="32" t="inlineStr">
        <is>
          <t>no</t>
        </is>
      </c>
      <c r="AA195" s="86" t="inlineStr">
        <is>
          <t>yes</t>
        </is>
      </c>
      <c r="AB195" s="86" t="inlineStr">
        <is>
          <t>no</t>
        </is>
      </c>
      <c r="AC195" s="84" t="inlineStr">
        <is>
          <t>no</t>
        </is>
      </c>
      <c r="AD195" s="86" t="inlineStr">
        <is>
          <t>NR</t>
        </is>
      </c>
      <c r="AE195" s="86" t="inlineStr">
        <is>
          <t>mixed</t>
        </is>
      </c>
      <c r="AF195" s="56" t="inlineStr">
        <is>
          <t>high</t>
        </is>
      </c>
      <c r="AG195" s="56" t="inlineStr">
        <is>
          <t>high</t>
        </is>
      </c>
      <c r="AH195" s="86" t="n">
        <v>180</v>
      </c>
      <c r="AI195" s="86" t="n">
        <v>0.111</v>
      </c>
      <c r="AJ195" s="86" t="n">
        <v>20</v>
      </c>
      <c r="AK195" s="86" t="n">
        <v>160</v>
      </c>
      <c r="AL195" s="86" t="n">
        <v>0.405</v>
      </c>
      <c r="AM195" s="86" t="n">
        <v>0.967</v>
      </c>
      <c r="AN195" s="86" t="n">
        <v>8</v>
      </c>
      <c r="AO195" s="86" t="n">
        <v>12</v>
      </c>
      <c r="AP195" s="86" t="n">
        <v>155</v>
      </c>
      <c r="AQ195" s="86" t="n">
        <v>5</v>
      </c>
    </row>
    <row r="196" ht="16" customHeight="1" s="55">
      <c r="A196" s="88" t="inlineStr">
        <is>
          <t>Qiu et al. 2024</t>
        </is>
      </c>
      <c r="B196" s="86" t="inlineStr">
        <is>
          <t>DL</t>
        </is>
      </c>
      <c r="C196" s="86" t="inlineStr">
        <is>
          <t>VisionFM (few-shot; Group2 setting) — Moderate NPDR vs others</t>
        </is>
      </c>
      <c r="D196" s="84" t="inlineStr">
        <is>
          <t>NR</t>
        </is>
      </c>
      <c r="E196" s="84" t="inlineStr">
        <is>
          <t>ai_only</t>
        </is>
      </c>
      <c r="F196" s="86" t="inlineStr">
        <is>
          <t>original</t>
        </is>
      </c>
      <c r="G196" s="86" t="inlineStr">
        <is>
          <t>retrospective</t>
        </is>
      </c>
      <c r="H196" s="84" t="inlineStr">
        <is>
          <t>cross-sectional</t>
        </is>
      </c>
      <c r="I196" s="84" t="inlineStr">
        <is>
          <t>yes</t>
        </is>
      </c>
      <c r="J196" s="84" t="inlineStr">
        <is>
          <t>datasets (public; private)</t>
        </is>
      </c>
      <c r="K196" s="86" t="inlineStr">
        <is>
          <t>mixed</t>
        </is>
      </c>
      <c r="L196" s="86" t="inlineStr">
        <is>
          <t>mixed</t>
        </is>
      </c>
      <c r="M196" s="86" t="inlineStr">
        <is>
          <t>yes</t>
        </is>
      </c>
      <c r="N196" s="86" t="inlineStr">
        <is>
          <t>any dr</t>
        </is>
      </c>
      <c r="O196" s="86" t="inlineStr">
        <is>
          <t>yes</t>
        </is>
      </c>
      <c r="P196" s="86" t="inlineStr">
        <is>
          <t>mixed</t>
        </is>
      </c>
      <c r="Q196" s="86" t="inlineStr">
        <is>
          <t>desktop</t>
        </is>
      </c>
      <c r="R196" s="84" t="inlineStr">
        <is>
          <t>multiple</t>
        </is>
      </c>
      <c r="S196" s="84" t="inlineStr">
        <is>
          <t>qiu_2024</t>
        </is>
      </c>
      <c r="T196" s="86" t="inlineStr">
        <is>
          <t>icdr</t>
        </is>
      </c>
      <c r="U196" s="84" t="inlineStr">
        <is>
          <t>PP</t>
        </is>
      </c>
      <c r="V196" s="86" t="inlineStr">
        <is>
          <t>expert panel</t>
        </is>
      </c>
      <c r="W196" s="56" t="inlineStr">
        <is>
          <t>no</t>
        </is>
      </c>
      <c r="X196" s="86" t="inlineStr">
        <is>
          <t>fundus</t>
        </is>
      </c>
      <c r="Y196" s="86" t="inlineStr">
        <is>
          <t>NR</t>
        </is>
      </c>
      <c r="Z196" s="32" t="inlineStr">
        <is>
          <t>no</t>
        </is>
      </c>
      <c r="AA196" s="86" t="inlineStr">
        <is>
          <t>yes</t>
        </is>
      </c>
      <c r="AB196" s="86" t="inlineStr">
        <is>
          <t>no</t>
        </is>
      </c>
      <c r="AC196" s="84" t="inlineStr">
        <is>
          <t>no</t>
        </is>
      </c>
      <c r="AD196" s="86" t="inlineStr">
        <is>
          <t>Transformer</t>
        </is>
      </c>
      <c r="AE196" s="86" t="inlineStr">
        <is>
          <t>mixed</t>
        </is>
      </c>
      <c r="AF196" s="56" t="inlineStr">
        <is>
          <t>high</t>
        </is>
      </c>
      <c r="AG196" s="56" t="inlineStr">
        <is>
          <t>high</t>
        </is>
      </c>
      <c r="AH196" s="86" t="n">
        <v>180</v>
      </c>
      <c r="AI196" s="86" t="n">
        <v>0.111</v>
      </c>
      <c r="AJ196" s="86" t="n">
        <v>20</v>
      </c>
      <c r="AK196" s="86" t="n">
        <v>160</v>
      </c>
      <c r="AL196" s="86" t="n">
        <v>0.52</v>
      </c>
      <c r="AM196" s="86" t="n">
        <v>0.955</v>
      </c>
      <c r="AN196" s="86" t="n">
        <v>10</v>
      </c>
      <c r="AO196" s="86" t="n">
        <v>10</v>
      </c>
      <c r="AP196" s="86" t="n">
        <v>153</v>
      </c>
      <c r="AQ196" s="86" t="n">
        <v>7</v>
      </c>
    </row>
    <row r="197" ht="16" customHeight="1" s="55">
      <c r="A197" s="88" t="inlineStr">
        <is>
          <t>Qiu et al. 2024</t>
        </is>
      </c>
      <c r="B197" s="86" t="inlineStr">
        <is>
          <t>Reader</t>
        </is>
      </c>
      <c r="C197" s="86" t="inlineStr">
        <is>
          <t>Junior ophthalmologists (Group2: watched tutorial) — Moderate NPDR vs others</t>
        </is>
      </c>
      <c r="D197" s="84" t="inlineStr">
        <is>
          <t>ophthalmologist</t>
        </is>
      </c>
      <c r="E197" s="84" t="inlineStr">
        <is>
          <t>human_only</t>
        </is>
      </c>
      <c r="F197" s="86" t="inlineStr">
        <is>
          <t>original</t>
        </is>
      </c>
      <c r="G197" s="86" t="inlineStr">
        <is>
          <t>retrospective</t>
        </is>
      </c>
      <c r="H197" s="84" t="inlineStr">
        <is>
          <t>cross-sectional</t>
        </is>
      </c>
      <c r="I197" s="84" t="inlineStr">
        <is>
          <t>yes</t>
        </is>
      </c>
      <c r="J197" s="84" t="inlineStr">
        <is>
          <t>datasets (public; private)</t>
        </is>
      </c>
      <c r="K197" s="86" t="inlineStr">
        <is>
          <t>mixed</t>
        </is>
      </c>
      <c r="L197" s="86" t="inlineStr">
        <is>
          <t>mixed</t>
        </is>
      </c>
      <c r="M197" s="86" t="inlineStr">
        <is>
          <t>yes</t>
        </is>
      </c>
      <c r="N197" s="86" t="inlineStr">
        <is>
          <t>any dr</t>
        </is>
      </c>
      <c r="O197" s="86" t="inlineStr">
        <is>
          <t>yes</t>
        </is>
      </c>
      <c r="P197" s="86" t="inlineStr">
        <is>
          <t>mixed</t>
        </is>
      </c>
      <c r="Q197" s="86" t="inlineStr">
        <is>
          <t>desktop</t>
        </is>
      </c>
      <c r="R197" s="84" t="inlineStr">
        <is>
          <t>multiple</t>
        </is>
      </c>
      <c r="S197" s="84" t="inlineStr">
        <is>
          <t>qiu_2024</t>
        </is>
      </c>
      <c r="T197" s="86" t="inlineStr">
        <is>
          <t>icdr</t>
        </is>
      </c>
      <c r="U197" s="84" t="inlineStr">
        <is>
          <t>PP</t>
        </is>
      </c>
      <c r="V197" s="86" t="inlineStr">
        <is>
          <t>expert panel</t>
        </is>
      </c>
      <c r="W197" s="56" t="inlineStr">
        <is>
          <t>no</t>
        </is>
      </c>
      <c r="X197" s="86" t="inlineStr">
        <is>
          <t>fundus</t>
        </is>
      </c>
      <c r="Y197" s="86" t="inlineStr">
        <is>
          <t>NR</t>
        </is>
      </c>
      <c r="Z197" s="32" t="inlineStr">
        <is>
          <t>no</t>
        </is>
      </c>
      <c r="AA197" s="86" t="inlineStr">
        <is>
          <t>yes</t>
        </is>
      </c>
      <c r="AB197" s="86" t="inlineStr">
        <is>
          <t>no</t>
        </is>
      </c>
      <c r="AC197" s="84" t="inlineStr">
        <is>
          <t>no</t>
        </is>
      </c>
      <c r="AD197" s="86" t="inlineStr">
        <is>
          <t>NR</t>
        </is>
      </c>
      <c r="AE197" s="86" t="inlineStr">
        <is>
          <t>mixed</t>
        </is>
      </c>
      <c r="AF197" s="56" t="inlineStr">
        <is>
          <t>high</t>
        </is>
      </c>
      <c r="AG197" s="56" t="inlineStr">
        <is>
          <t>high</t>
        </is>
      </c>
      <c r="AH197" s="86" t="n">
        <v>180</v>
      </c>
      <c r="AI197" s="86" t="n">
        <v>0.111</v>
      </c>
      <c r="AJ197" s="86" t="n">
        <v>20</v>
      </c>
      <c r="AK197" s="86" t="n">
        <v>160</v>
      </c>
      <c r="AL197" s="86" t="n">
        <v>0.401</v>
      </c>
      <c r="AM197" s="86" t="n">
        <v>0.967</v>
      </c>
      <c r="AN197" s="86" t="n">
        <v>8</v>
      </c>
      <c r="AO197" s="86" t="n">
        <v>12</v>
      </c>
      <c r="AP197" s="86" t="n">
        <v>155</v>
      </c>
      <c r="AQ197" s="86" t="n">
        <v>5</v>
      </c>
    </row>
    <row r="198" ht="16" customHeight="1" s="55">
      <c r="A198" s="88" t="inlineStr">
        <is>
          <t>Qiu et al. 2024</t>
        </is>
      </c>
      <c r="B198" s="86" t="inlineStr">
        <is>
          <t>Reader</t>
        </is>
      </c>
      <c r="C198" s="86" t="inlineStr">
        <is>
          <t>Intermediate ophthalmologists (Group2: watched tutorial) — Moderate NPDR vs others</t>
        </is>
      </c>
      <c r="D198" s="84" t="inlineStr">
        <is>
          <t>ophthalmologist</t>
        </is>
      </c>
      <c r="E198" s="84" t="inlineStr">
        <is>
          <t>human_only</t>
        </is>
      </c>
      <c r="F198" s="86" t="inlineStr">
        <is>
          <t>original</t>
        </is>
      </c>
      <c r="G198" s="86" t="inlineStr">
        <is>
          <t>retrospective</t>
        </is>
      </c>
      <c r="H198" s="84" t="inlineStr">
        <is>
          <t>cross-sectional</t>
        </is>
      </c>
      <c r="I198" s="84" t="inlineStr">
        <is>
          <t>yes</t>
        </is>
      </c>
      <c r="J198" s="84" t="inlineStr">
        <is>
          <t>datasets (public; private)</t>
        </is>
      </c>
      <c r="K198" s="86" t="inlineStr">
        <is>
          <t>mixed</t>
        </is>
      </c>
      <c r="L198" s="86" t="inlineStr">
        <is>
          <t>mixed</t>
        </is>
      </c>
      <c r="M198" s="86" t="inlineStr">
        <is>
          <t>yes</t>
        </is>
      </c>
      <c r="N198" s="86" t="inlineStr">
        <is>
          <t>any dr</t>
        </is>
      </c>
      <c r="O198" s="86" t="inlineStr">
        <is>
          <t>yes</t>
        </is>
      </c>
      <c r="P198" s="86" t="inlineStr">
        <is>
          <t>mixed</t>
        </is>
      </c>
      <c r="Q198" s="86" t="inlineStr">
        <is>
          <t>desktop</t>
        </is>
      </c>
      <c r="R198" s="84" t="inlineStr">
        <is>
          <t>multiple</t>
        </is>
      </c>
      <c r="S198" s="84" t="inlineStr">
        <is>
          <t>qiu_2024</t>
        </is>
      </c>
      <c r="T198" s="86" t="inlineStr">
        <is>
          <t>icdr</t>
        </is>
      </c>
      <c r="U198" s="84" t="inlineStr">
        <is>
          <t>PP</t>
        </is>
      </c>
      <c r="V198" s="86" t="inlineStr">
        <is>
          <t>expert panel</t>
        </is>
      </c>
      <c r="W198" s="56" t="inlineStr">
        <is>
          <t>no</t>
        </is>
      </c>
      <c r="X198" s="86" t="inlineStr">
        <is>
          <t>fundus</t>
        </is>
      </c>
      <c r="Y198" s="86" t="inlineStr">
        <is>
          <t>NR</t>
        </is>
      </c>
      <c r="Z198" s="32" t="inlineStr">
        <is>
          <t>no</t>
        </is>
      </c>
      <c r="AA198" s="86" t="inlineStr">
        <is>
          <t>yes</t>
        </is>
      </c>
      <c r="AB198" s="86" t="inlineStr">
        <is>
          <t>no</t>
        </is>
      </c>
      <c r="AC198" s="84" t="inlineStr">
        <is>
          <t>no</t>
        </is>
      </c>
      <c r="AD198" s="86" t="inlineStr">
        <is>
          <t>NR</t>
        </is>
      </c>
      <c r="AE198" s="86" t="inlineStr">
        <is>
          <t>mixed</t>
        </is>
      </c>
      <c r="AF198" s="56" t="inlineStr">
        <is>
          <t>high</t>
        </is>
      </c>
      <c r="AG198" s="56" t="inlineStr">
        <is>
          <t>high</t>
        </is>
      </c>
      <c r="AH198" s="86" t="n">
        <v>180</v>
      </c>
      <c r="AI198" s="86" t="n">
        <v>0.111</v>
      </c>
      <c r="AJ198" s="86" t="n">
        <v>20</v>
      </c>
      <c r="AK198" s="86" t="n">
        <v>160</v>
      </c>
      <c r="AL198" s="86" t="n">
        <v>0.409</v>
      </c>
      <c r="AM198" s="86" t="n">
        <v>0.97</v>
      </c>
      <c r="AN198" s="86" t="n">
        <v>8</v>
      </c>
      <c r="AO198" s="86" t="n">
        <v>12</v>
      </c>
      <c r="AP198" s="86" t="n">
        <v>155</v>
      </c>
      <c r="AQ198" s="86" t="n">
        <v>5</v>
      </c>
    </row>
    <row r="199" ht="16" customHeight="1" s="55">
      <c r="A199" s="88" t="inlineStr">
        <is>
          <t>Qiu et al. 2024</t>
        </is>
      </c>
      <c r="B199" s="86" t="inlineStr">
        <is>
          <t>DL</t>
        </is>
      </c>
      <c r="C199" s="86" t="inlineStr">
        <is>
          <t>VisionFM (few-shot; Group2 setting) — Severe NPDR vs others</t>
        </is>
      </c>
      <c r="D199" s="84" t="inlineStr">
        <is>
          <t>NR</t>
        </is>
      </c>
      <c r="E199" s="84" t="inlineStr">
        <is>
          <t>ai_only</t>
        </is>
      </c>
      <c r="F199" s="86" t="inlineStr">
        <is>
          <t>original</t>
        </is>
      </c>
      <c r="G199" s="86" t="inlineStr">
        <is>
          <t>retrospective</t>
        </is>
      </c>
      <c r="H199" s="84" t="inlineStr">
        <is>
          <t>cross-sectional</t>
        </is>
      </c>
      <c r="I199" s="84" t="inlineStr">
        <is>
          <t>yes</t>
        </is>
      </c>
      <c r="J199" s="84" t="inlineStr">
        <is>
          <t>datasets (public; private)</t>
        </is>
      </c>
      <c r="K199" s="86" t="inlineStr">
        <is>
          <t>mixed</t>
        </is>
      </c>
      <c r="L199" s="86" t="inlineStr">
        <is>
          <t>mixed</t>
        </is>
      </c>
      <c r="M199" s="86" t="inlineStr">
        <is>
          <t>yes</t>
        </is>
      </c>
      <c r="N199" s="86" t="inlineStr">
        <is>
          <t>any dr</t>
        </is>
      </c>
      <c r="O199" s="86" t="inlineStr">
        <is>
          <t>yes</t>
        </is>
      </c>
      <c r="P199" s="86" t="inlineStr">
        <is>
          <t>mixed</t>
        </is>
      </c>
      <c r="Q199" s="86" t="inlineStr">
        <is>
          <t>desktop</t>
        </is>
      </c>
      <c r="R199" s="84" t="inlineStr">
        <is>
          <t>multiple</t>
        </is>
      </c>
      <c r="S199" s="84" t="inlineStr">
        <is>
          <t>qiu_2024</t>
        </is>
      </c>
      <c r="T199" s="86" t="inlineStr">
        <is>
          <t>icdr</t>
        </is>
      </c>
      <c r="U199" s="84" t="inlineStr">
        <is>
          <t>PP</t>
        </is>
      </c>
      <c r="V199" s="86" t="inlineStr">
        <is>
          <t>expert panel</t>
        </is>
      </c>
      <c r="W199" s="56" t="inlineStr">
        <is>
          <t>no</t>
        </is>
      </c>
      <c r="X199" s="86" t="inlineStr">
        <is>
          <t>fundus</t>
        </is>
      </c>
      <c r="Y199" s="86" t="inlineStr">
        <is>
          <t>NR</t>
        </is>
      </c>
      <c r="Z199" s="32" t="inlineStr">
        <is>
          <t>no</t>
        </is>
      </c>
      <c r="AA199" s="86" t="inlineStr">
        <is>
          <t>yes</t>
        </is>
      </c>
      <c r="AB199" s="86" t="inlineStr">
        <is>
          <t>no</t>
        </is>
      </c>
      <c r="AC199" s="84" t="inlineStr">
        <is>
          <t>no</t>
        </is>
      </c>
      <c r="AD199" s="86" t="inlineStr">
        <is>
          <t>Transformer</t>
        </is>
      </c>
      <c r="AE199" s="86" t="inlineStr">
        <is>
          <t>mixed</t>
        </is>
      </c>
      <c r="AF199" s="56" t="inlineStr">
        <is>
          <t>high</t>
        </is>
      </c>
      <c r="AG199" s="56" t="inlineStr">
        <is>
          <t>high</t>
        </is>
      </c>
      <c r="AH199" s="86" t="n">
        <v>180</v>
      </c>
      <c r="AI199" s="86" t="n">
        <v>0.117</v>
      </c>
      <c r="AJ199" s="86" t="n">
        <v>21</v>
      </c>
      <c r="AK199" s="86" t="n">
        <v>159</v>
      </c>
      <c r="AL199" s="86" t="n">
        <v>0.267</v>
      </c>
      <c r="AM199" s="86" t="n">
        <v>0.9419999999999999</v>
      </c>
      <c r="AN199" s="86" t="n">
        <v>6</v>
      </c>
      <c r="AO199" s="86" t="n">
        <v>15</v>
      </c>
      <c r="AP199" s="86" t="n">
        <v>150</v>
      </c>
      <c r="AQ199" s="86" t="n">
        <v>9</v>
      </c>
    </row>
    <row r="200" ht="16" customHeight="1" s="55">
      <c r="A200" s="88" t="inlineStr">
        <is>
          <t>Qiu et al. 2024</t>
        </is>
      </c>
      <c r="B200" s="86" t="inlineStr">
        <is>
          <t>Reader</t>
        </is>
      </c>
      <c r="C200" s="86" t="inlineStr">
        <is>
          <t>Junior ophthalmologists (Group2: watched tutorial) — Severe NPDR vs others</t>
        </is>
      </c>
      <c r="D200" s="84" t="inlineStr">
        <is>
          <t>ophthalmologist</t>
        </is>
      </c>
      <c r="E200" s="84" t="inlineStr">
        <is>
          <t>human_only</t>
        </is>
      </c>
      <c r="F200" s="86" t="inlineStr">
        <is>
          <t>original</t>
        </is>
      </c>
      <c r="G200" s="86" t="inlineStr">
        <is>
          <t>retrospective</t>
        </is>
      </c>
      <c r="H200" s="84" t="inlineStr">
        <is>
          <t>cross-sectional</t>
        </is>
      </c>
      <c r="I200" s="84" t="inlineStr">
        <is>
          <t>yes</t>
        </is>
      </c>
      <c r="J200" s="84" t="inlineStr">
        <is>
          <t>datasets (public; private)</t>
        </is>
      </c>
      <c r="K200" s="86" t="inlineStr">
        <is>
          <t>mixed</t>
        </is>
      </c>
      <c r="L200" s="86" t="inlineStr">
        <is>
          <t>mixed</t>
        </is>
      </c>
      <c r="M200" s="86" t="inlineStr">
        <is>
          <t>yes</t>
        </is>
      </c>
      <c r="N200" s="86" t="inlineStr">
        <is>
          <t>any dr</t>
        </is>
      </c>
      <c r="O200" s="86" t="inlineStr">
        <is>
          <t>yes</t>
        </is>
      </c>
      <c r="P200" s="86" t="inlineStr">
        <is>
          <t>mixed</t>
        </is>
      </c>
      <c r="Q200" s="86" t="inlineStr">
        <is>
          <t>desktop</t>
        </is>
      </c>
      <c r="R200" s="84" t="inlineStr">
        <is>
          <t>multiple</t>
        </is>
      </c>
      <c r="S200" s="84" t="inlineStr">
        <is>
          <t>qiu_2024</t>
        </is>
      </c>
      <c r="T200" s="86" t="inlineStr">
        <is>
          <t>icdr</t>
        </is>
      </c>
      <c r="U200" s="84" t="inlineStr">
        <is>
          <t>PP</t>
        </is>
      </c>
      <c r="V200" s="86" t="inlineStr">
        <is>
          <t>expert panel</t>
        </is>
      </c>
      <c r="W200" s="56" t="inlineStr">
        <is>
          <t>no</t>
        </is>
      </c>
      <c r="X200" s="86" t="inlineStr">
        <is>
          <t>fundus</t>
        </is>
      </c>
      <c r="Y200" s="86" t="inlineStr">
        <is>
          <t>NR</t>
        </is>
      </c>
      <c r="Z200" s="32" t="inlineStr">
        <is>
          <t>no</t>
        </is>
      </c>
      <c r="AA200" s="86" t="inlineStr">
        <is>
          <t>yes</t>
        </is>
      </c>
      <c r="AB200" s="86" t="inlineStr">
        <is>
          <t>no</t>
        </is>
      </c>
      <c r="AC200" s="84" t="inlineStr">
        <is>
          <t>no</t>
        </is>
      </c>
      <c r="AD200" s="86" t="inlineStr">
        <is>
          <t>NR</t>
        </is>
      </c>
      <c r="AE200" s="86" t="inlineStr">
        <is>
          <t>mixed</t>
        </is>
      </c>
      <c r="AF200" s="56" t="inlineStr">
        <is>
          <t>high</t>
        </is>
      </c>
      <c r="AG200" s="56" t="inlineStr">
        <is>
          <t>high</t>
        </is>
      </c>
      <c r="AH200" s="86" t="n">
        <v>180</v>
      </c>
      <c r="AI200" s="86" t="n">
        <v>0.117</v>
      </c>
      <c r="AJ200" s="86" t="n">
        <v>21</v>
      </c>
      <c r="AK200" s="86" t="n">
        <v>159</v>
      </c>
      <c r="AL200" s="86" t="n">
        <v>0.407</v>
      </c>
      <c r="AM200" s="86" t="n">
        <v>0.974</v>
      </c>
      <c r="AN200" s="86" t="n">
        <v>9</v>
      </c>
      <c r="AO200" s="86" t="n">
        <v>12</v>
      </c>
      <c r="AP200" s="86" t="n">
        <v>155</v>
      </c>
      <c r="AQ200" s="86" t="n">
        <v>4</v>
      </c>
    </row>
    <row r="201" ht="16" customHeight="1" s="55">
      <c r="A201" s="88" t="inlineStr">
        <is>
          <t>Qiu et al. 2024</t>
        </is>
      </c>
      <c r="B201" s="86" t="inlineStr">
        <is>
          <t>Reader</t>
        </is>
      </c>
      <c r="C201" s="86" t="inlineStr">
        <is>
          <t>Intermediate ophthalmologists (Group2: watched tutorial) — Severe NPDR vs others</t>
        </is>
      </c>
      <c r="D201" s="84" t="inlineStr">
        <is>
          <t>ophthalmologist</t>
        </is>
      </c>
      <c r="E201" s="84" t="inlineStr">
        <is>
          <t>human_only</t>
        </is>
      </c>
      <c r="F201" s="86" t="inlineStr">
        <is>
          <t>original</t>
        </is>
      </c>
      <c r="G201" s="86" t="inlineStr">
        <is>
          <t>retrospective</t>
        </is>
      </c>
      <c r="H201" s="84" t="inlineStr">
        <is>
          <t>cross-sectional</t>
        </is>
      </c>
      <c r="I201" s="84" t="inlineStr">
        <is>
          <t>yes</t>
        </is>
      </c>
      <c r="J201" s="84" t="inlineStr">
        <is>
          <t>datasets (public; private)</t>
        </is>
      </c>
      <c r="K201" s="86" t="inlineStr">
        <is>
          <t>mixed</t>
        </is>
      </c>
      <c r="L201" s="86" t="inlineStr">
        <is>
          <t>mixed</t>
        </is>
      </c>
      <c r="M201" s="86" t="inlineStr">
        <is>
          <t>yes</t>
        </is>
      </c>
      <c r="N201" s="86" t="inlineStr">
        <is>
          <t>any dr</t>
        </is>
      </c>
      <c r="O201" s="86" t="inlineStr">
        <is>
          <t>yes</t>
        </is>
      </c>
      <c r="P201" s="86" t="inlineStr">
        <is>
          <t>mixed</t>
        </is>
      </c>
      <c r="Q201" s="86" t="inlineStr">
        <is>
          <t>desktop</t>
        </is>
      </c>
      <c r="R201" s="84" t="inlineStr">
        <is>
          <t>multiple</t>
        </is>
      </c>
      <c r="S201" s="84" t="inlineStr">
        <is>
          <t>qiu_2024</t>
        </is>
      </c>
      <c r="T201" s="86" t="inlineStr">
        <is>
          <t>icdr</t>
        </is>
      </c>
      <c r="U201" s="84" t="inlineStr">
        <is>
          <t>PP</t>
        </is>
      </c>
      <c r="V201" s="86" t="inlineStr">
        <is>
          <t>expert panel</t>
        </is>
      </c>
      <c r="W201" s="56" t="inlineStr">
        <is>
          <t>no</t>
        </is>
      </c>
      <c r="X201" s="86" t="inlineStr">
        <is>
          <t>fundus</t>
        </is>
      </c>
      <c r="Y201" s="86" t="inlineStr">
        <is>
          <t>NR</t>
        </is>
      </c>
      <c r="Z201" s="32" t="inlineStr">
        <is>
          <t>no</t>
        </is>
      </c>
      <c r="AA201" s="86" t="inlineStr">
        <is>
          <t>yes</t>
        </is>
      </c>
      <c r="AB201" s="86" t="inlineStr">
        <is>
          <t>no</t>
        </is>
      </c>
      <c r="AC201" s="84" t="inlineStr">
        <is>
          <t>no</t>
        </is>
      </c>
      <c r="AD201" s="86" t="inlineStr">
        <is>
          <t>NR</t>
        </is>
      </c>
      <c r="AE201" s="86" t="inlineStr">
        <is>
          <t>mixed</t>
        </is>
      </c>
      <c r="AF201" s="56" t="inlineStr">
        <is>
          <t>high</t>
        </is>
      </c>
      <c r="AG201" s="56" t="inlineStr">
        <is>
          <t>high</t>
        </is>
      </c>
      <c r="AH201" s="86" t="n">
        <v>180</v>
      </c>
      <c r="AI201" s="86" t="n">
        <v>0.117</v>
      </c>
      <c r="AJ201" s="86" t="n">
        <v>21</v>
      </c>
      <c r="AK201" s="86" t="n">
        <v>159</v>
      </c>
      <c r="AL201" s="86" t="n">
        <v>0.518</v>
      </c>
      <c r="AM201" s="86" t="n">
        <v>0.976</v>
      </c>
      <c r="AN201" s="86" t="n">
        <v>11</v>
      </c>
      <c r="AO201" s="86" t="n">
        <v>10</v>
      </c>
      <c r="AP201" s="86" t="n">
        <v>155</v>
      </c>
      <c r="AQ201" s="86" t="n">
        <v>4</v>
      </c>
    </row>
    <row r="202" ht="16" customHeight="1" s="55">
      <c r="A202" s="88" t="inlineStr">
        <is>
          <t>Qiu et al. 2024</t>
        </is>
      </c>
      <c r="B202" s="86" t="inlineStr">
        <is>
          <t>DL</t>
        </is>
      </c>
      <c r="C202" s="86" t="inlineStr">
        <is>
          <t>VisionFM (few-shot; Group2 setting) — PDR vs others</t>
        </is>
      </c>
      <c r="D202" s="84" t="inlineStr">
        <is>
          <t>NR</t>
        </is>
      </c>
      <c r="E202" s="84" t="inlineStr">
        <is>
          <t>ai_only</t>
        </is>
      </c>
      <c r="F202" s="86" t="inlineStr">
        <is>
          <t>original</t>
        </is>
      </c>
      <c r="G202" s="86" t="inlineStr">
        <is>
          <t>retrospective</t>
        </is>
      </c>
      <c r="H202" s="84" t="inlineStr">
        <is>
          <t>cross-sectional</t>
        </is>
      </c>
      <c r="I202" s="84" t="inlineStr">
        <is>
          <t>yes</t>
        </is>
      </c>
      <c r="J202" s="84" t="inlineStr">
        <is>
          <t>datasets (public; private)</t>
        </is>
      </c>
      <c r="K202" s="86" t="inlineStr">
        <is>
          <t>mixed</t>
        </is>
      </c>
      <c r="L202" s="86" t="inlineStr">
        <is>
          <t>mixed</t>
        </is>
      </c>
      <c r="M202" s="86" t="inlineStr">
        <is>
          <t>yes</t>
        </is>
      </c>
      <c r="N202" s="86" t="inlineStr">
        <is>
          <t>vtdr</t>
        </is>
      </c>
      <c r="O202" s="86" t="inlineStr">
        <is>
          <t>yes</t>
        </is>
      </c>
      <c r="P202" s="86" t="inlineStr">
        <is>
          <t>mixed</t>
        </is>
      </c>
      <c r="Q202" s="86" t="inlineStr">
        <is>
          <t>desktop</t>
        </is>
      </c>
      <c r="R202" s="84" t="inlineStr">
        <is>
          <t>multiple</t>
        </is>
      </c>
      <c r="S202" s="84" t="inlineStr">
        <is>
          <t>qiu_2024</t>
        </is>
      </c>
      <c r="T202" s="86" t="inlineStr">
        <is>
          <t>icdr</t>
        </is>
      </c>
      <c r="U202" s="84" t="inlineStr">
        <is>
          <t>PP</t>
        </is>
      </c>
      <c r="V202" s="86" t="inlineStr">
        <is>
          <t>expert panel</t>
        </is>
      </c>
      <c r="W202" s="56" t="inlineStr">
        <is>
          <t>no</t>
        </is>
      </c>
      <c r="X202" s="86" t="inlineStr">
        <is>
          <t>fundus</t>
        </is>
      </c>
      <c r="Y202" s="86" t="inlineStr">
        <is>
          <t>NR</t>
        </is>
      </c>
      <c r="Z202" s="32" t="inlineStr">
        <is>
          <t>no</t>
        </is>
      </c>
      <c r="AA202" s="86" t="inlineStr">
        <is>
          <t>yes</t>
        </is>
      </c>
      <c r="AB202" s="86" t="inlineStr">
        <is>
          <t>no</t>
        </is>
      </c>
      <c r="AC202" s="84" t="inlineStr">
        <is>
          <t>no</t>
        </is>
      </c>
      <c r="AD202" s="86" t="inlineStr">
        <is>
          <t>Transformer</t>
        </is>
      </c>
      <c r="AE202" s="86" t="inlineStr">
        <is>
          <t>mixed</t>
        </is>
      </c>
      <c r="AF202" s="56" t="inlineStr">
        <is>
          <t>high</t>
        </is>
      </c>
      <c r="AG202" s="56" t="inlineStr">
        <is>
          <t>high</t>
        </is>
      </c>
      <c r="AH202" s="86" t="n">
        <v>180</v>
      </c>
      <c r="AI202" s="86" t="n">
        <v>0.094</v>
      </c>
      <c r="AJ202" s="86" t="n">
        <v>17</v>
      </c>
      <c r="AK202" s="86" t="n">
        <v>163</v>
      </c>
      <c r="AL202" s="86" t="n">
        <v>0.471</v>
      </c>
      <c r="AM202" s="86" t="n">
        <v>0.962</v>
      </c>
      <c r="AN202" s="86" t="n">
        <v>8</v>
      </c>
      <c r="AO202" s="86" t="n">
        <v>9</v>
      </c>
      <c r="AP202" s="86" t="n">
        <v>157</v>
      </c>
      <c r="AQ202" s="86" t="n">
        <v>6</v>
      </c>
    </row>
    <row r="203" ht="16" customHeight="1" s="55">
      <c r="A203" s="88" t="inlineStr">
        <is>
          <t>Qiu et al. 2024</t>
        </is>
      </c>
      <c r="B203" s="86" t="inlineStr">
        <is>
          <t>Reader</t>
        </is>
      </c>
      <c r="C203" s="86" t="inlineStr">
        <is>
          <t>Junior ophthalmologists (Group2: watched tutorial) — PDR vs others</t>
        </is>
      </c>
      <c r="D203" s="84" t="inlineStr">
        <is>
          <t>ophthalmologist</t>
        </is>
      </c>
      <c r="E203" s="84" t="inlineStr">
        <is>
          <t>human_only</t>
        </is>
      </c>
      <c r="F203" s="86" t="inlineStr">
        <is>
          <t>original</t>
        </is>
      </c>
      <c r="G203" s="86" t="inlineStr">
        <is>
          <t>retrospective</t>
        </is>
      </c>
      <c r="H203" s="84" t="inlineStr">
        <is>
          <t>cross-sectional</t>
        </is>
      </c>
      <c r="I203" s="84" t="inlineStr">
        <is>
          <t>yes</t>
        </is>
      </c>
      <c r="J203" s="84" t="inlineStr">
        <is>
          <t>datasets (public; private)</t>
        </is>
      </c>
      <c r="K203" s="86" t="inlineStr">
        <is>
          <t>mixed</t>
        </is>
      </c>
      <c r="L203" s="86" t="inlineStr">
        <is>
          <t>mixed</t>
        </is>
      </c>
      <c r="M203" s="86" t="inlineStr">
        <is>
          <t>yes</t>
        </is>
      </c>
      <c r="N203" s="86" t="inlineStr">
        <is>
          <t>vtdr</t>
        </is>
      </c>
      <c r="O203" s="86" t="inlineStr">
        <is>
          <t>yes</t>
        </is>
      </c>
      <c r="P203" s="86" t="inlineStr">
        <is>
          <t>mixed</t>
        </is>
      </c>
      <c r="Q203" s="86" t="inlineStr">
        <is>
          <t>desktop</t>
        </is>
      </c>
      <c r="R203" s="84" t="inlineStr">
        <is>
          <t>multiple</t>
        </is>
      </c>
      <c r="S203" s="84" t="inlineStr">
        <is>
          <t>qiu_2024</t>
        </is>
      </c>
      <c r="T203" s="86" t="inlineStr">
        <is>
          <t>icdr</t>
        </is>
      </c>
      <c r="U203" s="84" t="inlineStr">
        <is>
          <t>PP</t>
        </is>
      </c>
      <c r="V203" s="86" t="inlineStr">
        <is>
          <t>expert panel</t>
        </is>
      </c>
      <c r="W203" s="56" t="inlineStr">
        <is>
          <t>no</t>
        </is>
      </c>
      <c r="X203" s="86" t="inlineStr">
        <is>
          <t>fundus</t>
        </is>
      </c>
      <c r="Y203" s="86" t="inlineStr">
        <is>
          <t>NR</t>
        </is>
      </c>
      <c r="Z203" s="32" t="inlineStr">
        <is>
          <t>no</t>
        </is>
      </c>
      <c r="AA203" s="86" t="inlineStr">
        <is>
          <t>yes</t>
        </is>
      </c>
      <c r="AB203" s="86" t="inlineStr">
        <is>
          <t>no</t>
        </is>
      </c>
      <c r="AC203" s="84" t="inlineStr">
        <is>
          <t>no</t>
        </is>
      </c>
      <c r="AD203" s="86" t="inlineStr">
        <is>
          <t>NR</t>
        </is>
      </c>
      <c r="AE203" s="86" t="inlineStr">
        <is>
          <t>mixed</t>
        </is>
      </c>
      <c r="AF203" s="56" t="inlineStr">
        <is>
          <t>high</t>
        </is>
      </c>
      <c r="AG203" s="56" t="inlineStr">
        <is>
          <t>high</t>
        </is>
      </c>
      <c r="AH203" s="86" t="n">
        <v>180</v>
      </c>
      <c r="AI203" s="86" t="n">
        <v>0.094</v>
      </c>
      <c r="AJ203" s="86" t="n">
        <v>17</v>
      </c>
      <c r="AK203" s="86" t="n">
        <v>163</v>
      </c>
      <c r="AL203" s="86" t="n">
        <v>0.678</v>
      </c>
      <c r="AM203" s="86" t="n">
        <v>0.96</v>
      </c>
      <c r="AN203" s="86" t="n">
        <v>12</v>
      </c>
      <c r="AO203" s="86" t="n">
        <v>5</v>
      </c>
      <c r="AP203" s="86" t="n">
        <v>156</v>
      </c>
      <c r="AQ203" s="86" t="n">
        <v>7</v>
      </c>
    </row>
    <row r="204" ht="16" customHeight="1" s="55">
      <c r="A204" s="88" t="inlineStr">
        <is>
          <t>Qiu et al. 2024</t>
        </is>
      </c>
      <c r="B204" s="86" t="inlineStr">
        <is>
          <t>Reader</t>
        </is>
      </c>
      <c r="C204" s="86" t="inlineStr">
        <is>
          <t>Intermediate ophthalmologists (Group2: watched tutorial) — PDR vs others</t>
        </is>
      </c>
      <c r="D204" s="84" t="inlineStr">
        <is>
          <t>ophthalmologist</t>
        </is>
      </c>
      <c r="E204" s="84" t="inlineStr">
        <is>
          <t>human_only</t>
        </is>
      </c>
      <c r="F204" s="86" t="inlineStr">
        <is>
          <t>original</t>
        </is>
      </c>
      <c r="G204" s="86" t="inlineStr">
        <is>
          <t>retrospective</t>
        </is>
      </c>
      <c r="H204" s="84" t="inlineStr">
        <is>
          <t>cross-sectional</t>
        </is>
      </c>
      <c r="I204" s="84" t="inlineStr">
        <is>
          <t>yes</t>
        </is>
      </c>
      <c r="J204" s="84" t="inlineStr">
        <is>
          <t>datasets (public; private)</t>
        </is>
      </c>
      <c r="K204" s="86" t="inlineStr">
        <is>
          <t>mixed</t>
        </is>
      </c>
      <c r="L204" s="86" t="inlineStr">
        <is>
          <t>mixed</t>
        </is>
      </c>
      <c r="M204" s="86" t="inlineStr">
        <is>
          <t>yes</t>
        </is>
      </c>
      <c r="N204" s="86" t="inlineStr">
        <is>
          <t>vtdr</t>
        </is>
      </c>
      <c r="O204" s="86" t="inlineStr">
        <is>
          <t>yes</t>
        </is>
      </c>
      <c r="P204" s="86" t="inlineStr">
        <is>
          <t>mixed</t>
        </is>
      </c>
      <c r="Q204" s="86" t="inlineStr">
        <is>
          <t>desktop</t>
        </is>
      </c>
      <c r="R204" s="84" t="inlineStr">
        <is>
          <t>multiple</t>
        </is>
      </c>
      <c r="S204" s="84" t="inlineStr">
        <is>
          <t>qiu_2024</t>
        </is>
      </c>
      <c r="T204" s="86" t="inlineStr">
        <is>
          <t>icdr</t>
        </is>
      </c>
      <c r="U204" s="84" t="inlineStr">
        <is>
          <t>PP</t>
        </is>
      </c>
      <c r="V204" s="86" t="inlineStr">
        <is>
          <t>expert panel</t>
        </is>
      </c>
      <c r="W204" s="56" t="inlineStr">
        <is>
          <t>no</t>
        </is>
      </c>
      <c r="X204" s="86" t="inlineStr">
        <is>
          <t>fundus</t>
        </is>
      </c>
      <c r="Y204" s="86" t="inlineStr">
        <is>
          <t>NR</t>
        </is>
      </c>
      <c r="Z204" s="32" t="inlineStr">
        <is>
          <t>no</t>
        </is>
      </c>
      <c r="AA204" s="86" t="inlineStr">
        <is>
          <t>yes</t>
        </is>
      </c>
      <c r="AB204" s="86" t="inlineStr">
        <is>
          <t>no</t>
        </is>
      </c>
      <c r="AC204" s="84" t="inlineStr">
        <is>
          <t>no</t>
        </is>
      </c>
      <c r="AD204" s="86" t="inlineStr">
        <is>
          <t>NR</t>
        </is>
      </c>
      <c r="AE204" s="86" t="inlineStr">
        <is>
          <t>mixed</t>
        </is>
      </c>
      <c r="AF204" s="56" t="inlineStr">
        <is>
          <t>high</t>
        </is>
      </c>
      <c r="AG204" s="56" t="inlineStr">
        <is>
          <t>high</t>
        </is>
      </c>
      <c r="AH204" s="86" t="n">
        <v>180</v>
      </c>
      <c r="AI204" s="86" t="n">
        <v>0.094</v>
      </c>
      <c r="AJ204" s="86" t="n">
        <v>17</v>
      </c>
      <c r="AK204" s="86" t="n">
        <v>163</v>
      </c>
      <c r="AL204" s="86" t="n">
        <v>0.799</v>
      </c>
      <c r="AM204" s="86" t="n">
        <v>0.963</v>
      </c>
      <c r="AN204" s="86" t="n">
        <v>14</v>
      </c>
      <c r="AO204" s="86" t="n">
        <v>3</v>
      </c>
      <c r="AP204" s="86" t="n">
        <v>157</v>
      </c>
      <c r="AQ204" s="86" t="n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54"/>
  <sheetViews>
    <sheetView zoomScaleNormal="100" workbookViewId="0">
      <pane xSplit="2" ySplit="1" topLeftCell="T4" activePane="bottomRight" state="frozen"/>
      <selection pane="topRight" activeCell="C1" sqref="C1"/>
      <selection pane="bottomLeft" activeCell="A2" sqref="A2"/>
      <selection pane="bottomRight" activeCell="A15" sqref="A15:XFD15"/>
    </sheetView>
  </sheetViews>
  <sheetFormatPr baseColWidth="10" defaultColWidth="11" defaultRowHeight="15"/>
  <cols>
    <col width="27.5" customWidth="1" style="20" min="1" max="1"/>
    <col width="8.6640625" bestFit="1" customWidth="1" style="55" min="2" max="2"/>
    <col width="19.5" customWidth="1" style="55" min="3" max="3"/>
    <col width="9.1640625" bestFit="1" customWidth="1" style="55" min="4" max="4"/>
    <col width="14.6640625" bestFit="1" customWidth="1" style="55" min="5" max="5"/>
    <col width="11.1640625" customWidth="1" style="55" min="6" max="6"/>
    <col width="12" customWidth="1" style="55" min="7" max="8"/>
    <col width="9.6640625" bestFit="1" customWidth="1" style="55" min="9" max="9"/>
    <col width="13.83203125" customWidth="1" style="55" min="10" max="10"/>
    <col width="15.33203125" bestFit="1" customWidth="1" style="55" min="11" max="12"/>
    <col width="9.6640625" bestFit="1" customWidth="1" style="55" min="13" max="13"/>
    <col width="10" customWidth="1" style="55" min="14" max="14"/>
    <col width="17.33203125" customWidth="1" style="55" min="15" max="15"/>
    <col width="12.33203125" customWidth="1" style="55" min="16" max="16"/>
    <col width="20.6640625" customWidth="1" style="55" min="17" max="17"/>
    <col width="6.1640625" customWidth="1" style="55" min="18" max="18"/>
    <col width="8.83203125" customWidth="1" style="55" min="19" max="19"/>
    <col width="12.33203125" customWidth="1" style="55" min="20" max="20"/>
    <col width="9.1640625" customWidth="1" style="55" min="21" max="21"/>
    <col width="15.83203125" customWidth="1" style="55" min="22" max="22"/>
    <col width="15" customWidth="1" style="55" min="23" max="23"/>
    <col width="12.33203125" customWidth="1" style="55" min="24" max="24"/>
    <col width="12.6640625" customWidth="1" style="55" min="25" max="26"/>
    <col width="14.6640625" bestFit="1" customWidth="1" style="55" min="27" max="27"/>
    <col width="14.6640625" customWidth="1" style="55" min="28" max="28"/>
    <col width="13" bestFit="1" customWidth="1" style="55" min="29" max="29"/>
    <col width="9.6640625" customWidth="1" style="55" min="30" max="30"/>
    <col width="11.5" customWidth="1" style="55" min="31" max="31"/>
    <col width="12.1640625" bestFit="1" customWidth="1" style="55" min="32" max="33"/>
    <col width="7" customWidth="1" style="55" min="34" max="34"/>
    <col width="7.6640625" customWidth="1" style="55" min="35" max="35"/>
    <col width="9.1640625" customWidth="1" style="55" min="36" max="36"/>
    <col width="7.83203125" customWidth="1" style="55" min="37" max="37"/>
    <col width="16.5" customWidth="1" style="55" min="38" max="38"/>
    <col width="11.5" bestFit="1" customWidth="1" style="55" min="51" max="51"/>
    <col width="13" bestFit="1" customWidth="1" style="55" min="52" max="52"/>
    <col width="10" bestFit="1" customWidth="1" style="55" min="53" max="53"/>
    <col width="12.83203125" customWidth="1" style="55" min="54" max="54"/>
    <col width="12.1640625" bestFit="1" customWidth="1" style="55" min="55" max="56"/>
    <col width="5.5" bestFit="1" customWidth="1" style="55" min="57" max="57"/>
    <col width="12.1640625" customWidth="1" style="55" min="58" max="58"/>
    <col width="7.83203125" bestFit="1" customWidth="1" style="55" min="59" max="59"/>
    <col width="10.83203125" customWidth="1" style="55" min="60" max="60"/>
  </cols>
  <sheetData>
    <row r="1" ht="16" customFormat="1" customHeight="1" s="20">
      <c r="A1" s="88" t="inlineStr">
        <is>
          <t>authoryr</t>
        </is>
      </c>
      <c r="B1" s="88" t="inlineStr">
        <is>
          <t>test</t>
        </is>
      </c>
      <c r="C1" s="88" t="inlineStr">
        <is>
          <t>readerexpertise</t>
        </is>
      </c>
      <c r="D1" s="88" t="inlineStr">
        <is>
          <t>article</t>
        </is>
      </c>
      <c r="E1" s="88" t="inlineStr">
        <is>
          <t>study</t>
        </is>
      </c>
      <c r="F1" s="88" t="inlineStr">
        <is>
          <t>economic</t>
        </is>
      </c>
      <c r="G1" s="88" t="inlineStr">
        <is>
          <t>healthcare</t>
        </is>
      </c>
      <c r="H1" s="88" t="inlineStr">
        <is>
          <t>external</t>
        </is>
      </c>
      <c r="I1" s="88" t="inlineStr">
        <is>
          <t>dr</t>
        </is>
      </c>
      <c r="J1" s="88" t="inlineStr">
        <is>
          <t>othereyetarget</t>
        </is>
      </c>
      <c r="K1" s="88" t="inlineStr">
        <is>
          <t>pupil</t>
        </is>
      </c>
      <c r="L1" s="88" t="inlineStr">
        <is>
          <t>ctype</t>
        </is>
      </c>
      <c r="M1" s="88" t="inlineStr">
        <is>
          <t>camera</t>
        </is>
      </c>
      <c r="N1" s="88" t="inlineStr">
        <is>
          <t>criteria</t>
        </is>
      </c>
      <c r="O1" s="88" t="inlineStr">
        <is>
          <t>rstandard</t>
        </is>
      </c>
      <c r="P1" s="88" t="inlineStr">
        <is>
          <t>disagree</t>
        </is>
      </c>
      <c r="Q1" s="88" t="inlineStr">
        <is>
          <t>rimage</t>
        </is>
      </c>
      <c r="R1" s="88" t="inlineStr">
        <is>
          <t>field</t>
        </is>
      </c>
      <c r="S1" s="88" t="inlineStr">
        <is>
          <t>vendor</t>
        </is>
      </c>
      <c r="T1" s="88" t="inlineStr">
        <is>
          <t>commercial</t>
        </is>
      </c>
      <c r="U1" s="88" t="inlineStr">
        <is>
          <t>certified</t>
        </is>
      </c>
      <c r="V1" s="88" t="inlineStr">
        <is>
          <t>architecture</t>
        </is>
      </c>
      <c r="W1" s="88" t="inlineStr">
        <is>
          <t>region</t>
        </is>
      </c>
      <c r="X1" s="88" t="inlineStr">
        <is>
          <t>aigradable</t>
        </is>
      </c>
      <c r="Y1" s="88" t="inlineStr">
        <is>
          <t>hgradable</t>
        </is>
      </c>
      <c r="Z1" s="88" t="inlineStr">
        <is>
          <t>ungradable</t>
        </is>
      </c>
      <c r="AA1" s="88" t="inlineStr">
        <is>
          <t>Total_ai1</t>
        </is>
      </c>
      <c r="AB1" s="88" t="inlineStr">
        <is>
          <t>prevalance</t>
        </is>
      </c>
      <c r="AC1" s="103" t="inlineStr">
        <is>
          <t>Prevalence1</t>
        </is>
      </c>
      <c r="AD1" s="103" t="inlineStr">
        <is>
          <t>Positive1</t>
        </is>
      </c>
      <c r="AE1" s="103" t="inlineStr">
        <is>
          <t>Negative1</t>
        </is>
      </c>
      <c r="AF1" s="103" t="inlineStr">
        <is>
          <t>Sensitivity1</t>
        </is>
      </c>
      <c r="AG1" s="103" t="inlineStr">
        <is>
          <t>Specificity1</t>
        </is>
      </c>
      <c r="AH1" s="88" t="inlineStr">
        <is>
          <t>tp1</t>
        </is>
      </c>
      <c r="AI1" s="88" t="inlineStr">
        <is>
          <t>fn1</t>
        </is>
      </c>
      <c r="AJ1" s="88" t="inlineStr">
        <is>
          <t>tn1</t>
        </is>
      </c>
      <c r="AK1" s="88" t="inlineStr">
        <is>
          <t>fp1</t>
        </is>
      </c>
      <c r="AL1" s="88" t="inlineStr">
        <is>
          <t>Total_reader2</t>
        </is>
      </c>
      <c r="AM1" s="103" t="inlineStr">
        <is>
          <t>Prevalence2</t>
        </is>
      </c>
      <c r="AN1" s="103" t="inlineStr">
        <is>
          <t>Positive2</t>
        </is>
      </c>
      <c r="AO1" s="103" t="inlineStr">
        <is>
          <t>Negative2</t>
        </is>
      </c>
      <c r="AP1" s="103" t="inlineStr">
        <is>
          <t>Sensitivity2</t>
        </is>
      </c>
      <c r="AQ1" s="103" t="inlineStr">
        <is>
          <t>Specificity2</t>
        </is>
      </c>
      <c r="AR1" s="88" t="inlineStr">
        <is>
          <t>tp2</t>
        </is>
      </c>
      <c r="AS1" s="88" t="inlineStr">
        <is>
          <t>fn2</t>
        </is>
      </c>
      <c r="AT1" s="88" t="inlineStr">
        <is>
          <t>tn2</t>
        </is>
      </c>
      <c r="AU1" s="88" t="inlineStr">
        <is>
          <t>fp2</t>
        </is>
      </c>
    </row>
    <row r="2" ht="16" customFormat="1" customHeight="1" s="20">
      <c r="A2" s="88" t="inlineStr">
        <is>
          <t>Similié et al. 2025</t>
        </is>
      </c>
      <c r="B2" s="88" t="inlineStr">
        <is>
          <t>DL classifier</t>
        </is>
      </c>
      <c r="C2" s="88" t="inlineStr">
        <is>
          <t>trainedgrader</t>
        </is>
      </c>
      <c r="D2" s="86" t="inlineStr">
        <is>
          <t>original</t>
        </is>
      </c>
      <c r="E2" s="86" t="inlineStr">
        <is>
          <t>retrospective</t>
        </is>
      </c>
      <c r="F2" s="86" t="inlineStr">
        <is>
          <t>high</t>
        </is>
      </c>
      <c r="G2" s="86" t="inlineStr">
        <is>
          <t>tertiary</t>
        </is>
      </c>
      <c r="H2" s="86" t="inlineStr">
        <is>
          <t>no</t>
        </is>
      </c>
      <c r="I2" s="86" t="inlineStr">
        <is>
          <t>dr</t>
        </is>
      </c>
      <c r="J2" s="86" t="inlineStr">
        <is>
          <t>no</t>
        </is>
      </c>
      <c r="K2" s="86" t="inlineStr">
        <is>
          <t>no</t>
        </is>
      </c>
      <c r="L2" s="86" t="inlineStr">
        <is>
          <t>desktop</t>
        </is>
      </c>
      <c r="M2" s="86" t="inlineStr">
        <is>
          <t>topcon</t>
        </is>
      </c>
      <c r="N2" s="86" t="inlineStr">
        <is>
          <t>icdr</t>
        </is>
      </c>
      <c r="O2" s="86" t="inlineStr">
        <is>
          <t>retina specialist</t>
        </is>
      </c>
      <c r="P2" s="86" t="inlineStr">
        <is>
          <t>no</t>
        </is>
      </c>
      <c r="Q2" s="86" t="inlineStr">
        <is>
          <t>fundus</t>
        </is>
      </c>
      <c r="R2" s="86" t="inlineStr">
        <is>
          <t>&gt;2</t>
        </is>
      </c>
      <c r="S2" s="86" t="inlineStr">
        <is>
          <t>no</t>
        </is>
      </c>
      <c r="T2" s="86" t="inlineStr">
        <is>
          <t>no</t>
        </is>
      </c>
      <c r="U2" s="86" t="inlineStr">
        <is>
          <t>no</t>
        </is>
      </c>
      <c r="V2" s="86" t="inlineStr">
        <is>
          <t>inception family</t>
        </is>
      </c>
      <c r="W2" s="86" t="inlineStr">
        <is>
          <t>europe</t>
        </is>
      </c>
      <c r="X2" s="86" t="inlineStr">
        <is>
          <t>high</t>
        </is>
      </c>
      <c r="Y2" s="86" t="inlineStr">
        <is>
          <t>high</t>
        </is>
      </c>
      <c r="Z2" s="86" t="inlineStr">
        <is>
          <t>excluded</t>
        </is>
      </c>
      <c r="AA2" s="88" t="n"/>
      <c r="AB2" s="88" t="n"/>
      <c r="AC2" s="103" t="n"/>
      <c r="AD2" s="103" t="n"/>
      <c r="AE2" s="103" t="n"/>
      <c r="AF2" s="103" t="n"/>
      <c r="AG2" s="103" t="n"/>
      <c r="AH2" s="88" t="n"/>
      <c r="AI2" s="88" t="n"/>
      <c r="AJ2" s="88" t="n"/>
      <c r="AK2" s="88" t="n"/>
      <c r="AL2" s="88" t="n"/>
      <c r="AM2" s="103" t="n"/>
      <c r="AN2" s="103" t="n"/>
      <c r="AO2" s="103" t="n"/>
      <c r="AP2" s="103" t="n"/>
      <c r="AQ2" s="103" t="n"/>
      <c r="AR2" s="88" t="n"/>
      <c r="AS2" s="88" t="n"/>
      <c r="AT2" s="88" t="n"/>
      <c r="AU2" s="88" t="n"/>
    </row>
    <row r="3" ht="16" customHeight="1" s="55">
      <c r="A3" s="88" t="inlineStr">
        <is>
          <t>Šín et al. 2025</t>
        </is>
      </c>
      <c r="B3" s="86" t="inlineStr">
        <is>
          <t>Aireen</t>
        </is>
      </c>
      <c r="C3" s="86" t="inlineStr">
        <is>
          <t>ophthalmologist</t>
        </is>
      </c>
      <c r="D3" s="86" t="inlineStr">
        <is>
          <t>original</t>
        </is>
      </c>
      <c r="E3" s="86" t="inlineStr">
        <is>
          <t>prospective</t>
        </is>
      </c>
      <c r="F3" s="86" t="inlineStr">
        <is>
          <t>high</t>
        </is>
      </c>
      <c r="G3" s="86" t="inlineStr">
        <is>
          <t>primary</t>
        </is>
      </c>
      <c r="H3" s="86" t="inlineStr">
        <is>
          <t>no</t>
        </is>
      </c>
      <c r="I3" s="86" t="inlineStr">
        <is>
          <t>dr</t>
        </is>
      </c>
      <c r="J3" s="86" t="inlineStr">
        <is>
          <t>no</t>
        </is>
      </c>
      <c r="K3" s="86" t="inlineStr">
        <is>
          <t>no</t>
        </is>
      </c>
      <c r="L3" s="86" t="inlineStr">
        <is>
          <t>desktop</t>
        </is>
      </c>
      <c r="M3" s="86" t="inlineStr">
        <is>
          <t>canon</t>
        </is>
      </c>
      <c r="N3" s="86" t="inlineStr">
        <is>
          <t>other</t>
        </is>
      </c>
      <c r="O3" s="86" t="inlineStr">
        <is>
          <t>retina specialist</t>
        </is>
      </c>
      <c r="P3" s="86" t="inlineStr">
        <is>
          <t>yes</t>
        </is>
      </c>
      <c r="Q3" s="86" t="inlineStr">
        <is>
          <t>fundus</t>
        </is>
      </c>
      <c r="R3" s="86" t="inlineStr">
        <is>
          <t>1</t>
        </is>
      </c>
      <c r="S3" s="86" t="inlineStr">
        <is>
          <t>yes</t>
        </is>
      </c>
      <c r="T3" s="86" t="inlineStr">
        <is>
          <t>yes</t>
        </is>
      </c>
      <c r="U3" s="86" t="inlineStr">
        <is>
          <t>yes</t>
        </is>
      </c>
      <c r="V3" s="86" t="inlineStr">
        <is>
          <t>efficientnet family</t>
        </is>
      </c>
      <c r="W3" s="86" t="inlineStr">
        <is>
          <t>europe</t>
        </is>
      </c>
      <c r="X3" s="86" t="inlineStr">
        <is>
          <t>low</t>
        </is>
      </c>
      <c r="Y3" s="86" t="inlineStr">
        <is>
          <t>low</t>
        </is>
      </c>
      <c r="Z3" s="86" t="inlineStr">
        <is>
          <t>positive</t>
        </is>
      </c>
      <c r="AA3" s="86">
        <f>AD3+AE3</f>
        <v/>
      </c>
      <c r="AB3" s="86" t="inlineStr">
        <is>
          <t>High</t>
        </is>
      </c>
      <c r="AC3" s="104">
        <f>AD3/AA3</f>
        <v/>
      </c>
      <c r="AD3" s="104">
        <f>AH3+AI3</f>
        <v/>
      </c>
      <c r="AE3" s="104">
        <f>AK3+AJ3</f>
        <v/>
      </c>
      <c r="AF3" s="104">
        <f>AH3/(AH3+AI3)</f>
        <v/>
      </c>
      <c r="AG3" s="104">
        <f>AJ3/(AJ3+AK3)</f>
        <v/>
      </c>
      <c r="AH3" s="86" t="n">
        <v>339</v>
      </c>
      <c r="AI3" s="86" t="n">
        <v>29</v>
      </c>
      <c r="AJ3" s="86" t="n">
        <v>713</v>
      </c>
      <c r="AK3" s="86" t="n">
        <v>73</v>
      </c>
      <c r="AL3" s="86">
        <f>AN3+AO3</f>
        <v/>
      </c>
      <c r="AM3" s="104">
        <f>AN3/AL3</f>
        <v/>
      </c>
      <c r="AN3" s="104">
        <f>AR3+AS3</f>
        <v/>
      </c>
      <c r="AO3" s="104">
        <f>AU3+AT3</f>
        <v/>
      </c>
      <c r="AP3" s="104">
        <f>AR3/(AR3+AS3)</f>
        <v/>
      </c>
      <c r="AQ3" s="104">
        <f>AT3/(AT3+AU3)</f>
        <v/>
      </c>
      <c r="AR3" s="86" t="n">
        <v>320</v>
      </c>
      <c r="AS3" s="86" t="n">
        <v>48</v>
      </c>
      <c r="AT3" s="86" t="n">
        <v>601</v>
      </c>
      <c r="AU3" s="86" t="n">
        <v>185</v>
      </c>
    </row>
    <row r="4" ht="16" customHeight="1" s="55">
      <c r="A4" s="88" t="inlineStr">
        <is>
          <t>Šín et al. 2025</t>
        </is>
      </c>
      <c r="B4" s="86" t="inlineStr">
        <is>
          <t>Aireen</t>
        </is>
      </c>
      <c r="C4" s="86" t="inlineStr">
        <is>
          <t>retinaspecialist</t>
        </is>
      </c>
      <c r="D4" s="86" t="inlineStr">
        <is>
          <t>original</t>
        </is>
      </c>
      <c r="E4" s="86" t="inlineStr">
        <is>
          <t>prospective</t>
        </is>
      </c>
      <c r="F4" s="86" t="inlineStr">
        <is>
          <t>high</t>
        </is>
      </c>
      <c r="G4" s="86" t="inlineStr">
        <is>
          <t>primary</t>
        </is>
      </c>
      <c r="H4" s="86" t="inlineStr">
        <is>
          <t>no</t>
        </is>
      </c>
      <c r="I4" s="86" t="inlineStr">
        <is>
          <t>dr</t>
        </is>
      </c>
      <c r="J4" s="86" t="inlineStr">
        <is>
          <t>no</t>
        </is>
      </c>
      <c r="K4" s="86" t="inlineStr">
        <is>
          <t>no</t>
        </is>
      </c>
      <c r="L4" s="86" t="inlineStr">
        <is>
          <t>desktop</t>
        </is>
      </c>
      <c r="M4" s="86" t="inlineStr">
        <is>
          <t>canon</t>
        </is>
      </c>
      <c r="N4" s="86" t="inlineStr">
        <is>
          <t>other</t>
        </is>
      </c>
      <c r="O4" s="86" t="inlineStr">
        <is>
          <t>retina specialist</t>
        </is>
      </c>
      <c r="P4" s="86" t="inlineStr">
        <is>
          <t>yes</t>
        </is>
      </c>
      <c r="Q4" s="86" t="inlineStr">
        <is>
          <t>fundus</t>
        </is>
      </c>
      <c r="R4" s="86" t="inlineStr">
        <is>
          <t>1</t>
        </is>
      </c>
      <c r="S4" s="86" t="inlineStr">
        <is>
          <t>yes</t>
        </is>
      </c>
      <c r="T4" s="86" t="inlineStr">
        <is>
          <t>yes</t>
        </is>
      </c>
      <c r="U4" s="86" t="inlineStr">
        <is>
          <t>yes</t>
        </is>
      </c>
      <c r="V4" s="86" t="inlineStr">
        <is>
          <t>efficientnet family</t>
        </is>
      </c>
      <c r="W4" s="86" t="inlineStr">
        <is>
          <t>europe</t>
        </is>
      </c>
      <c r="X4" s="86" t="inlineStr">
        <is>
          <t>low</t>
        </is>
      </c>
      <c r="Y4" s="86" t="inlineStr">
        <is>
          <t>low</t>
        </is>
      </c>
      <c r="Z4" s="86" t="inlineStr">
        <is>
          <t>positive</t>
        </is>
      </c>
      <c r="AA4" s="86">
        <f>AD4+AE4</f>
        <v/>
      </c>
      <c r="AB4" s="86" t="inlineStr">
        <is>
          <t>High</t>
        </is>
      </c>
      <c r="AC4" s="104">
        <f>AD4/AA4</f>
        <v/>
      </c>
      <c r="AD4" s="104">
        <f>AH4+AI4</f>
        <v/>
      </c>
      <c r="AE4" s="104">
        <f>AK4+AJ4</f>
        <v/>
      </c>
      <c r="AF4" s="104">
        <f>AH4/(AH4+AI4)</f>
        <v/>
      </c>
      <c r="AG4" s="104">
        <f>AJ4/(AJ4+AK4)</f>
        <v/>
      </c>
      <c r="AH4" s="86" t="n">
        <v>339</v>
      </c>
      <c r="AI4" s="86" t="n">
        <v>29</v>
      </c>
      <c r="AJ4" s="86" t="n">
        <v>713</v>
      </c>
      <c r="AK4" s="86" t="n">
        <v>73</v>
      </c>
      <c r="AL4" s="86">
        <f>AN4+AO4</f>
        <v/>
      </c>
      <c r="AM4" s="104">
        <f>AN4/AL4</f>
        <v/>
      </c>
      <c r="AN4" s="104">
        <f>AR4+AS4</f>
        <v/>
      </c>
      <c r="AO4" s="104">
        <f>AU4+AT4</f>
        <v/>
      </c>
      <c r="AP4" s="104">
        <f>AR4/(AR4+AS4)</f>
        <v/>
      </c>
      <c r="AQ4" s="104">
        <f>AT4/(AT4+AU4)</f>
        <v/>
      </c>
      <c r="AR4" s="86" t="n">
        <v>305</v>
      </c>
      <c r="AS4" s="86" t="n">
        <v>63</v>
      </c>
      <c r="AT4" s="86" t="n">
        <v>638</v>
      </c>
      <c r="AU4" s="86" t="n">
        <v>148</v>
      </c>
    </row>
    <row r="5" ht="16" customFormat="1" customHeight="1" s="20">
      <c r="A5" s="88" t="inlineStr">
        <is>
          <t>Zhao et al. 2025</t>
        </is>
      </c>
      <c r="B5" s="88" t="inlineStr">
        <is>
          <t xml:space="preserve">WARM model </t>
        </is>
      </c>
      <c r="C5" s="88" t="inlineStr">
        <is>
          <t>ophthalmologist</t>
        </is>
      </c>
      <c r="D5" s="86" t="inlineStr">
        <is>
          <t>original</t>
        </is>
      </c>
      <c r="E5" s="86" t="inlineStr">
        <is>
          <t>retrospective</t>
        </is>
      </c>
      <c r="F5" s="86" t="inlineStr">
        <is>
          <t>middle</t>
        </is>
      </c>
      <c r="G5" s="86" t="inlineStr">
        <is>
          <t>tertiary</t>
        </is>
      </c>
      <c r="H5" s="86" t="inlineStr">
        <is>
          <t>no</t>
        </is>
      </c>
      <c r="I5" s="86" t="inlineStr">
        <is>
          <t>vtdr</t>
        </is>
      </c>
      <c r="J5" s="86" t="inlineStr">
        <is>
          <t>yes</t>
        </is>
      </c>
      <c r="K5" s="86" t="inlineStr">
        <is>
          <t>no</t>
        </is>
      </c>
      <c r="L5" s="86" t="inlineStr">
        <is>
          <t>desktop</t>
        </is>
      </c>
      <c r="M5" s="86" t="inlineStr">
        <is>
          <t>optos</t>
        </is>
      </c>
      <c r="N5" s="86" t="inlineStr">
        <is>
          <t>icdr</t>
        </is>
      </c>
      <c r="O5" s="86" t="inlineStr">
        <is>
          <t>ophthalmologist</t>
        </is>
      </c>
      <c r="P5" s="86" t="inlineStr">
        <is>
          <t>yes</t>
        </is>
      </c>
      <c r="Q5" s="86" t="inlineStr">
        <is>
          <t>with advanced image</t>
        </is>
      </c>
      <c r="R5" s="86" t="n">
        <v>1</v>
      </c>
      <c r="S5" s="86" t="inlineStr">
        <is>
          <t>yes</t>
        </is>
      </c>
      <c r="T5" s="86" t="inlineStr">
        <is>
          <t>no</t>
        </is>
      </c>
      <c r="U5" s="86" t="inlineStr">
        <is>
          <t>no</t>
        </is>
      </c>
      <c r="V5" s="86" t="inlineStr">
        <is>
          <t>transformer family</t>
        </is>
      </c>
      <c r="W5" s="86" t="inlineStr">
        <is>
          <t>asia</t>
        </is>
      </c>
      <c r="X5" s="86" t="inlineStr">
        <is>
          <t>high</t>
        </is>
      </c>
      <c r="Y5" s="86" t="inlineStr">
        <is>
          <t>high</t>
        </is>
      </c>
      <c r="Z5" s="86" t="inlineStr">
        <is>
          <t>excluded</t>
        </is>
      </c>
      <c r="AA5" s="88" t="n"/>
      <c r="AB5" s="88" t="n"/>
      <c r="AC5" s="103" t="n"/>
      <c r="AD5" s="103" t="n"/>
      <c r="AE5" s="103" t="n"/>
      <c r="AF5" s="103" t="n"/>
      <c r="AG5" s="103" t="n"/>
      <c r="AH5" s="88" t="n"/>
      <c r="AI5" s="88" t="n"/>
      <c r="AJ5" s="88" t="n"/>
      <c r="AK5" s="88" t="n"/>
      <c r="AL5" s="88" t="n"/>
      <c r="AM5" s="103" t="n"/>
      <c r="AN5" s="103" t="n"/>
      <c r="AO5" s="103" t="n"/>
      <c r="AP5" s="103" t="n"/>
      <c r="AQ5" s="103" t="n"/>
      <c r="AR5" s="88" t="n"/>
      <c r="AS5" s="88" t="n"/>
      <c r="AT5" s="88" t="n"/>
      <c r="AU5" s="88" t="n"/>
    </row>
    <row r="6" ht="16" customHeight="1" s="55">
      <c r="A6" s="88" t="inlineStr">
        <is>
          <t>Chia et al. 2024</t>
        </is>
      </c>
      <c r="B6" s="86" t="inlineStr">
        <is>
          <t>ARDA</t>
        </is>
      </c>
      <c r="C6" s="86" t="inlineStr">
        <is>
          <t>retinaspecialist</t>
        </is>
      </c>
      <c r="D6" s="86" t="inlineStr">
        <is>
          <t>original</t>
        </is>
      </c>
      <c r="E6" s="86" t="inlineStr">
        <is>
          <t>retrospective</t>
        </is>
      </c>
      <c r="F6" s="86" t="inlineStr">
        <is>
          <t>high</t>
        </is>
      </c>
      <c r="G6" s="86" t="inlineStr">
        <is>
          <t>primary</t>
        </is>
      </c>
      <c r="H6" s="86" t="inlineStr">
        <is>
          <t>yes</t>
        </is>
      </c>
      <c r="I6" s="86" t="inlineStr">
        <is>
          <t>rdr</t>
        </is>
      </c>
      <c r="J6" s="86" t="inlineStr">
        <is>
          <t>no</t>
        </is>
      </c>
      <c r="K6" s="86" t="inlineStr">
        <is>
          <t>no</t>
        </is>
      </c>
      <c r="L6" s="86" t="inlineStr">
        <is>
          <t>desktop</t>
        </is>
      </c>
      <c r="M6" s="86" t="inlineStr">
        <is>
          <t>topcon</t>
        </is>
      </c>
      <c r="N6" s="86" t="inlineStr">
        <is>
          <t>icdr</t>
        </is>
      </c>
      <c r="O6" s="86" t="inlineStr">
        <is>
          <t>retina specialist</t>
        </is>
      </c>
      <c r="P6" s="86" t="inlineStr">
        <is>
          <t>yes</t>
        </is>
      </c>
      <c r="Q6" s="86" t="inlineStr">
        <is>
          <t>fundus</t>
        </is>
      </c>
      <c r="R6" s="86" t="inlineStr">
        <is>
          <t>1</t>
        </is>
      </c>
      <c r="S6" s="86" t="inlineStr">
        <is>
          <t>yes</t>
        </is>
      </c>
      <c r="T6" s="86" t="inlineStr">
        <is>
          <t>yes</t>
        </is>
      </c>
      <c r="U6" s="86" t="inlineStr">
        <is>
          <t>yes</t>
        </is>
      </c>
      <c r="V6" s="86" t="inlineStr">
        <is>
          <t>inception family</t>
        </is>
      </c>
      <c r="W6" s="86" t="inlineStr">
        <is>
          <t>asia</t>
        </is>
      </c>
      <c r="X6" s="86" t="inlineStr">
        <is>
          <t>low</t>
        </is>
      </c>
      <c r="Y6" s="86" t="inlineStr">
        <is>
          <t>low</t>
        </is>
      </c>
      <c r="Z6" s="86" t="inlineStr">
        <is>
          <t>excluded</t>
        </is>
      </c>
      <c r="AA6" s="86" t="n"/>
      <c r="AB6" s="86" t="n"/>
      <c r="AC6" s="104" t="n"/>
      <c r="AD6" s="104" t="n"/>
      <c r="AE6" s="104" t="n"/>
      <c r="AF6" s="104" t="n"/>
      <c r="AG6" s="104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</row>
    <row r="7" ht="16" customHeight="1" s="55">
      <c r="A7" s="88" t="inlineStr">
        <is>
          <t>Chia et al. 2024</t>
        </is>
      </c>
      <c r="B7" s="86" t="inlineStr">
        <is>
          <t>ARDA</t>
        </is>
      </c>
      <c r="C7" s="86" t="inlineStr">
        <is>
          <t>retinaspecialist</t>
        </is>
      </c>
      <c r="D7" s="86" t="inlineStr">
        <is>
          <t>original</t>
        </is>
      </c>
      <c r="E7" s="86" t="inlineStr">
        <is>
          <t>retrospective</t>
        </is>
      </c>
      <c r="F7" s="86" t="inlineStr">
        <is>
          <t>high</t>
        </is>
      </c>
      <c r="G7" s="86" t="inlineStr">
        <is>
          <t>primary</t>
        </is>
      </c>
      <c r="H7" s="86" t="inlineStr">
        <is>
          <t>yes</t>
        </is>
      </c>
      <c r="I7" s="86" t="inlineStr">
        <is>
          <t>rdr</t>
        </is>
      </c>
      <c r="J7" s="86" t="inlineStr">
        <is>
          <t>no</t>
        </is>
      </c>
      <c r="K7" s="86" t="inlineStr">
        <is>
          <t>no</t>
        </is>
      </c>
      <c r="L7" s="86" t="inlineStr">
        <is>
          <t>desktop</t>
        </is>
      </c>
      <c r="M7" s="86" t="inlineStr">
        <is>
          <t>topcon</t>
        </is>
      </c>
      <c r="N7" s="86" t="inlineStr">
        <is>
          <t>icdr</t>
        </is>
      </c>
      <c r="O7" s="86" t="inlineStr">
        <is>
          <t>retina specialist</t>
        </is>
      </c>
      <c r="P7" s="86" t="inlineStr">
        <is>
          <t>yes</t>
        </is>
      </c>
      <c r="Q7" s="86" t="inlineStr">
        <is>
          <t>fundus</t>
        </is>
      </c>
      <c r="R7" s="86" t="inlineStr">
        <is>
          <t>1</t>
        </is>
      </c>
      <c r="S7" s="86" t="inlineStr">
        <is>
          <t>yes</t>
        </is>
      </c>
      <c r="T7" s="86" t="inlineStr">
        <is>
          <t>yes</t>
        </is>
      </c>
      <c r="U7" s="86" t="inlineStr">
        <is>
          <t>yes</t>
        </is>
      </c>
      <c r="V7" s="86" t="inlineStr">
        <is>
          <t>inception family</t>
        </is>
      </c>
      <c r="W7" s="86" t="inlineStr">
        <is>
          <t>asia</t>
        </is>
      </c>
      <c r="X7" s="86" t="inlineStr">
        <is>
          <t>low</t>
        </is>
      </c>
      <c r="Y7" s="86" t="inlineStr">
        <is>
          <t>low</t>
        </is>
      </c>
      <c r="Z7" s="86" t="inlineStr">
        <is>
          <t>positive</t>
        </is>
      </c>
      <c r="AA7" s="86" t="n"/>
      <c r="AB7" s="86" t="n"/>
      <c r="AC7" s="104" t="n"/>
      <c r="AD7" s="104" t="n"/>
      <c r="AE7" s="104" t="n"/>
      <c r="AF7" s="104" t="n"/>
      <c r="AG7" s="104" t="n"/>
      <c r="AH7" s="86" t="n"/>
      <c r="AI7" s="86" t="n"/>
      <c r="AJ7" s="86" t="n"/>
      <c r="AK7" s="86" t="n"/>
      <c r="AL7" s="86" t="n"/>
      <c r="AM7" s="86" t="n"/>
      <c r="AN7" s="86" t="n"/>
      <c r="AO7" s="86" t="n"/>
      <c r="AP7" s="86" t="n"/>
      <c r="AQ7" s="86" t="n"/>
      <c r="AR7" s="86" t="n"/>
      <c r="AS7" s="86" t="n"/>
      <c r="AT7" s="86" t="n"/>
      <c r="AU7" s="86" t="n"/>
    </row>
    <row r="8" ht="16" customHeight="1" s="55">
      <c r="A8" s="88" t="inlineStr">
        <is>
          <t>Chia et al. 2024</t>
        </is>
      </c>
      <c r="B8" s="86" t="inlineStr">
        <is>
          <t>ARDA</t>
        </is>
      </c>
      <c r="C8" s="86" t="inlineStr">
        <is>
          <t>retinaspecialist</t>
        </is>
      </c>
      <c r="D8" s="86" t="inlineStr">
        <is>
          <t>original</t>
        </is>
      </c>
      <c r="E8" s="86" t="inlineStr">
        <is>
          <t>retrospective</t>
        </is>
      </c>
      <c r="F8" s="86" t="inlineStr">
        <is>
          <t>high</t>
        </is>
      </c>
      <c r="G8" s="86" t="inlineStr">
        <is>
          <t>primary</t>
        </is>
      </c>
      <c r="H8" s="86" t="inlineStr">
        <is>
          <t>yes</t>
        </is>
      </c>
      <c r="I8" s="86" t="inlineStr">
        <is>
          <t>vtdr</t>
        </is>
      </c>
      <c r="J8" s="86" t="inlineStr">
        <is>
          <t>no</t>
        </is>
      </c>
      <c r="K8" s="86" t="inlineStr">
        <is>
          <t>no</t>
        </is>
      </c>
      <c r="L8" s="86" t="inlineStr">
        <is>
          <t>desktop</t>
        </is>
      </c>
      <c r="M8" s="86" t="inlineStr">
        <is>
          <t>topcon</t>
        </is>
      </c>
      <c r="N8" s="86" t="inlineStr">
        <is>
          <t>icdr</t>
        </is>
      </c>
      <c r="O8" s="86" t="inlineStr">
        <is>
          <t>retina specialist</t>
        </is>
      </c>
      <c r="P8" s="86" t="inlineStr">
        <is>
          <t>yes</t>
        </is>
      </c>
      <c r="Q8" s="86" t="inlineStr">
        <is>
          <t>fundus</t>
        </is>
      </c>
      <c r="R8" s="86" t="inlineStr">
        <is>
          <t>1</t>
        </is>
      </c>
      <c r="S8" s="86" t="inlineStr">
        <is>
          <t>yes</t>
        </is>
      </c>
      <c r="T8" s="86" t="inlineStr">
        <is>
          <t>yes</t>
        </is>
      </c>
      <c r="U8" s="86" t="inlineStr">
        <is>
          <t>yes</t>
        </is>
      </c>
      <c r="V8" s="86" t="inlineStr">
        <is>
          <t>inception family</t>
        </is>
      </c>
      <c r="W8" s="86" t="inlineStr">
        <is>
          <t>asia</t>
        </is>
      </c>
      <c r="X8" s="86" t="inlineStr">
        <is>
          <t>low</t>
        </is>
      </c>
      <c r="Y8" s="86" t="inlineStr">
        <is>
          <t>low</t>
        </is>
      </c>
      <c r="Z8" s="86" t="inlineStr">
        <is>
          <t>excluded</t>
        </is>
      </c>
      <c r="AA8" s="86" t="n"/>
      <c r="AB8" s="86" t="n"/>
      <c r="AC8" s="104" t="n"/>
      <c r="AD8" s="104" t="n"/>
      <c r="AE8" s="104" t="n"/>
      <c r="AF8" s="104" t="n"/>
      <c r="AG8" s="104" t="n"/>
      <c r="AH8" s="86" t="n"/>
      <c r="AI8" s="86" t="n"/>
      <c r="AJ8" s="86" t="n"/>
      <c r="AK8" s="86" t="n"/>
      <c r="AL8" s="86" t="n"/>
      <c r="AM8" s="86" t="n"/>
      <c r="AN8" s="86" t="n"/>
      <c r="AO8" s="86" t="n"/>
      <c r="AP8" s="86" t="n"/>
      <c r="AQ8" s="86" t="n"/>
      <c r="AR8" s="86" t="n"/>
      <c r="AS8" s="86" t="n"/>
      <c r="AT8" s="86" t="n"/>
      <c r="AU8" s="86" t="n"/>
    </row>
    <row r="9" ht="16" customHeight="1" s="55">
      <c r="A9" s="88" t="inlineStr">
        <is>
          <t>Hu et al. 2024</t>
        </is>
      </c>
      <c r="B9" s="86" t="inlineStr">
        <is>
          <t>AutoEye</t>
        </is>
      </c>
      <c r="C9" s="86" t="inlineStr">
        <is>
          <t>ophthalmologist</t>
        </is>
      </c>
      <c r="D9" s="86" t="inlineStr">
        <is>
          <t>original</t>
        </is>
      </c>
      <c r="E9" s="86" t="inlineStr">
        <is>
          <t>prospective</t>
        </is>
      </c>
      <c r="F9" s="86" t="inlineStr">
        <is>
          <t>middle</t>
        </is>
      </c>
      <c r="G9" s="86" t="inlineStr">
        <is>
          <t>tertiary</t>
        </is>
      </c>
      <c r="H9" s="86" t="inlineStr">
        <is>
          <t>no</t>
        </is>
      </c>
      <c r="I9" s="86" t="inlineStr">
        <is>
          <t>dr</t>
        </is>
      </c>
      <c r="J9" s="86" t="inlineStr">
        <is>
          <t>no</t>
        </is>
      </c>
      <c r="K9" s="86" t="inlineStr">
        <is>
          <t>no</t>
        </is>
      </c>
      <c r="L9" s="86" t="inlineStr">
        <is>
          <t>desktop</t>
        </is>
      </c>
      <c r="M9" s="86" t="inlineStr">
        <is>
          <t>topcon</t>
        </is>
      </c>
      <c r="N9" s="86" t="inlineStr">
        <is>
          <t>icdr</t>
        </is>
      </c>
      <c r="O9" s="86" t="inlineStr">
        <is>
          <t>other</t>
        </is>
      </c>
      <c r="P9" s="86" t="inlineStr">
        <is>
          <t>no</t>
        </is>
      </c>
      <c r="Q9" s="86" t="inlineStr">
        <is>
          <t>with advanced image</t>
        </is>
      </c>
      <c r="R9" s="86" t="inlineStr">
        <is>
          <t>1</t>
        </is>
      </c>
      <c r="S9" s="86" t="inlineStr">
        <is>
          <t>no</t>
        </is>
      </c>
      <c r="T9" s="86" t="inlineStr">
        <is>
          <t>no</t>
        </is>
      </c>
      <c r="U9" s="86" t="inlineStr">
        <is>
          <t>no</t>
        </is>
      </c>
      <c r="V9" s="86" t="inlineStr">
        <is>
          <t>cnn</t>
        </is>
      </c>
      <c r="W9" s="86" t="inlineStr">
        <is>
          <t>asia</t>
        </is>
      </c>
      <c r="X9" s="86" t="inlineStr">
        <is>
          <t>high</t>
        </is>
      </c>
      <c r="Y9" s="86" t="inlineStr">
        <is>
          <t>high</t>
        </is>
      </c>
      <c r="Z9" s="86" t="inlineStr">
        <is>
          <t>excluded</t>
        </is>
      </c>
      <c r="AA9" s="86" t="n"/>
      <c r="AB9" s="86" t="n"/>
      <c r="AC9" s="86" t="n"/>
      <c r="AD9" s="86" t="n"/>
      <c r="AE9" s="86" t="n"/>
      <c r="AF9" s="86" t="n"/>
      <c r="AG9" s="86" t="n"/>
      <c r="AH9" s="86" t="n"/>
      <c r="AI9" s="86" t="n"/>
      <c r="AJ9" s="86" t="n"/>
      <c r="AK9" s="86" t="n"/>
      <c r="AL9" s="86" t="n"/>
      <c r="AM9" s="86" t="n"/>
      <c r="AN9" s="86" t="n"/>
      <c r="AO9" s="86" t="n"/>
      <c r="AP9" s="86" t="n"/>
      <c r="AQ9" s="86" t="n"/>
      <c r="AR9" s="86" t="n"/>
      <c r="AS9" s="86" t="n"/>
      <c r="AT9" s="86" t="n"/>
      <c r="AU9" s="86" t="n"/>
    </row>
    <row r="10" ht="16" customHeight="1" s="55">
      <c r="A10" s="88" t="inlineStr">
        <is>
          <t>Li et al. 2024</t>
        </is>
      </c>
      <c r="B10" s="86" t="inlineStr">
        <is>
          <t>DLS</t>
        </is>
      </c>
      <c r="C10" s="86" t="inlineStr">
        <is>
          <t>ophthalmologist</t>
        </is>
      </c>
      <c r="D10" s="86" t="inlineStr">
        <is>
          <t>original</t>
        </is>
      </c>
      <c r="E10" s="86" t="inlineStr">
        <is>
          <t>prospective</t>
        </is>
      </c>
      <c r="F10" s="86" t="inlineStr">
        <is>
          <t>middle</t>
        </is>
      </c>
      <c r="G10" s="86" t="inlineStr">
        <is>
          <t>tertiary</t>
        </is>
      </c>
      <c r="H10" s="5" t="inlineStr">
        <is>
          <t>no</t>
        </is>
      </c>
      <c r="I10" s="86" t="inlineStr">
        <is>
          <t>rdr</t>
        </is>
      </c>
      <c r="J10" s="86" t="inlineStr">
        <is>
          <t>yes</t>
        </is>
      </c>
      <c r="K10" s="86" t="inlineStr">
        <is>
          <t>mixed</t>
        </is>
      </c>
      <c r="L10" s="86" t="inlineStr">
        <is>
          <t>desktop</t>
        </is>
      </c>
      <c r="M10" s="86" t="inlineStr">
        <is>
          <t>mixed</t>
        </is>
      </c>
      <c r="N10" s="86" t="inlineStr">
        <is>
          <t>icdr</t>
        </is>
      </c>
      <c r="O10" s="86" t="inlineStr">
        <is>
          <t>retina specialist</t>
        </is>
      </c>
      <c r="P10" s="86" t="inlineStr">
        <is>
          <t>yes</t>
        </is>
      </c>
      <c r="Q10" s="86" t="inlineStr">
        <is>
          <t>fundus</t>
        </is>
      </c>
      <c r="R10" s="86" t="n">
        <v>1</v>
      </c>
      <c r="S10" s="86" t="inlineStr">
        <is>
          <t>yes</t>
        </is>
      </c>
      <c r="T10" s="86" t="inlineStr">
        <is>
          <t>no</t>
        </is>
      </c>
      <c r="U10" s="86" t="inlineStr">
        <is>
          <t>no</t>
        </is>
      </c>
      <c r="V10" s="86" t="inlineStr">
        <is>
          <t>resnet family</t>
        </is>
      </c>
      <c r="W10" s="86" t="inlineStr">
        <is>
          <t>asia</t>
        </is>
      </c>
      <c r="X10" s="86" t="inlineStr">
        <is>
          <t>high</t>
        </is>
      </c>
      <c r="Y10" s="86" t="inlineStr">
        <is>
          <t>high</t>
        </is>
      </c>
      <c r="Z10" s="86" t="inlineStr">
        <is>
          <t>excluded</t>
        </is>
      </c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</row>
    <row r="11" ht="16" customHeight="1" s="55">
      <c r="A11" s="88" t="inlineStr">
        <is>
          <t>Pandey et al. 2024</t>
        </is>
      </c>
      <c r="B11" s="86" t="inlineStr">
        <is>
          <t>DCE</t>
        </is>
      </c>
      <c r="C11" s="86" t="inlineStr">
        <is>
          <t>ophthalmologist</t>
        </is>
      </c>
      <c r="D11" s="86" t="inlineStr">
        <is>
          <t>original</t>
        </is>
      </c>
      <c r="E11" s="86" t="inlineStr">
        <is>
          <t>retrospective</t>
        </is>
      </c>
      <c r="F11" s="86" t="inlineStr">
        <is>
          <t>mixed</t>
        </is>
      </c>
      <c r="G11" s="86" t="inlineStr">
        <is>
          <t>public dataset</t>
        </is>
      </c>
      <c r="H11" s="86" t="inlineStr">
        <is>
          <t>no</t>
        </is>
      </c>
      <c r="I11" s="86" t="inlineStr">
        <is>
          <t>dr</t>
        </is>
      </c>
      <c r="J11" s="86" t="inlineStr">
        <is>
          <t>yes</t>
        </is>
      </c>
      <c r="K11" s="86" t="inlineStr">
        <is>
          <t>mixed</t>
        </is>
      </c>
      <c r="L11" s="86" t="inlineStr">
        <is>
          <t>mixed</t>
        </is>
      </c>
      <c r="M11" s="86" t="inlineStr">
        <is>
          <t>mixed</t>
        </is>
      </c>
      <c r="N11" s="86" t="inlineStr">
        <is>
          <t>multiple</t>
        </is>
      </c>
      <c r="O11" s="86" t="inlineStr">
        <is>
          <t>retina specialist</t>
        </is>
      </c>
      <c r="P11" s="86" t="inlineStr">
        <is>
          <t>no</t>
        </is>
      </c>
      <c r="Q11" s="86" t="inlineStr">
        <is>
          <t>fundus</t>
        </is>
      </c>
      <c r="R11" s="86" t="inlineStr">
        <is>
          <t>1</t>
        </is>
      </c>
      <c r="S11" s="86" t="inlineStr">
        <is>
          <t>no</t>
        </is>
      </c>
      <c r="T11" s="86" t="inlineStr">
        <is>
          <t>no</t>
        </is>
      </c>
      <c r="U11" s="86" t="inlineStr">
        <is>
          <t>no</t>
        </is>
      </c>
      <c r="V11" s="86" t="inlineStr">
        <is>
          <t>inception family</t>
        </is>
      </c>
      <c r="W11" s="86" t="inlineStr">
        <is>
          <t>mixed</t>
        </is>
      </c>
      <c r="X11" s="86" t="inlineStr">
        <is>
          <t>high</t>
        </is>
      </c>
      <c r="Y11" s="86" t="inlineStr">
        <is>
          <t>high</t>
        </is>
      </c>
      <c r="Z11" s="86" t="inlineStr">
        <is>
          <t>excluded</t>
        </is>
      </c>
      <c r="AA11" s="86">
        <f>AD11+AE11</f>
        <v/>
      </c>
      <c r="AB11" s="86" t="inlineStr">
        <is>
          <t>Middle</t>
        </is>
      </c>
      <c r="AC11" s="104">
        <f>AD11/AA11</f>
        <v/>
      </c>
      <c r="AD11" s="104">
        <f>AH11+AI11</f>
        <v/>
      </c>
      <c r="AE11" s="104">
        <f>AK11+AJ11</f>
        <v/>
      </c>
      <c r="AF11" s="104">
        <f>AH11/(AH11+AI11)</f>
        <v/>
      </c>
      <c r="AG11" s="104">
        <f>AJ11/(AJ11+AK11)</f>
        <v/>
      </c>
      <c r="AH11" s="86" t="n">
        <v>18</v>
      </c>
      <c r="AI11" s="86" t="n">
        <v>7</v>
      </c>
      <c r="AJ11" s="86" t="n">
        <v>71</v>
      </c>
      <c r="AK11" s="86" t="n">
        <v>4</v>
      </c>
      <c r="AL11" s="86">
        <f>AN11+AO11</f>
        <v/>
      </c>
      <c r="AM11" s="104">
        <f>AN11/AL11</f>
        <v/>
      </c>
      <c r="AN11" s="104">
        <f>AR11+AS11</f>
        <v/>
      </c>
      <c r="AO11" s="104">
        <f>AU11+AT11</f>
        <v/>
      </c>
      <c r="AP11" s="104">
        <f>AR11/(AR11+AS11)</f>
        <v/>
      </c>
      <c r="AQ11" s="104">
        <f>AT11/(AT11+AU11)</f>
        <v/>
      </c>
      <c r="AR11" s="86" t="n">
        <v>12</v>
      </c>
      <c r="AS11" s="86" t="n">
        <v>13</v>
      </c>
      <c r="AT11" s="86" t="n">
        <v>70</v>
      </c>
      <c r="AU11" s="86" t="n">
        <v>5</v>
      </c>
    </row>
    <row r="12" ht="16" customHeight="1" s="55">
      <c r="A12" s="88" t="inlineStr">
        <is>
          <t>Dow et al. 2023</t>
        </is>
      </c>
      <c r="B12" s="86" t="inlineStr">
        <is>
          <t>IDx-DR</t>
        </is>
      </c>
      <c r="C12" s="86" t="inlineStr">
        <is>
          <t>retinaspecialist</t>
        </is>
      </c>
      <c r="D12" s="86" t="inlineStr">
        <is>
          <t>original</t>
        </is>
      </c>
      <c r="E12" s="86" t="inlineStr">
        <is>
          <t>retrospective</t>
        </is>
      </c>
      <c r="F12" s="86" t="inlineStr">
        <is>
          <t>high</t>
        </is>
      </c>
      <c r="G12" s="86" t="inlineStr">
        <is>
          <t>primary</t>
        </is>
      </c>
      <c r="H12" s="86" t="inlineStr">
        <is>
          <t>no</t>
        </is>
      </c>
      <c r="I12" s="86" t="inlineStr">
        <is>
          <t>rdr</t>
        </is>
      </c>
      <c r="J12" s="86" t="inlineStr">
        <is>
          <t>no</t>
        </is>
      </c>
      <c r="K12" s="86" t="inlineStr">
        <is>
          <t>no</t>
        </is>
      </c>
      <c r="L12" s="86" t="inlineStr">
        <is>
          <t>desktop</t>
        </is>
      </c>
      <c r="M12" s="86" t="inlineStr">
        <is>
          <t>topcon</t>
        </is>
      </c>
      <c r="N12" s="86" t="inlineStr">
        <is>
          <t>multiple</t>
        </is>
      </c>
      <c r="O12" s="86" t="inlineStr">
        <is>
          <t>retina specialist</t>
        </is>
      </c>
      <c r="P12" s="86" t="inlineStr">
        <is>
          <t>yes</t>
        </is>
      </c>
      <c r="Q12" s="86" t="inlineStr">
        <is>
          <t>with advanced image</t>
        </is>
      </c>
      <c r="R12" s="86" t="inlineStr">
        <is>
          <t>2</t>
        </is>
      </c>
      <c r="S12" s="86" t="inlineStr">
        <is>
          <t>no</t>
        </is>
      </c>
      <c r="T12" s="86" t="inlineStr">
        <is>
          <t>yes</t>
        </is>
      </c>
      <c r="U12" s="86" t="inlineStr">
        <is>
          <t>yes</t>
        </is>
      </c>
      <c r="V12" s="86" t="inlineStr">
        <is>
          <t>inception family</t>
        </is>
      </c>
      <c r="W12" s="86" t="inlineStr">
        <is>
          <t>north america</t>
        </is>
      </c>
      <c r="X12" s="86" t="inlineStr">
        <is>
          <t>low</t>
        </is>
      </c>
      <c r="Y12" s="86" t="inlineStr">
        <is>
          <t>high</t>
        </is>
      </c>
      <c r="Z12" s="86" t="inlineStr">
        <is>
          <t>positive</t>
        </is>
      </c>
      <c r="AA12" s="86">
        <f>AD12+AE12</f>
        <v/>
      </c>
      <c r="AB12" s="86" t="inlineStr">
        <is>
          <t>Middle</t>
        </is>
      </c>
      <c r="AC12" s="104">
        <f>AD12/AA12</f>
        <v/>
      </c>
      <c r="AD12" s="104">
        <f>AH12+AI12</f>
        <v/>
      </c>
      <c r="AE12" s="104">
        <f>AK12+AJ12</f>
        <v/>
      </c>
      <c r="AF12" s="104">
        <f>AH12/(AH12+AI12)</f>
        <v/>
      </c>
      <c r="AG12" s="104">
        <f>AJ12/(AJ12+AK12)</f>
        <v/>
      </c>
      <c r="AH12" s="86" t="n">
        <v>21</v>
      </c>
      <c r="AI12" s="86" t="n">
        <v>1</v>
      </c>
      <c r="AJ12" s="86" t="n">
        <v>35</v>
      </c>
      <c r="AK12" s="86" t="n">
        <v>23</v>
      </c>
      <c r="AL12" s="86">
        <f>AN12+AO12</f>
        <v/>
      </c>
      <c r="AM12" s="104">
        <f>AN12/AL12</f>
        <v/>
      </c>
      <c r="AN12" s="104">
        <f>AR12+AS12</f>
        <v/>
      </c>
      <c r="AO12" s="104">
        <f>AU12+AT12</f>
        <v/>
      </c>
      <c r="AP12" s="104">
        <f>AR12/(AR12+AS12)</f>
        <v/>
      </c>
      <c r="AQ12" s="104">
        <f>AT12/(AT12+AU12)</f>
        <v/>
      </c>
      <c r="AR12" s="86" t="n">
        <v>16</v>
      </c>
      <c r="AS12" s="86" t="n">
        <v>7</v>
      </c>
      <c r="AT12" s="86" t="n">
        <v>96</v>
      </c>
      <c r="AU12" s="86" t="n">
        <v>3</v>
      </c>
    </row>
    <row r="13" ht="16" customHeight="1" s="55">
      <c r="A13" s="88" t="inlineStr">
        <is>
          <t>Lim et al. 2023</t>
        </is>
      </c>
      <c r="B13" s="86" t="inlineStr">
        <is>
          <t>EyeArt</t>
        </is>
      </c>
      <c r="C13" s="86" t="inlineStr">
        <is>
          <t>retinaspecialist</t>
        </is>
      </c>
      <c r="D13" s="86" t="inlineStr">
        <is>
          <t>original</t>
        </is>
      </c>
      <c r="E13" s="5" t="inlineStr">
        <is>
          <t>prospective</t>
        </is>
      </c>
      <c r="F13" s="5" t="inlineStr">
        <is>
          <t>middle</t>
        </is>
      </c>
      <c r="G13" s="5" t="inlineStr">
        <is>
          <t>primary</t>
        </is>
      </c>
      <c r="H13" s="5" t="inlineStr">
        <is>
          <t>no</t>
        </is>
      </c>
      <c r="I13" s="5" t="inlineStr">
        <is>
          <t>rdr</t>
        </is>
      </c>
      <c r="J13" s="5" t="inlineStr">
        <is>
          <t>no</t>
        </is>
      </c>
      <c r="K13" s="5" t="inlineStr">
        <is>
          <t>no</t>
        </is>
      </c>
      <c r="L13" s="5" t="inlineStr">
        <is>
          <t>portable</t>
        </is>
      </c>
      <c r="M13" s="5" t="inlineStr">
        <is>
          <t>zeiss</t>
        </is>
      </c>
      <c r="N13" s="86" t="inlineStr">
        <is>
          <t>icdr</t>
        </is>
      </c>
      <c r="O13" s="5" t="inlineStr">
        <is>
          <t>retina specialist</t>
        </is>
      </c>
      <c r="P13" s="5" t="inlineStr">
        <is>
          <t>no</t>
        </is>
      </c>
      <c r="Q13" s="5" t="inlineStr">
        <is>
          <t>fundus</t>
        </is>
      </c>
      <c r="R13" s="5" t="inlineStr">
        <is>
          <t>2</t>
        </is>
      </c>
      <c r="S13" s="5" t="inlineStr">
        <is>
          <t>no</t>
        </is>
      </c>
      <c r="T13" s="5" t="inlineStr">
        <is>
          <t>no</t>
        </is>
      </c>
      <c r="U13" s="5" t="inlineStr">
        <is>
          <t>no</t>
        </is>
      </c>
      <c r="V13" s="5" t="inlineStr">
        <is>
          <t>resnet family</t>
        </is>
      </c>
      <c r="W13" s="5" t="inlineStr">
        <is>
          <t>asia</t>
        </is>
      </c>
      <c r="X13" s="86" t="inlineStr">
        <is>
          <t>high</t>
        </is>
      </c>
      <c r="Y13" s="86" t="inlineStr">
        <is>
          <t>high</t>
        </is>
      </c>
      <c r="Z13" s="86" t="inlineStr">
        <is>
          <t>excluded</t>
        </is>
      </c>
      <c r="AA13" s="86">
        <f>AD13+AE13</f>
        <v/>
      </c>
      <c r="AB13" s="86" t="inlineStr">
        <is>
          <t>Middle</t>
        </is>
      </c>
      <c r="AC13" s="104">
        <f>AD13/AA13</f>
        <v/>
      </c>
      <c r="AD13" s="104">
        <f>AH13+AI13</f>
        <v/>
      </c>
      <c r="AE13" s="104">
        <f>AK13+AJ13</f>
        <v/>
      </c>
      <c r="AF13" s="104">
        <f>AH13/(AH13+AI13)</f>
        <v/>
      </c>
      <c r="AG13" s="104">
        <f>AJ13/(AJ13+AK13)</f>
        <v/>
      </c>
      <c r="AH13" s="86" t="n">
        <v>36</v>
      </c>
      <c r="AI13" s="86" t="n">
        <v>1</v>
      </c>
      <c r="AJ13" s="86" t="n">
        <v>162</v>
      </c>
      <c r="AK13" s="86" t="n">
        <v>22</v>
      </c>
      <c r="AL13" s="86">
        <f>AN13+AO13</f>
        <v/>
      </c>
      <c r="AM13" s="104">
        <f>AN13/AL13</f>
        <v/>
      </c>
      <c r="AN13" s="104">
        <f>AR13+AS13</f>
        <v/>
      </c>
      <c r="AO13" s="104">
        <f>AU13+AT13</f>
        <v/>
      </c>
      <c r="AP13" s="104">
        <f>AR13/(AR13+AS13)</f>
        <v/>
      </c>
      <c r="AQ13" s="104">
        <f>AT13/(AT13+AU13)</f>
        <v/>
      </c>
      <c r="AR13" s="86" t="n">
        <v>22</v>
      </c>
      <c r="AS13" s="86" t="n">
        <v>15</v>
      </c>
      <c r="AT13" s="86" t="n">
        <v>182</v>
      </c>
      <c r="AU13" s="86" t="n">
        <v>2</v>
      </c>
    </row>
    <row r="14" ht="16" customHeight="1" s="55">
      <c r="A14" s="88" t="inlineStr">
        <is>
          <t>Lim et al. 2023</t>
        </is>
      </c>
      <c r="B14" s="86" t="inlineStr">
        <is>
          <t>EyeArt</t>
        </is>
      </c>
      <c r="C14" s="86" t="inlineStr">
        <is>
          <t>ophthalmologist</t>
        </is>
      </c>
      <c r="D14" s="86" t="inlineStr">
        <is>
          <t>original</t>
        </is>
      </c>
      <c r="E14" s="5" t="inlineStr">
        <is>
          <t>prospective</t>
        </is>
      </c>
      <c r="F14" s="5" t="inlineStr">
        <is>
          <t>middle</t>
        </is>
      </c>
      <c r="G14" s="5" t="inlineStr">
        <is>
          <t>primary</t>
        </is>
      </c>
      <c r="H14" s="86" t="inlineStr">
        <is>
          <t>yes</t>
        </is>
      </c>
      <c r="I14" s="86" t="inlineStr">
        <is>
          <t>vtdr</t>
        </is>
      </c>
      <c r="J14" s="86" t="inlineStr">
        <is>
          <t>no</t>
        </is>
      </c>
      <c r="K14" s="86" t="inlineStr">
        <is>
          <t>no</t>
        </is>
      </c>
      <c r="L14" s="86" t="inlineStr">
        <is>
          <t>desktop</t>
        </is>
      </c>
      <c r="M14" s="86" t="inlineStr">
        <is>
          <t>mixed</t>
        </is>
      </c>
      <c r="N14" s="86" t="inlineStr">
        <is>
          <t>icdr</t>
        </is>
      </c>
      <c r="O14" s="86" t="inlineStr">
        <is>
          <t>retina specialist</t>
        </is>
      </c>
      <c r="P14" s="86" t="inlineStr">
        <is>
          <t>yes</t>
        </is>
      </c>
      <c r="Q14" s="86" t="inlineStr">
        <is>
          <t>fundus</t>
        </is>
      </c>
      <c r="R14" s="86" t="inlineStr">
        <is>
          <t>1</t>
        </is>
      </c>
      <c r="S14" s="86" t="inlineStr">
        <is>
          <t>yes</t>
        </is>
      </c>
      <c r="T14" s="86" t="inlineStr">
        <is>
          <t>yes</t>
        </is>
      </c>
      <c r="U14" s="86" t="inlineStr">
        <is>
          <t>yes</t>
        </is>
      </c>
      <c r="V14" s="86" t="inlineStr">
        <is>
          <t>inception family</t>
        </is>
      </c>
      <c r="W14" s="86" t="inlineStr">
        <is>
          <t>asia</t>
        </is>
      </c>
      <c r="X14" s="86" t="inlineStr">
        <is>
          <t>high</t>
        </is>
      </c>
      <c r="Y14" s="86" t="inlineStr">
        <is>
          <t>low</t>
        </is>
      </c>
      <c r="Z14" s="86" t="inlineStr">
        <is>
          <t>positive</t>
        </is>
      </c>
      <c r="AA14" s="86">
        <f>AD14+AE14</f>
        <v/>
      </c>
      <c r="AB14" s="86" t="inlineStr">
        <is>
          <t>Middle</t>
        </is>
      </c>
      <c r="AC14" s="104">
        <f>AD14/AA14</f>
        <v/>
      </c>
      <c r="AD14" s="104">
        <f>AH14+AI14</f>
        <v/>
      </c>
      <c r="AE14" s="104">
        <f>AK14+AJ14</f>
        <v/>
      </c>
      <c r="AF14" s="104">
        <f>AH14/(AH14+AI14)</f>
        <v/>
      </c>
      <c r="AG14" s="104">
        <f>AJ14/(AJ14+AK14)</f>
        <v/>
      </c>
      <c r="AH14" s="86" t="n">
        <v>164</v>
      </c>
      <c r="AI14" s="86" t="n">
        <v>6</v>
      </c>
      <c r="AJ14" s="86" t="n">
        <v>525</v>
      </c>
      <c r="AK14" s="86" t="n">
        <v>83</v>
      </c>
      <c r="AL14" s="86">
        <f>AN14+AO14</f>
        <v/>
      </c>
      <c r="AM14" s="104">
        <f>AN14/AL14</f>
        <v/>
      </c>
      <c r="AN14" s="104">
        <f>AR14+AS14</f>
        <v/>
      </c>
      <c r="AO14" s="104">
        <f>AU14+AT14</f>
        <v/>
      </c>
      <c r="AP14" s="104">
        <f>AR14/(AR14+AS14)</f>
        <v/>
      </c>
      <c r="AQ14" s="104">
        <f>AT14/(AT14+AU14)</f>
        <v/>
      </c>
      <c r="AR14" s="86" t="n">
        <v>35</v>
      </c>
      <c r="AS14" s="86" t="n">
        <v>135</v>
      </c>
      <c r="AT14" s="86" t="n">
        <v>607</v>
      </c>
      <c r="AU14" s="86" t="n">
        <v>1</v>
      </c>
    </row>
    <row r="15" ht="16" customHeight="1" s="55">
      <c r="A15" s="28" t="inlineStr">
        <is>
          <t>Núñez do Rio et al. 2023</t>
        </is>
      </c>
      <c r="B15" s="86" t="inlineStr">
        <is>
          <t>SMART-India DLS</t>
        </is>
      </c>
      <c r="C15" s="86" t="inlineStr">
        <is>
          <t>trainedgrader</t>
        </is>
      </c>
      <c r="D15" s="86" t="inlineStr">
        <is>
          <t>original</t>
        </is>
      </c>
      <c r="E15" s="86" t="inlineStr">
        <is>
          <t>prospective</t>
        </is>
      </c>
      <c r="F15" s="86" t="inlineStr">
        <is>
          <t>middle</t>
        </is>
      </c>
      <c r="G15" s="86" t="inlineStr">
        <is>
          <t>tertiary</t>
        </is>
      </c>
      <c r="H15" s="5" t="inlineStr">
        <is>
          <t>no</t>
        </is>
      </c>
      <c r="I15" s="86" t="inlineStr">
        <is>
          <t>rdr</t>
        </is>
      </c>
      <c r="J15" s="86" t="inlineStr">
        <is>
          <t>yes</t>
        </is>
      </c>
      <c r="K15" s="86" t="inlineStr">
        <is>
          <t>no</t>
        </is>
      </c>
      <c r="L15" s="86" t="inlineStr">
        <is>
          <t>desktop</t>
        </is>
      </c>
      <c r="M15" s="86" t="inlineStr">
        <is>
          <t>mixed</t>
        </is>
      </c>
      <c r="N15" s="86" t="inlineStr">
        <is>
          <t>icdr</t>
        </is>
      </c>
      <c r="O15" s="86" t="inlineStr">
        <is>
          <t>ophthalmologist</t>
        </is>
      </c>
      <c r="P15" s="86" t="inlineStr">
        <is>
          <t>yes</t>
        </is>
      </c>
      <c r="Q15" s="86" t="inlineStr">
        <is>
          <t>fundus</t>
        </is>
      </c>
      <c r="R15" s="86" t="inlineStr">
        <is>
          <t>1</t>
        </is>
      </c>
      <c r="S15" s="86" t="inlineStr">
        <is>
          <t>yes</t>
        </is>
      </c>
      <c r="T15" s="86" t="inlineStr">
        <is>
          <t>yes</t>
        </is>
      </c>
      <c r="U15" s="86" t="inlineStr">
        <is>
          <t>yes</t>
        </is>
      </c>
      <c r="V15" s="5" t="inlineStr">
        <is>
          <t>densenet family</t>
        </is>
      </c>
      <c r="W15" s="86" t="inlineStr">
        <is>
          <t>asia</t>
        </is>
      </c>
      <c r="X15" s="86" t="inlineStr">
        <is>
          <t>high</t>
        </is>
      </c>
      <c r="Y15" s="86" t="inlineStr">
        <is>
          <t>high</t>
        </is>
      </c>
      <c r="Z15" s="86" t="inlineStr">
        <is>
          <t>excluded</t>
        </is>
      </c>
      <c r="AA15" s="86" t="n"/>
      <c r="AB15" s="86" t="n"/>
      <c r="AC15" s="86" t="n"/>
      <c r="AD15" s="86" t="n"/>
      <c r="AE15" s="86" t="n"/>
      <c r="AF15" s="86" t="n"/>
      <c r="AG15" s="86" t="n"/>
      <c r="AH15" s="86" t="n"/>
      <c r="AI15" s="86" t="n"/>
      <c r="AJ15" s="86" t="n"/>
      <c r="AK15" s="86" t="n"/>
      <c r="AL15" s="86" t="n"/>
      <c r="AM15" s="86" t="n"/>
      <c r="AN15" s="86" t="n"/>
      <c r="AO15" s="86" t="n"/>
      <c r="AP15" s="86" t="n"/>
      <c r="AQ15" s="86" t="n"/>
      <c r="AR15" s="86" t="n"/>
      <c r="AS15" s="86" t="n"/>
      <c r="AT15" s="86" t="n"/>
      <c r="AU15" s="86" t="n"/>
    </row>
    <row r="16" ht="16" customHeight="1" s="55">
      <c r="A16" s="28" t="inlineStr">
        <is>
          <t>Li et al. 2022</t>
        </is>
      </c>
      <c r="B16" s="86" t="inlineStr">
        <is>
          <t>AI-100</t>
        </is>
      </c>
      <c r="C16" s="86" t="inlineStr">
        <is>
          <t>ophthalmologist</t>
        </is>
      </c>
      <c r="D16" s="86" t="inlineStr">
        <is>
          <t>original</t>
        </is>
      </c>
      <c r="E16" s="86" t="inlineStr">
        <is>
          <t>prospective</t>
        </is>
      </c>
      <c r="F16" s="86" t="inlineStr">
        <is>
          <t>middle</t>
        </is>
      </c>
      <c r="G16" s="86" t="inlineStr">
        <is>
          <t>tertiary</t>
        </is>
      </c>
      <c r="H16" s="5" t="inlineStr">
        <is>
          <t>no</t>
        </is>
      </c>
      <c r="I16" s="86" t="inlineStr">
        <is>
          <t>rdr</t>
        </is>
      </c>
      <c r="J16" s="86" t="inlineStr">
        <is>
          <t>yes</t>
        </is>
      </c>
      <c r="K16" s="86" t="inlineStr">
        <is>
          <t>no</t>
        </is>
      </c>
      <c r="L16" s="86" t="inlineStr">
        <is>
          <t>desktop</t>
        </is>
      </c>
      <c r="M16" s="86" t="inlineStr">
        <is>
          <t>mixed</t>
        </is>
      </c>
      <c r="N16" s="86" t="inlineStr">
        <is>
          <t>icdr</t>
        </is>
      </c>
      <c r="O16" s="86" t="inlineStr">
        <is>
          <t>ophthalmologist</t>
        </is>
      </c>
      <c r="P16" s="86" t="inlineStr">
        <is>
          <t>yes</t>
        </is>
      </c>
      <c r="Q16" s="86" t="inlineStr">
        <is>
          <t>fundus</t>
        </is>
      </c>
      <c r="R16" s="86" t="inlineStr">
        <is>
          <t>1</t>
        </is>
      </c>
      <c r="S16" s="86" t="inlineStr">
        <is>
          <t>yes</t>
        </is>
      </c>
      <c r="T16" s="86" t="inlineStr">
        <is>
          <t>yes</t>
        </is>
      </c>
      <c r="U16" s="86" t="inlineStr">
        <is>
          <t>yes</t>
        </is>
      </c>
      <c r="V16" s="5" t="inlineStr">
        <is>
          <t>densenet family</t>
        </is>
      </c>
      <c r="W16" s="86" t="inlineStr">
        <is>
          <t>asia</t>
        </is>
      </c>
      <c r="X16" s="86" t="inlineStr">
        <is>
          <t>high</t>
        </is>
      </c>
      <c r="Y16" s="86" t="inlineStr">
        <is>
          <t>high</t>
        </is>
      </c>
      <c r="Z16" s="86" t="inlineStr">
        <is>
          <t>excluded</t>
        </is>
      </c>
      <c r="AA16" s="86">
        <f>AD16+AE16</f>
        <v/>
      </c>
      <c r="AB16" s="86" t="inlineStr">
        <is>
          <t>Middle</t>
        </is>
      </c>
      <c r="AC16" s="104">
        <f>AD16/AA16</f>
        <v/>
      </c>
      <c r="AD16" s="104">
        <f>AH16+AI16</f>
        <v/>
      </c>
      <c r="AE16" s="104">
        <f>AK16+AJ16</f>
        <v/>
      </c>
      <c r="AF16" s="104">
        <f>AH16/(AH16+AI16)</f>
        <v/>
      </c>
      <c r="AG16" s="104">
        <f>AJ16/(AJ16+AK16)</f>
        <v/>
      </c>
      <c r="AH16" s="86" t="n">
        <v>307</v>
      </c>
      <c r="AI16" s="86" t="n">
        <v>17</v>
      </c>
      <c r="AJ16" s="86" t="n">
        <v>1204</v>
      </c>
      <c r="AK16" s="86" t="n">
        <v>57</v>
      </c>
      <c r="AL16" s="86">
        <f>AN16+AO16</f>
        <v/>
      </c>
      <c r="AM16" s="104">
        <f>AN16/AL16</f>
        <v/>
      </c>
      <c r="AN16" s="104">
        <f>AR16+AS16</f>
        <v/>
      </c>
      <c r="AO16" s="104">
        <f>AU16+AT16</f>
        <v/>
      </c>
      <c r="AP16" s="104">
        <f>AR16/(AR16+AS16)</f>
        <v/>
      </c>
      <c r="AQ16" s="104">
        <f>AT16/(AT16+AU16)</f>
        <v/>
      </c>
      <c r="AR16" s="86" t="n">
        <v>312</v>
      </c>
      <c r="AS16" s="86" t="n">
        <v>12</v>
      </c>
      <c r="AT16" s="86" t="n">
        <v>1247</v>
      </c>
      <c r="AU16" s="86" t="n">
        <v>14</v>
      </c>
    </row>
    <row r="17" ht="16" customHeight="1" s="55">
      <c r="A17" s="28" t="inlineStr">
        <is>
          <t>Li et al. 2022</t>
        </is>
      </c>
      <c r="B17" s="86" t="inlineStr">
        <is>
          <t>AI-100</t>
        </is>
      </c>
      <c r="C17" s="86" t="inlineStr">
        <is>
          <t>ophthalmologist</t>
        </is>
      </c>
      <c r="D17" s="86" t="inlineStr">
        <is>
          <t>original</t>
        </is>
      </c>
      <c r="E17" s="86" t="inlineStr">
        <is>
          <t>retrospective</t>
        </is>
      </c>
      <c r="F17" s="86" t="inlineStr">
        <is>
          <t>high</t>
        </is>
      </c>
      <c r="G17" s="86" t="inlineStr">
        <is>
          <t>public dataset</t>
        </is>
      </c>
      <c r="H17" s="5" t="inlineStr">
        <is>
          <t>no</t>
        </is>
      </c>
      <c r="I17" s="86" t="inlineStr">
        <is>
          <t>dr</t>
        </is>
      </c>
      <c r="J17" s="86" t="inlineStr">
        <is>
          <t>no</t>
        </is>
      </c>
      <c r="K17" s="86" t="inlineStr">
        <is>
          <t>mixed</t>
        </is>
      </c>
      <c r="L17" s="86" t="inlineStr">
        <is>
          <t>mixed</t>
        </is>
      </c>
      <c r="M17" s="86" t="inlineStr">
        <is>
          <t>mixed</t>
        </is>
      </c>
      <c r="N17" s="86" t="inlineStr">
        <is>
          <t>icdr</t>
        </is>
      </c>
      <c r="O17" s="86" t="inlineStr">
        <is>
          <t>ophthalmologist</t>
        </is>
      </c>
      <c r="P17" s="86" t="inlineStr">
        <is>
          <t>yes</t>
        </is>
      </c>
      <c r="Q17" s="86" t="inlineStr">
        <is>
          <t>fundus</t>
        </is>
      </c>
      <c r="R17" s="86" t="inlineStr">
        <is>
          <t>1</t>
        </is>
      </c>
      <c r="S17" s="86" t="inlineStr">
        <is>
          <t>no</t>
        </is>
      </c>
      <c r="T17" s="86" t="inlineStr">
        <is>
          <t>no</t>
        </is>
      </c>
      <c r="U17" s="86" t="inlineStr">
        <is>
          <t>no</t>
        </is>
      </c>
      <c r="V17" s="5" t="inlineStr">
        <is>
          <t>resnet family</t>
        </is>
      </c>
      <c r="W17" s="86" t="inlineStr">
        <is>
          <t>north america</t>
        </is>
      </c>
      <c r="X17" s="86" t="inlineStr">
        <is>
          <t>high</t>
        </is>
      </c>
      <c r="Y17" s="86" t="inlineStr">
        <is>
          <t>high</t>
        </is>
      </c>
      <c r="Z17" s="86" t="inlineStr">
        <is>
          <t>excluded</t>
        </is>
      </c>
      <c r="AA17" s="86">
        <f>AD17+AE17</f>
        <v/>
      </c>
      <c r="AB17" s="86" t="inlineStr">
        <is>
          <t>Middle</t>
        </is>
      </c>
      <c r="AC17" s="104">
        <f>AD17/AA17</f>
        <v/>
      </c>
      <c r="AD17" s="104">
        <f>AH17+AI17</f>
        <v/>
      </c>
      <c r="AE17" s="104">
        <f>AK17+AJ17</f>
        <v/>
      </c>
      <c r="AF17" s="104">
        <f>AH17/(AH17+AI17)</f>
        <v/>
      </c>
      <c r="AG17" s="104">
        <f>AJ17/(AJ17+AK17)</f>
        <v/>
      </c>
      <c r="AH17" s="86" t="n">
        <v>307</v>
      </c>
      <c r="AI17" s="86" t="n">
        <v>17</v>
      </c>
      <c r="AJ17" s="86" t="n">
        <v>1204</v>
      </c>
      <c r="AK17" s="86" t="n">
        <v>57</v>
      </c>
      <c r="AL17" s="86">
        <f>AN17+AO17</f>
        <v/>
      </c>
      <c r="AM17" s="104">
        <f>AN17/AL17</f>
        <v/>
      </c>
      <c r="AN17" s="104">
        <f>AR17+AS17</f>
        <v/>
      </c>
      <c r="AO17" s="104">
        <f>AU17+AT17</f>
        <v/>
      </c>
      <c r="AP17" s="104">
        <f>AR17/(AR17+AS17)</f>
        <v/>
      </c>
      <c r="AQ17" s="104">
        <f>AT17/(AT17+AU17)</f>
        <v/>
      </c>
      <c r="AR17" s="86" t="n">
        <v>319</v>
      </c>
      <c r="AS17" s="86" t="n">
        <v>5</v>
      </c>
      <c r="AT17" s="86" t="n">
        <v>1255</v>
      </c>
      <c r="AU17" s="86" t="n">
        <v>6</v>
      </c>
    </row>
    <row r="18" ht="16" customHeight="1" s="55">
      <c r="A18" s="88" t="inlineStr">
        <is>
          <t>Ruamviboonsuk et al. 2022</t>
        </is>
      </c>
      <c r="B18" s="86" t="inlineStr">
        <is>
          <t>ARDA</t>
        </is>
      </c>
      <c r="C18" s="86" t="inlineStr">
        <is>
          <t>retinaspecialist</t>
        </is>
      </c>
      <c r="D18" s="86" t="inlineStr">
        <is>
          <t>original</t>
        </is>
      </c>
      <c r="E18" s="86" t="inlineStr">
        <is>
          <t>retrospective</t>
        </is>
      </c>
      <c r="F18" s="86" t="inlineStr">
        <is>
          <t>high</t>
        </is>
      </c>
      <c r="G18" s="86" t="inlineStr">
        <is>
          <t>public dataset</t>
        </is>
      </c>
      <c r="H18" s="5" t="inlineStr">
        <is>
          <t>no</t>
        </is>
      </c>
      <c r="I18" s="86" t="inlineStr">
        <is>
          <t>dr</t>
        </is>
      </c>
      <c r="J18" s="86" t="inlineStr">
        <is>
          <t>no</t>
        </is>
      </c>
      <c r="K18" s="86" t="inlineStr">
        <is>
          <t>mixed</t>
        </is>
      </c>
      <c r="L18" s="86" t="inlineStr">
        <is>
          <t>mixed</t>
        </is>
      </c>
      <c r="M18" s="86" t="inlineStr">
        <is>
          <t>mixed</t>
        </is>
      </c>
      <c r="N18" s="86" t="inlineStr">
        <is>
          <t>icdr</t>
        </is>
      </c>
      <c r="O18" s="86" t="inlineStr">
        <is>
          <t>ophthalmologist</t>
        </is>
      </c>
      <c r="P18" s="86" t="inlineStr">
        <is>
          <t>yes</t>
        </is>
      </c>
      <c r="Q18" s="86" t="inlineStr">
        <is>
          <t>fundus</t>
        </is>
      </c>
      <c r="R18" s="86" t="inlineStr">
        <is>
          <t>1</t>
        </is>
      </c>
      <c r="S18" s="86" t="inlineStr">
        <is>
          <t>no</t>
        </is>
      </c>
      <c r="T18" s="86" t="inlineStr">
        <is>
          <t>no</t>
        </is>
      </c>
      <c r="U18" s="86" t="inlineStr">
        <is>
          <t>no</t>
        </is>
      </c>
      <c r="V18" s="5" t="inlineStr">
        <is>
          <t>resnet family</t>
        </is>
      </c>
      <c r="W18" s="86" t="inlineStr">
        <is>
          <t>north america</t>
        </is>
      </c>
      <c r="X18" s="86" t="inlineStr">
        <is>
          <t>high</t>
        </is>
      </c>
      <c r="Y18" s="86" t="inlineStr">
        <is>
          <t>high</t>
        </is>
      </c>
      <c r="Z18" s="86" t="inlineStr">
        <is>
          <t>excluded</t>
        </is>
      </c>
      <c r="AA18" s="86">
        <f>AD18+AE18</f>
        <v/>
      </c>
      <c r="AB18" s="86" t="inlineStr">
        <is>
          <t>Middle</t>
        </is>
      </c>
      <c r="AC18" s="104">
        <f>AD18/AA18</f>
        <v/>
      </c>
      <c r="AD18" s="104">
        <f>AH18+AI18</f>
        <v/>
      </c>
      <c r="AE18" s="104">
        <f>AK18+AJ18</f>
        <v/>
      </c>
      <c r="AF18" s="104">
        <f>AH18/(AH18+AI18)</f>
        <v/>
      </c>
      <c r="AG18" s="104">
        <f>AJ18/(AJ18+AK18)</f>
        <v/>
      </c>
      <c r="AH18" s="86" t="n">
        <v>233</v>
      </c>
      <c r="AI18" s="86" t="n">
        <v>22</v>
      </c>
      <c r="AJ18" s="86" t="n">
        <v>640</v>
      </c>
      <c r="AK18" s="86" t="n">
        <v>31</v>
      </c>
      <c r="AL18" s="86">
        <f>AN18+AO18</f>
        <v/>
      </c>
      <c r="AM18" s="104">
        <f>AN18/AL18</f>
        <v/>
      </c>
      <c r="AN18" s="104">
        <f>AR18+AS18</f>
        <v/>
      </c>
      <c r="AO18" s="104">
        <f>AU18+AT18</f>
        <v/>
      </c>
      <c r="AP18" s="104">
        <f>AR18/(AR18+AS18)</f>
        <v/>
      </c>
      <c r="AQ18" s="104">
        <f>AT18/(AT18+AU18)</f>
        <v/>
      </c>
      <c r="AR18" s="86" t="n">
        <v>216</v>
      </c>
      <c r="AS18" s="86" t="n">
        <v>39</v>
      </c>
      <c r="AT18" s="86" t="n">
        <v>641</v>
      </c>
      <c r="AU18" s="86" t="n">
        <v>30</v>
      </c>
    </row>
    <row r="19" ht="16" customHeight="1" s="55">
      <c r="A19" s="28" t="inlineStr">
        <is>
          <t>Zhang et al. 2022</t>
        </is>
      </c>
      <c r="B19" s="86" t="inlineStr">
        <is>
          <t>DGCN</t>
        </is>
      </c>
      <c r="C19" s="86" t="inlineStr">
        <is>
          <t>retinaspecialist</t>
        </is>
      </c>
      <c r="D19" s="86" t="inlineStr">
        <is>
          <t>original</t>
        </is>
      </c>
      <c r="E19" s="86" t="inlineStr">
        <is>
          <t>retrospective</t>
        </is>
      </c>
      <c r="F19" s="86" t="inlineStr">
        <is>
          <t>high</t>
        </is>
      </c>
      <c r="G19" s="86" t="inlineStr">
        <is>
          <t>public dataset</t>
        </is>
      </c>
      <c r="H19" s="5" t="inlineStr">
        <is>
          <t>no</t>
        </is>
      </c>
      <c r="I19" s="5" t="inlineStr">
        <is>
          <t>rdr</t>
        </is>
      </c>
      <c r="J19" s="86" t="inlineStr">
        <is>
          <t>no</t>
        </is>
      </c>
      <c r="K19" s="86" t="inlineStr">
        <is>
          <t>mixed</t>
        </is>
      </c>
      <c r="L19" s="86" t="inlineStr">
        <is>
          <t>mixed</t>
        </is>
      </c>
      <c r="M19" s="86" t="inlineStr">
        <is>
          <t>mixed</t>
        </is>
      </c>
      <c r="N19" s="86" t="inlineStr">
        <is>
          <t>icdr</t>
        </is>
      </c>
      <c r="O19" s="86" t="inlineStr">
        <is>
          <t>ophthalmologist</t>
        </is>
      </c>
      <c r="P19" s="86" t="inlineStr">
        <is>
          <t>yes</t>
        </is>
      </c>
      <c r="Q19" s="86" t="inlineStr">
        <is>
          <t>fundus</t>
        </is>
      </c>
      <c r="R19" s="86" t="inlineStr">
        <is>
          <t>1</t>
        </is>
      </c>
      <c r="S19" s="86" t="inlineStr">
        <is>
          <t>no</t>
        </is>
      </c>
      <c r="T19" s="86" t="inlineStr">
        <is>
          <t>no</t>
        </is>
      </c>
      <c r="U19" s="86" t="inlineStr">
        <is>
          <t>no</t>
        </is>
      </c>
      <c r="V19" s="5" t="inlineStr">
        <is>
          <t>resnet family</t>
        </is>
      </c>
      <c r="W19" s="86" t="inlineStr">
        <is>
          <t>europe</t>
        </is>
      </c>
      <c r="X19" s="86" t="inlineStr">
        <is>
          <t>high</t>
        </is>
      </c>
      <c r="Y19" s="86" t="inlineStr">
        <is>
          <t>high</t>
        </is>
      </c>
      <c r="Z19" s="86" t="inlineStr">
        <is>
          <t>excluded</t>
        </is>
      </c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</row>
    <row r="20" ht="16" customHeight="1" s="55">
      <c r="A20" s="28" t="inlineStr">
        <is>
          <t>Zhang et al. 2022</t>
        </is>
      </c>
      <c r="B20" s="86" t="inlineStr">
        <is>
          <t>DGCN</t>
        </is>
      </c>
      <c r="C20" s="86" t="inlineStr">
        <is>
          <t>trainedgrader</t>
        </is>
      </c>
      <c r="D20" s="86" t="inlineStr">
        <is>
          <t>original</t>
        </is>
      </c>
      <c r="E20" s="86" t="inlineStr">
        <is>
          <t>retrospective</t>
        </is>
      </c>
      <c r="F20" s="86" t="inlineStr">
        <is>
          <t>high</t>
        </is>
      </c>
      <c r="G20" s="86" t="inlineStr">
        <is>
          <t>public dataset</t>
        </is>
      </c>
      <c r="H20" s="5" t="inlineStr">
        <is>
          <t>no</t>
        </is>
      </c>
      <c r="I20" s="5" t="inlineStr">
        <is>
          <t>rdr</t>
        </is>
      </c>
      <c r="J20" s="86" t="inlineStr">
        <is>
          <t>no</t>
        </is>
      </c>
      <c r="K20" s="86" t="inlineStr">
        <is>
          <t>mixed</t>
        </is>
      </c>
      <c r="L20" s="86" t="inlineStr">
        <is>
          <t>mixed</t>
        </is>
      </c>
      <c r="M20" s="86" t="inlineStr">
        <is>
          <t>mixed</t>
        </is>
      </c>
      <c r="N20" s="86" t="inlineStr">
        <is>
          <t>icdr</t>
        </is>
      </c>
      <c r="O20" s="86" t="inlineStr">
        <is>
          <t>ophthalmologist</t>
        </is>
      </c>
      <c r="P20" s="86" t="inlineStr">
        <is>
          <t>yes</t>
        </is>
      </c>
      <c r="Q20" s="86" t="inlineStr">
        <is>
          <t>fundus</t>
        </is>
      </c>
      <c r="R20" s="86" t="inlineStr">
        <is>
          <t>1</t>
        </is>
      </c>
      <c r="S20" s="86" t="inlineStr">
        <is>
          <t>no</t>
        </is>
      </c>
      <c r="T20" s="86" t="inlineStr">
        <is>
          <t>no</t>
        </is>
      </c>
      <c r="U20" s="86" t="inlineStr">
        <is>
          <t>no</t>
        </is>
      </c>
      <c r="V20" s="5" t="inlineStr">
        <is>
          <t>resnet family</t>
        </is>
      </c>
      <c r="W20" s="86" t="inlineStr">
        <is>
          <t>europe</t>
        </is>
      </c>
      <c r="X20" s="86" t="inlineStr">
        <is>
          <t>high</t>
        </is>
      </c>
      <c r="Y20" s="86" t="inlineStr">
        <is>
          <t>high</t>
        </is>
      </c>
      <c r="Z20" s="86" t="inlineStr">
        <is>
          <t>excluded</t>
        </is>
      </c>
      <c r="AA20" s="86" t="n"/>
      <c r="AB20" s="86" t="n"/>
      <c r="AC20" s="86" t="n"/>
      <c r="AD20" s="86" t="n"/>
      <c r="AE20" s="86" t="n"/>
      <c r="AF20" s="86" t="n"/>
      <c r="AG20" s="86" t="n"/>
      <c r="AH20" s="86" t="n"/>
      <c r="AI20" s="86" t="n"/>
      <c r="AJ20" s="86" t="n"/>
      <c r="AK20" s="86" t="n"/>
      <c r="AL20" s="86" t="n"/>
      <c r="AM20" s="86" t="n"/>
      <c r="AN20" s="86" t="n"/>
      <c r="AO20" s="86" t="n"/>
      <c r="AP20" s="86" t="n"/>
      <c r="AQ20" s="86" t="n"/>
      <c r="AR20" s="86" t="n"/>
      <c r="AS20" s="86" t="n"/>
      <c r="AT20" s="86" t="n"/>
      <c r="AU20" s="86" t="n"/>
    </row>
    <row r="21" ht="16" customHeight="1" s="55">
      <c r="A21" s="28" t="inlineStr">
        <is>
          <t>Zhang et al. 2022</t>
        </is>
      </c>
      <c r="B21" s="86" t="inlineStr">
        <is>
          <t>DGCN</t>
        </is>
      </c>
      <c r="C21" s="86" t="inlineStr">
        <is>
          <t>retinaspecialist</t>
        </is>
      </c>
      <c r="D21" s="86" t="inlineStr">
        <is>
          <t>original</t>
        </is>
      </c>
      <c r="E21" s="86" t="inlineStr">
        <is>
          <t>retrospective</t>
        </is>
      </c>
      <c r="F21" s="86" t="inlineStr">
        <is>
          <t>high</t>
        </is>
      </c>
      <c r="G21" s="86" t="inlineStr">
        <is>
          <t>tertiary</t>
        </is>
      </c>
      <c r="H21" s="5" t="inlineStr">
        <is>
          <t>no</t>
        </is>
      </c>
      <c r="I21" s="86" t="inlineStr">
        <is>
          <t>dr</t>
        </is>
      </c>
      <c r="J21" s="86" t="inlineStr">
        <is>
          <t>no</t>
        </is>
      </c>
      <c r="K21" s="86" t="inlineStr">
        <is>
          <t>no</t>
        </is>
      </c>
      <c r="L21" s="86" t="inlineStr">
        <is>
          <t>desktop</t>
        </is>
      </c>
      <c r="M21" s="86" t="inlineStr">
        <is>
          <t>canon</t>
        </is>
      </c>
      <c r="N21" s="86" t="inlineStr">
        <is>
          <t>icdr</t>
        </is>
      </c>
      <c r="O21" s="86" t="inlineStr">
        <is>
          <t>ophthalmologist</t>
        </is>
      </c>
      <c r="P21" s="86" t="inlineStr">
        <is>
          <t>yes</t>
        </is>
      </c>
      <c r="Q21" s="86" t="inlineStr">
        <is>
          <t>fundus</t>
        </is>
      </c>
      <c r="R21" s="86" t="inlineStr">
        <is>
          <t>1</t>
        </is>
      </c>
      <c r="S21" s="86" t="inlineStr">
        <is>
          <t>yes</t>
        </is>
      </c>
      <c r="T21" s="86" t="inlineStr">
        <is>
          <t>yes</t>
        </is>
      </c>
      <c r="U21" s="86" t="inlineStr">
        <is>
          <t>yes</t>
        </is>
      </c>
      <c r="V21" s="86" t="inlineStr">
        <is>
          <t>inception family</t>
        </is>
      </c>
      <c r="W21" s="86" t="inlineStr">
        <is>
          <t>asia</t>
        </is>
      </c>
      <c r="X21" s="86" t="inlineStr">
        <is>
          <t>high</t>
        </is>
      </c>
      <c r="Y21" s="86" t="inlineStr">
        <is>
          <t>high</t>
        </is>
      </c>
      <c r="Z21" s="86" t="inlineStr">
        <is>
          <t>excluded</t>
        </is>
      </c>
      <c r="AA21" s="86" t="n"/>
      <c r="AB21" s="86" t="n"/>
      <c r="AC21" s="86" t="n"/>
      <c r="AD21" s="86" t="n"/>
      <c r="AE21" s="86" t="n"/>
      <c r="AF21" s="86" t="n"/>
      <c r="AG21" s="86" t="n"/>
      <c r="AH21" s="86" t="n"/>
      <c r="AI21" s="86" t="n"/>
      <c r="AJ21" s="86" t="n"/>
      <c r="AK21" s="86" t="n"/>
      <c r="AL21" s="86" t="n"/>
      <c r="AM21" s="86" t="n"/>
      <c r="AN21" s="86" t="n"/>
      <c r="AO21" s="86" t="n"/>
      <c r="AP21" s="86" t="n"/>
      <c r="AQ21" s="86" t="n"/>
      <c r="AR21" s="86" t="n"/>
      <c r="AS21" s="86" t="n"/>
      <c r="AT21" s="86" t="n"/>
      <c r="AU21" s="86" t="n"/>
    </row>
    <row r="22" ht="16" customHeight="1" s="55">
      <c r="A22" s="28" t="inlineStr">
        <is>
          <t>Zhang et al. 2022</t>
        </is>
      </c>
      <c r="B22" s="86" t="inlineStr">
        <is>
          <t>DGCN</t>
        </is>
      </c>
      <c r="C22" s="86" t="inlineStr">
        <is>
          <t>trainedgrader</t>
        </is>
      </c>
      <c r="D22" s="86" t="inlineStr">
        <is>
          <t>original</t>
        </is>
      </c>
      <c r="E22" s="86" t="inlineStr">
        <is>
          <t>retrospective</t>
        </is>
      </c>
      <c r="F22" s="86" t="inlineStr">
        <is>
          <t>high</t>
        </is>
      </c>
      <c r="G22" s="86" t="inlineStr">
        <is>
          <t>tertiary</t>
        </is>
      </c>
      <c r="H22" s="5" t="inlineStr">
        <is>
          <t>no</t>
        </is>
      </c>
      <c r="I22" s="86" t="inlineStr">
        <is>
          <t>rdr</t>
        </is>
      </c>
      <c r="J22" s="86" t="inlineStr">
        <is>
          <t>no</t>
        </is>
      </c>
      <c r="K22" s="86" t="inlineStr">
        <is>
          <t>no</t>
        </is>
      </c>
      <c r="L22" s="86" t="inlineStr">
        <is>
          <t>desktop</t>
        </is>
      </c>
      <c r="M22" s="86" t="inlineStr">
        <is>
          <t>canon</t>
        </is>
      </c>
      <c r="N22" s="86" t="inlineStr">
        <is>
          <t>icdr</t>
        </is>
      </c>
      <c r="O22" s="86" t="inlineStr">
        <is>
          <t>ophthalmologist</t>
        </is>
      </c>
      <c r="P22" s="86" t="inlineStr">
        <is>
          <t>yes</t>
        </is>
      </c>
      <c r="Q22" s="86" t="inlineStr">
        <is>
          <t>fundus</t>
        </is>
      </c>
      <c r="R22" s="86" t="inlineStr">
        <is>
          <t>1</t>
        </is>
      </c>
      <c r="S22" s="86" t="inlineStr">
        <is>
          <t>yes</t>
        </is>
      </c>
      <c r="T22" s="86" t="inlineStr">
        <is>
          <t>yes</t>
        </is>
      </c>
      <c r="U22" s="86" t="inlineStr">
        <is>
          <t>yes</t>
        </is>
      </c>
      <c r="V22" s="86" t="inlineStr">
        <is>
          <t>inception family</t>
        </is>
      </c>
      <c r="W22" s="86" t="inlineStr">
        <is>
          <t>asia</t>
        </is>
      </c>
      <c r="X22" s="86" t="inlineStr">
        <is>
          <t>high</t>
        </is>
      </c>
      <c r="Y22" s="86" t="inlineStr">
        <is>
          <t>high</t>
        </is>
      </c>
      <c r="Z22" s="86" t="inlineStr">
        <is>
          <t>excluded</t>
        </is>
      </c>
      <c r="AA22" s="86" t="n"/>
      <c r="AB22" s="86" t="n"/>
      <c r="AC22" s="86" t="n"/>
      <c r="AD22" s="86" t="n"/>
      <c r="AE22" s="86" t="n"/>
      <c r="AF22" s="86" t="n"/>
      <c r="AG22" s="86" t="n"/>
      <c r="AH22" s="86" t="n"/>
      <c r="AI22" s="86" t="n"/>
      <c r="AJ22" s="86" t="n"/>
      <c r="AK22" s="86" t="n"/>
      <c r="AL22" s="86" t="n"/>
      <c r="AM22" s="86" t="n"/>
      <c r="AN22" s="86" t="n"/>
      <c r="AO22" s="86" t="n"/>
      <c r="AP22" s="86" t="n"/>
      <c r="AQ22" s="86" t="n"/>
      <c r="AR22" s="86" t="n"/>
      <c r="AS22" s="86" t="n"/>
      <c r="AT22" s="86" t="n"/>
      <c r="AU22" s="86" t="n"/>
    </row>
    <row r="23" ht="16" customHeight="1" s="55">
      <c r="A23" s="28" t="inlineStr">
        <is>
          <t>Hsieh et al. 2021</t>
        </is>
      </c>
      <c r="B23" s="86" t="inlineStr">
        <is>
          <t>VeriSee</t>
        </is>
      </c>
      <c r="C23" s="86" t="inlineStr">
        <is>
          <t>ophthalmologist</t>
        </is>
      </c>
      <c r="D23" s="86" t="inlineStr">
        <is>
          <t>original</t>
        </is>
      </c>
      <c r="E23" s="86" t="inlineStr">
        <is>
          <t>retrospective</t>
        </is>
      </c>
      <c r="F23" s="86" t="inlineStr">
        <is>
          <t>high</t>
        </is>
      </c>
      <c r="G23" s="86" t="inlineStr">
        <is>
          <t>tertiary</t>
        </is>
      </c>
      <c r="H23" s="5" t="inlineStr">
        <is>
          <t>no</t>
        </is>
      </c>
      <c r="I23" s="86" t="inlineStr">
        <is>
          <t>dr</t>
        </is>
      </c>
      <c r="J23" s="86" t="inlineStr">
        <is>
          <t>no</t>
        </is>
      </c>
      <c r="K23" s="86" t="inlineStr">
        <is>
          <t>no</t>
        </is>
      </c>
      <c r="L23" s="86" t="inlineStr">
        <is>
          <t>desktop</t>
        </is>
      </c>
      <c r="M23" s="86" t="inlineStr">
        <is>
          <t>canon</t>
        </is>
      </c>
      <c r="N23" s="86" t="inlineStr">
        <is>
          <t>icdr</t>
        </is>
      </c>
      <c r="O23" s="86" t="inlineStr">
        <is>
          <t>ophthalmologist</t>
        </is>
      </c>
      <c r="P23" s="86" t="inlineStr">
        <is>
          <t>yes</t>
        </is>
      </c>
      <c r="Q23" s="86" t="inlineStr">
        <is>
          <t>fundus</t>
        </is>
      </c>
      <c r="R23" s="86" t="inlineStr">
        <is>
          <t>1</t>
        </is>
      </c>
      <c r="S23" s="86" t="inlineStr">
        <is>
          <t>yes</t>
        </is>
      </c>
      <c r="T23" s="86" t="inlineStr">
        <is>
          <t>yes</t>
        </is>
      </c>
      <c r="U23" s="86" t="inlineStr">
        <is>
          <t>yes</t>
        </is>
      </c>
      <c r="V23" s="86" t="inlineStr">
        <is>
          <t>inception family</t>
        </is>
      </c>
      <c r="W23" s="86" t="inlineStr">
        <is>
          <t>asia</t>
        </is>
      </c>
      <c r="X23" s="86" t="inlineStr">
        <is>
          <t>high</t>
        </is>
      </c>
      <c r="Y23" s="86" t="inlineStr">
        <is>
          <t>high</t>
        </is>
      </c>
      <c r="Z23" s="86" t="inlineStr">
        <is>
          <t>excluded</t>
        </is>
      </c>
      <c r="AA23" s="86" t="n"/>
      <c r="AB23" s="86" t="n"/>
      <c r="AC23" s="86" t="n"/>
      <c r="AD23" s="86" t="n"/>
      <c r="AE23" s="86" t="n"/>
      <c r="AF23" s="86" t="n"/>
      <c r="AG23" s="86" t="n"/>
      <c r="AH23" s="86" t="n"/>
      <c r="AI23" s="86" t="n"/>
      <c r="AJ23" s="86" t="n"/>
      <c r="AK23" s="86" t="n"/>
      <c r="AL23" s="86" t="n"/>
      <c r="AM23" s="86" t="n"/>
      <c r="AN23" s="86" t="n"/>
      <c r="AO23" s="86" t="n"/>
      <c r="AP23" s="86" t="n"/>
      <c r="AQ23" s="86" t="n"/>
      <c r="AR23" s="86" t="n"/>
      <c r="AS23" s="86" t="n"/>
      <c r="AT23" s="86" t="n"/>
      <c r="AU23" s="86" t="n"/>
    </row>
    <row r="24" ht="16" customHeight="1" s="55">
      <c r="A24" s="28" t="inlineStr">
        <is>
          <t>Hsieh et al. 2021</t>
        </is>
      </c>
      <c r="B24" s="86" t="inlineStr">
        <is>
          <t>VeriSee</t>
        </is>
      </c>
      <c r="C24" s="86" t="inlineStr">
        <is>
          <t>ophthalmologist</t>
        </is>
      </c>
      <c r="D24" s="86" t="inlineStr">
        <is>
          <t>original</t>
        </is>
      </c>
      <c r="E24" s="86" t="inlineStr">
        <is>
          <t>prospective</t>
        </is>
      </c>
      <c r="F24" s="86" t="inlineStr">
        <is>
          <t>high</t>
        </is>
      </c>
      <c r="G24" s="86" t="inlineStr">
        <is>
          <t>tertiary</t>
        </is>
      </c>
      <c r="H24" s="86" t="inlineStr">
        <is>
          <t>no</t>
        </is>
      </c>
      <c r="I24" s="86" t="inlineStr">
        <is>
          <t>rdr</t>
        </is>
      </c>
      <c r="J24" s="86" t="inlineStr">
        <is>
          <t>no</t>
        </is>
      </c>
      <c r="K24" s="86" t="inlineStr">
        <is>
          <t>yes</t>
        </is>
      </c>
      <c r="L24" s="86" t="inlineStr">
        <is>
          <t>smartphone</t>
        </is>
      </c>
      <c r="M24" s="86" t="inlineStr">
        <is>
          <t>retinascope</t>
        </is>
      </c>
      <c r="N24" s="86" t="inlineStr">
        <is>
          <t>etdrs</t>
        </is>
      </c>
      <c r="O24" s="86" t="inlineStr">
        <is>
          <t>retina specialist</t>
        </is>
      </c>
      <c r="P24" s="86" t="inlineStr">
        <is>
          <t>no</t>
        </is>
      </c>
      <c r="Q24" s="86" t="inlineStr">
        <is>
          <t>clinical examination</t>
        </is>
      </c>
      <c r="R24" s="5" t="inlineStr">
        <is>
          <t>&gt;2</t>
        </is>
      </c>
      <c r="S24" s="86" t="inlineStr">
        <is>
          <t>yes</t>
        </is>
      </c>
      <c r="T24" s="86" t="inlineStr">
        <is>
          <t>yes</t>
        </is>
      </c>
      <c r="U24" s="86" t="inlineStr">
        <is>
          <t>yes</t>
        </is>
      </c>
      <c r="V24" s="86" t="inlineStr">
        <is>
          <t>cnn</t>
        </is>
      </c>
      <c r="W24" s="86" t="inlineStr">
        <is>
          <t>north america</t>
        </is>
      </c>
      <c r="X24" s="86" t="inlineStr">
        <is>
          <t>high</t>
        </is>
      </c>
      <c r="Y24" s="86" t="inlineStr">
        <is>
          <t>high</t>
        </is>
      </c>
      <c r="Z24" s="86" t="inlineStr">
        <is>
          <t>excluded</t>
        </is>
      </c>
      <c r="AA24" s="86" t="n"/>
      <c r="AB24" s="86" t="n"/>
      <c r="AC24" s="86" t="n"/>
      <c r="AD24" s="86" t="n"/>
      <c r="AE24" s="86" t="n"/>
      <c r="AF24" s="86" t="n"/>
      <c r="AG24" s="86" t="n"/>
      <c r="AH24" s="86" t="n"/>
      <c r="AI24" s="86" t="n"/>
      <c r="AJ24" s="86" t="n"/>
      <c r="AK24" s="86" t="n"/>
      <c r="AL24" s="86" t="n"/>
      <c r="AM24" s="86" t="n"/>
      <c r="AN24" s="86" t="n"/>
      <c r="AO24" s="86" t="n"/>
      <c r="AP24" s="86" t="n"/>
      <c r="AQ24" s="86" t="n"/>
      <c r="AR24" s="86" t="n"/>
      <c r="AS24" s="86" t="n"/>
      <c r="AT24" s="86" t="n"/>
      <c r="AU24" s="86" t="n"/>
    </row>
    <row r="25" ht="16" customHeight="1" s="55">
      <c r="A25" s="28" t="inlineStr">
        <is>
          <t>Hsieh et al. 2021</t>
        </is>
      </c>
      <c r="B25" s="86" t="inlineStr">
        <is>
          <t>VeriSee</t>
        </is>
      </c>
      <c r="C25" s="86" t="inlineStr">
        <is>
          <t>physician</t>
        </is>
      </c>
      <c r="D25" s="86" t="inlineStr">
        <is>
          <t>original</t>
        </is>
      </c>
      <c r="E25" s="86" t="inlineStr">
        <is>
          <t>prospective</t>
        </is>
      </c>
      <c r="F25" s="86" t="inlineStr">
        <is>
          <t>high</t>
        </is>
      </c>
      <c r="G25" s="86" t="inlineStr">
        <is>
          <t>tertiary</t>
        </is>
      </c>
      <c r="H25" s="86" t="inlineStr">
        <is>
          <t>no</t>
        </is>
      </c>
      <c r="I25" s="86" t="inlineStr">
        <is>
          <t>rdr</t>
        </is>
      </c>
      <c r="J25" s="86" t="inlineStr">
        <is>
          <t>no</t>
        </is>
      </c>
      <c r="K25" s="86" t="inlineStr">
        <is>
          <t>yes</t>
        </is>
      </c>
      <c r="L25" s="86" t="inlineStr">
        <is>
          <t>smartphone</t>
        </is>
      </c>
      <c r="M25" s="86" t="inlineStr">
        <is>
          <t>retinascope</t>
        </is>
      </c>
      <c r="N25" s="86" t="inlineStr">
        <is>
          <t>etdrs</t>
        </is>
      </c>
      <c r="O25" s="86" t="inlineStr">
        <is>
          <t>retina specialist</t>
        </is>
      </c>
      <c r="P25" s="86" t="inlineStr">
        <is>
          <t>no</t>
        </is>
      </c>
      <c r="Q25" s="86" t="inlineStr">
        <is>
          <t>clinical examination</t>
        </is>
      </c>
      <c r="R25" s="5" t="inlineStr">
        <is>
          <t>&gt;2</t>
        </is>
      </c>
      <c r="S25" s="86" t="inlineStr">
        <is>
          <t>yes</t>
        </is>
      </c>
      <c r="T25" s="86" t="inlineStr">
        <is>
          <t>yes</t>
        </is>
      </c>
      <c r="U25" s="86" t="inlineStr">
        <is>
          <t>yes</t>
        </is>
      </c>
      <c r="V25" s="86" t="inlineStr">
        <is>
          <t>cnn</t>
        </is>
      </c>
      <c r="W25" s="86" t="inlineStr">
        <is>
          <t>north america</t>
        </is>
      </c>
      <c r="X25" s="86" t="inlineStr">
        <is>
          <t>high</t>
        </is>
      </c>
      <c r="Y25" s="86" t="inlineStr">
        <is>
          <t>high</t>
        </is>
      </c>
      <c r="Z25" s="86" t="inlineStr">
        <is>
          <t>excluded</t>
        </is>
      </c>
      <c r="AA25" s="86" t="n"/>
      <c r="AB25" s="86" t="n"/>
      <c r="AC25" s="86" t="n"/>
      <c r="AD25" s="86" t="n"/>
      <c r="AE25" s="86" t="n"/>
      <c r="AF25" s="86" t="n"/>
      <c r="AG25" s="86" t="n"/>
      <c r="AH25" s="86" t="n"/>
      <c r="AI25" s="86" t="n"/>
      <c r="AJ25" s="86" t="n"/>
      <c r="AK25" s="86" t="n"/>
      <c r="AL25" s="86" t="n"/>
      <c r="AM25" s="86" t="n"/>
      <c r="AN25" s="86" t="n"/>
      <c r="AO25" s="86" t="n"/>
      <c r="AP25" s="86" t="n"/>
      <c r="AQ25" s="86" t="n"/>
      <c r="AR25" s="86" t="n"/>
      <c r="AS25" s="86" t="n"/>
      <c r="AT25" s="86" t="n"/>
      <c r="AU25" s="86" t="n"/>
    </row>
    <row r="26" ht="16" customHeight="1" s="55">
      <c r="A26" s="88" t="inlineStr">
        <is>
          <t>Kim et al. 2021</t>
        </is>
      </c>
      <c r="B26" s="86" t="inlineStr">
        <is>
          <t>EyeArt</t>
        </is>
      </c>
      <c r="C26" s="86" t="inlineStr">
        <is>
          <t>retinaspecialist</t>
        </is>
      </c>
      <c r="D26" s="86" t="inlineStr">
        <is>
          <t>original</t>
        </is>
      </c>
      <c r="E26" s="86" t="inlineStr">
        <is>
          <t>prospective</t>
        </is>
      </c>
      <c r="F26" s="86" t="inlineStr">
        <is>
          <t>high</t>
        </is>
      </c>
      <c r="G26" s="86" t="inlineStr">
        <is>
          <t>tertiary</t>
        </is>
      </c>
      <c r="H26" s="86" t="inlineStr">
        <is>
          <t>no</t>
        </is>
      </c>
      <c r="I26" s="86" t="inlineStr">
        <is>
          <t>rdr</t>
        </is>
      </c>
      <c r="J26" s="86" t="inlineStr">
        <is>
          <t>no</t>
        </is>
      </c>
      <c r="K26" s="86" t="inlineStr">
        <is>
          <t>mixed</t>
        </is>
      </c>
      <c r="L26" s="86" t="inlineStr">
        <is>
          <t>desktop</t>
        </is>
      </c>
      <c r="M26" s="86" t="inlineStr">
        <is>
          <t>canon</t>
        </is>
      </c>
      <c r="N26" s="86" t="inlineStr">
        <is>
          <t>other</t>
        </is>
      </c>
      <c r="O26" s="86" t="inlineStr">
        <is>
          <t>certified graders</t>
        </is>
      </c>
      <c r="P26" s="86" t="inlineStr">
        <is>
          <t>yes</t>
        </is>
      </c>
      <c r="Q26" s="86" t="inlineStr">
        <is>
          <t>with advanced image</t>
        </is>
      </c>
      <c r="R26" s="86" t="inlineStr">
        <is>
          <t>2</t>
        </is>
      </c>
      <c r="S26" s="86" t="inlineStr">
        <is>
          <t>yes</t>
        </is>
      </c>
      <c r="T26" s="86" t="inlineStr">
        <is>
          <t>yes</t>
        </is>
      </c>
      <c r="U26" s="86" t="inlineStr">
        <is>
          <t>yes</t>
        </is>
      </c>
      <c r="V26" s="86" t="inlineStr">
        <is>
          <t>cnn</t>
        </is>
      </c>
      <c r="W26" s="86" t="inlineStr">
        <is>
          <t>north america</t>
        </is>
      </c>
      <c r="X26" s="86" t="inlineStr">
        <is>
          <t>high</t>
        </is>
      </c>
      <c r="Y26" s="86" t="inlineStr">
        <is>
          <t>high</t>
        </is>
      </c>
      <c r="Z26" s="86" t="inlineStr">
        <is>
          <t>positive</t>
        </is>
      </c>
      <c r="AA26" s="86">
        <f>AD26+AE26</f>
        <v/>
      </c>
      <c r="AB26" s="86" t="inlineStr">
        <is>
          <t>High</t>
        </is>
      </c>
      <c r="AC26" s="104">
        <f>AD26/AA26</f>
        <v/>
      </c>
      <c r="AD26" s="104">
        <f>AH26+AI26</f>
        <v/>
      </c>
      <c r="AE26" s="104">
        <f>AK26+AJ26</f>
        <v/>
      </c>
      <c r="AF26" s="104">
        <f>AH26/(AH26+AI26)</f>
        <v/>
      </c>
      <c r="AG26" s="104">
        <f>AJ26/(AJ26+AK26)</f>
        <v/>
      </c>
      <c r="AH26" s="86" t="n">
        <v>47</v>
      </c>
      <c r="AI26" s="86" t="n">
        <v>7</v>
      </c>
      <c r="AJ26" s="86" t="n">
        <v>11</v>
      </c>
      <c r="AK26" s="86" t="n">
        <v>3</v>
      </c>
      <c r="AL26" s="86">
        <f>AN26+AO26</f>
        <v/>
      </c>
      <c r="AM26" s="104">
        <f>AN26/AL26</f>
        <v/>
      </c>
      <c r="AN26" s="104">
        <f>AR26+AS26</f>
        <v/>
      </c>
      <c r="AO26" s="104">
        <f>AU26+AT26</f>
        <v/>
      </c>
      <c r="AP26" s="104">
        <f>AR26/(AR26+AS26)</f>
        <v/>
      </c>
      <c r="AQ26" s="104">
        <f>AT26/(AT26+AU26)</f>
        <v/>
      </c>
      <c r="AR26" s="86" t="n">
        <v>52</v>
      </c>
      <c r="AS26" s="86" t="n">
        <v>2</v>
      </c>
      <c r="AT26" s="86" t="n">
        <v>6</v>
      </c>
      <c r="AU26" s="86" t="n">
        <v>8</v>
      </c>
    </row>
    <row r="27" ht="16" customHeight="1" s="55">
      <c r="A27" s="88" t="inlineStr">
        <is>
          <t>Kim et al. 2021</t>
        </is>
      </c>
      <c r="B27" s="86" t="inlineStr">
        <is>
          <t>EyeArt</t>
        </is>
      </c>
      <c r="C27" s="86" t="inlineStr">
        <is>
          <t>ophthalmologist</t>
        </is>
      </c>
      <c r="D27" s="86" t="inlineStr">
        <is>
          <t>original</t>
        </is>
      </c>
      <c r="E27" s="86" t="inlineStr">
        <is>
          <t>prospective</t>
        </is>
      </c>
      <c r="F27" s="86" t="inlineStr">
        <is>
          <t>high</t>
        </is>
      </c>
      <c r="G27" s="86" t="inlineStr">
        <is>
          <t>tertiary</t>
        </is>
      </c>
      <c r="H27" s="86" t="inlineStr">
        <is>
          <t>no</t>
        </is>
      </c>
      <c r="I27" s="86" t="inlineStr">
        <is>
          <t>rdr</t>
        </is>
      </c>
      <c r="J27" s="86" t="inlineStr">
        <is>
          <t>no</t>
        </is>
      </c>
      <c r="K27" s="86" t="inlineStr">
        <is>
          <t>mixed</t>
        </is>
      </c>
      <c r="L27" s="86" t="inlineStr">
        <is>
          <t>desktop</t>
        </is>
      </c>
      <c r="M27" s="86" t="inlineStr">
        <is>
          <t>canon</t>
        </is>
      </c>
      <c r="N27" s="86" t="inlineStr">
        <is>
          <t>other</t>
        </is>
      </c>
      <c r="O27" s="86" t="inlineStr">
        <is>
          <t>certified graders</t>
        </is>
      </c>
      <c r="P27" s="86" t="inlineStr">
        <is>
          <t>yes</t>
        </is>
      </c>
      <c r="Q27" s="86" t="inlineStr">
        <is>
          <t>with advanced image</t>
        </is>
      </c>
      <c r="R27" s="86" t="inlineStr">
        <is>
          <t>2</t>
        </is>
      </c>
      <c r="S27" s="86" t="inlineStr">
        <is>
          <t>yes</t>
        </is>
      </c>
      <c r="T27" s="86" t="inlineStr">
        <is>
          <t>yes</t>
        </is>
      </c>
      <c r="U27" s="86" t="inlineStr">
        <is>
          <t>yes</t>
        </is>
      </c>
      <c r="V27" s="86" t="inlineStr">
        <is>
          <t>cnn</t>
        </is>
      </c>
      <c r="W27" s="86" t="inlineStr">
        <is>
          <t>north america</t>
        </is>
      </c>
      <c r="X27" s="86" t="inlineStr">
        <is>
          <t>high</t>
        </is>
      </c>
      <c r="Y27" s="86" t="inlineStr">
        <is>
          <t>high</t>
        </is>
      </c>
      <c r="Z27" s="86" t="inlineStr">
        <is>
          <t>positive</t>
        </is>
      </c>
      <c r="AA27" s="86">
        <f>AD27+AE27</f>
        <v/>
      </c>
      <c r="AB27" s="86" t="inlineStr">
        <is>
          <t>High</t>
        </is>
      </c>
      <c r="AC27" s="104">
        <f>AD27/AA27</f>
        <v/>
      </c>
      <c r="AD27" s="104">
        <f>AH27+AI27</f>
        <v/>
      </c>
      <c r="AE27" s="104">
        <f>AK27+AJ27</f>
        <v/>
      </c>
      <c r="AF27" s="104">
        <f>AH27/(AH27+AI27)</f>
        <v/>
      </c>
      <c r="AG27" s="104">
        <f>AJ27/(AJ27+AK27)</f>
        <v/>
      </c>
      <c r="AH27" s="86" t="n">
        <v>47</v>
      </c>
      <c r="AI27" s="86" t="n">
        <v>7</v>
      </c>
      <c r="AJ27" s="86" t="n">
        <v>11</v>
      </c>
      <c r="AK27" s="86" t="n">
        <v>3</v>
      </c>
      <c r="AL27" s="86">
        <f>AN27+AO27</f>
        <v/>
      </c>
      <c r="AM27" s="104">
        <f>AN27/AL27</f>
        <v/>
      </c>
      <c r="AN27" s="104">
        <f>AR27+AS27</f>
        <v/>
      </c>
      <c r="AO27" s="104">
        <f>AU27+AT27</f>
        <v/>
      </c>
      <c r="AP27" s="104">
        <f>AR27/(AR27+AS27)</f>
        <v/>
      </c>
      <c r="AQ27" s="104">
        <f>AT27/(AT27+AU27)</f>
        <v/>
      </c>
      <c r="AR27" s="86" t="n">
        <v>49</v>
      </c>
      <c r="AS27" s="86" t="n">
        <v>4</v>
      </c>
      <c r="AT27" s="86" t="n">
        <v>7</v>
      </c>
      <c r="AU27" s="86" t="n">
        <v>7</v>
      </c>
    </row>
    <row r="28" ht="16" customHeight="1" s="55">
      <c r="A28" s="28" t="inlineStr">
        <is>
          <t>Li et al. 2021</t>
        </is>
      </c>
      <c r="B28" s="86" t="inlineStr">
        <is>
          <t>VeriSee</t>
        </is>
      </c>
      <c r="C28" s="86" t="inlineStr">
        <is>
          <t>physician</t>
        </is>
      </c>
      <c r="D28" s="86" t="inlineStr">
        <is>
          <t>original</t>
        </is>
      </c>
      <c r="E28" s="86" t="inlineStr">
        <is>
          <t>retrospective</t>
        </is>
      </c>
      <c r="F28" s="86" t="inlineStr">
        <is>
          <t>high</t>
        </is>
      </c>
      <c r="G28" s="86" t="inlineStr">
        <is>
          <t>tertiary</t>
        </is>
      </c>
      <c r="H28" s="5" t="inlineStr">
        <is>
          <t>no</t>
        </is>
      </c>
      <c r="I28" s="86" t="inlineStr">
        <is>
          <t>rdr</t>
        </is>
      </c>
      <c r="J28" s="86" t="inlineStr">
        <is>
          <t>no</t>
        </is>
      </c>
      <c r="K28" s="86" t="inlineStr">
        <is>
          <t>no</t>
        </is>
      </c>
      <c r="L28" s="86" t="inlineStr">
        <is>
          <t>desktop</t>
        </is>
      </c>
      <c r="M28" s="86" t="inlineStr">
        <is>
          <t>canon</t>
        </is>
      </c>
      <c r="N28" s="86" t="inlineStr">
        <is>
          <t>icdr</t>
        </is>
      </c>
      <c r="O28" s="86" t="inlineStr">
        <is>
          <t>ophthalmologist</t>
        </is>
      </c>
      <c r="P28" s="86" t="inlineStr">
        <is>
          <t>yes</t>
        </is>
      </c>
      <c r="Q28" s="86" t="inlineStr">
        <is>
          <t>fundus</t>
        </is>
      </c>
      <c r="R28" s="86" t="inlineStr">
        <is>
          <t>1</t>
        </is>
      </c>
      <c r="S28" s="86" t="inlineStr">
        <is>
          <t>no</t>
        </is>
      </c>
      <c r="T28" s="86" t="inlineStr">
        <is>
          <t>yes</t>
        </is>
      </c>
      <c r="U28" s="86" t="inlineStr">
        <is>
          <t>yes</t>
        </is>
      </c>
      <c r="V28" s="86" t="inlineStr">
        <is>
          <t>inception family</t>
        </is>
      </c>
      <c r="W28" s="86" t="inlineStr">
        <is>
          <t>asia</t>
        </is>
      </c>
      <c r="X28" s="86" t="inlineStr">
        <is>
          <t>high</t>
        </is>
      </c>
      <c r="Y28" s="86" t="inlineStr">
        <is>
          <t>high</t>
        </is>
      </c>
      <c r="Z28" s="86" t="inlineStr">
        <is>
          <t>excluded</t>
        </is>
      </c>
      <c r="AA28" s="86">
        <f>AD28+AE28</f>
        <v/>
      </c>
      <c r="AB28" s="86" t="inlineStr">
        <is>
          <t>Middle</t>
        </is>
      </c>
      <c r="AC28" s="104">
        <f>AD28/AA28</f>
        <v/>
      </c>
      <c r="AD28" s="104">
        <f>AH28+AI28</f>
        <v/>
      </c>
      <c r="AE28" s="104">
        <f>AK28+AJ28</f>
        <v/>
      </c>
      <c r="AF28" s="104">
        <f>AH28/(AH28+AI28)</f>
        <v/>
      </c>
      <c r="AG28" s="104">
        <f>AJ28/(AJ28+AK28)</f>
        <v/>
      </c>
      <c r="AH28" s="86" t="n">
        <v>52</v>
      </c>
      <c r="AI28" s="86" t="n">
        <v>5</v>
      </c>
      <c r="AJ28" s="86" t="n">
        <v>345</v>
      </c>
      <c r="AK28" s="86" t="n">
        <v>66</v>
      </c>
      <c r="AL28" s="86">
        <f>AN28+AO28</f>
        <v/>
      </c>
      <c r="AM28" s="104">
        <f>AN28/AL28</f>
        <v/>
      </c>
      <c r="AN28" s="104">
        <f>AR28+AS28</f>
        <v/>
      </c>
      <c r="AO28" s="104">
        <f>AU28+AT28</f>
        <v/>
      </c>
      <c r="AP28" s="104">
        <f>AR28/(AR28+AS28)</f>
        <v/>
      </c>
      <c r="AQ28" s="104">
        <f>AT28/(AT28+AU28)</f>
        <v/>
      </c>
      <c r="AR28" s="86" t="n">
        <v>52</v>
      </c>
      <c r="AS28" s="86" t="n">
        <v>5</v>
      </c>
      <c r="AT28" s="86" t="n">
        <v>206</v>
      </c>
      <c r="AU28" s="86" t="n">
        <v>206</v>
      </c>
    </row>
    <row r="29" ht="16" customHeight="1" s="55">
      <c r="A29" s="28" t="inlineStr">
        <is>
          <t>Noriega et al. 2021</t>
        </is>
      </c>
      <c r="B29" s="86" t="inlineStr">
        <is>
          <t>ARIA</t>
        </is>
      </c>
      <c r="C29" s="86" t="inlineStr">
        <is>
          <t>ophthalmologist</t>
        </is>
      </c>
      <c r="D29" s="86" t="inlineStr">
        <is>
          <t>original</t>
        </is>
      </c>
      <c r="E29" s="86" t="inlineStr">
        <is>
          <t>prospective</t>
        </is>
      </c>
      <c r="F29" s="86" t="inlineStr">
        <is>
          <t>middle</t>
        </is>
      </c>
      <c r="G29" s="86" t="inlineStr">
        <is>
          <t>tertiary</t>
        </is>
      </c>
      <c r="H29" s="5" t="inlineStr">
        <is>
          <t>yes</t>
        </is>
      </c>
      <c r="I29" s="86" t="inlineStr">
        <is>
          <t>rdr</t>
        </is>
      </c>
      <c r="J29" s="86" t="inlineStr">
        <is>
          <t>no</t>
        </is>
      </c>
      <c r="K29" s="86" t="inlineStr">
        <is>
          <t>no</t>
        </is>
      </c>
      <c r="L29" s="86" t="inlineStr">
        <is>
          <t>mixed</t>
        </is>
      </c>
      <c r="M29" s="86" t="inlineStr">
        <is>
          <t>mixed</t>
        </is>
      </c>
      <c r="N29" s="86" t="inlineStr">
        <is>
          <t>icdr</t>
        </is>
      </c>
      <c r="O29" s="86" t="inlineStr">
        <is>
          <t>retina specialist</t>
        </is>
      </c>
      <c r="P29" s="86" t="inlineStr">
        <is>
          <t>yes</t>
        </is>
      </c>
      <c r="Q29" s="86" t="inlineStr">
        <is>
          <t>fundus</t>
        </is>
      </c>
      <c r="R29" s="86" t="inlineStr">
        <is>
          <t>1</t>
        </is>
      </c>
      <c r="S29" s="86" t="inlineStr">
        <is>
          <t>no</t>
        </is>
      </c>
      <c r="T29" s="86" t="inlineStr">
        <is>
          <t>no</t>
        </is>
      </c>
      <c r="U29" s="86" t="inlineStr">
        <is>
          <t>no</t>
        </is>
      </c>
      <c r="V29" s="86" t="inlineStr">
        <is>
          <t>vgg family</t>
        </is>
      </c>
      <c r="W29" s="86" t="inlineStr">
        <is>
          <t>north america</t>
        </is>
      </c>
      <c r="X29" s="86" t="inlineStr">
        <is>
          <t>high</t>
        </is>
      </c>
      <c r="Y29" s="86" t="inlineStr">
        <is>
          <t>high</t>
        </is>
      </c>
      <c r="Z29" s="86" t="inlineStr">
        <is>
          <t>excluded</t>
        </is>
      </c>
      <c r="AA29" s="86">
        <f>AD29+AE29</f>
        <v/>
      </c>
      <c r="AB29" s="86" t="inlineStr">
        <is>
          <t>High</t>
        </is>
      </c>
      <c r="AC29" s="104">
        <f>AD29/AA29</f>
        <v/>
      </c>
      <c r="AD29" s="104">
        <f>AH29+AI29</f>
        <v/>
      </c>
      <c r="AE29" s="104">
        <f>AK29+AJ29</f>
        <v/>
      </c>
      <c r="AF29" s="104">
        <f>AH29/(AH29+AI29)</f>
        <v/>
      </c>
      <c r="AG29" s="104">
        <f>AJ29/(AJ29+AK29)</f>
        <v/>
      </c>
      <c r="AH29" s="86" t="n">
        <v>48</v>
      </c>
      <c r="AI29" s="86" t="n">
        <v>2</v>
      </c>
      <c r="AJ29" s="86" t="n">
        <v>45</v>
      </c>
      <c r="AK29" s="86" t="n">
        <v>5</v>
      </c>
      <c r="AL29" s="86">
        <f>AN29+AO29</f>
        <v/>
      </c>
      <c r="AM29" s="104">
        <f>AN29/AL29</f>
        <v/>
      </c>
      <c r="AN29" s="104">
        <f>AR29+AS29</f>
        <v/>
      </c>
      <c r="AO29" s="104">
        <f>AU29+AT29</f>
        <v/>
      </c>
      <c r="AP29" s="104">
        <f>AR29/(AR29+AS29)</f>
        <v/>
      </c>
      <c r="AQ29" s="104">
        <f>AT29/(AT29+AU29)</f>
        <v/>
      </c>
      <c r="AR29" s="86" t="n">
        <v>44</v>
      </c>
      <c r="AS29" s="86" t="n">
        <v>6</v>
      </c>
      <c r="AT29" s="86" t="n">
        <v>43</v>
      </c>
      <c r="AU29" s="86" t="n">
        <v>7</v>
      </c>
    </row>
    <row r="30" ht="16" customHeight="1" s="55">
      <c r="A30" s="88" t="inlineStr">
        <is>
          <t>Wintergerst et al. 2021</t>
        </is>
      </c>
      <c r="B30" s="86" t="inlineStr">
        <is>
          <t>EyeArt</t>
        </is>
      </c>
      <c r="C30" s="86" t="inlineStr">
        <is>
          <t>ophthalmologist</t>
        </is>
      </c>
      <c r="D30" s="86" t="inlineStr">
        <is>
          <t>original</t>
        </is>
      </c>
      <c r="E30" s="86" t="inlineStr">
        <is>
          <t>prospective</t>
        </is>
      </c>
      <c r="F30" s="86" t="inlineStr">
        <is>
          <t>high</t>
        </is>
      </c>
      <c r="G30" s="86" t="inlineStr">
        <is>
          <t>primary</t>
        </is>
      </c>
      <c r="H30" s="86" t="inlineStr">
        <is>
          <t>yes</t>
        </is>
      </c>
      <c r="I30" s="86" t="inlineStr">
        <is>
          <t>rdr</t>
        </is>
      </c>
      <c r="J30" s="86" t="inlineStr">
        <is>
          <t>no</t>
        </is>
      </c>
      <c r="K30" s="86" t="inlineStr">
        <is>
          <t>mixed</t>
        </is>
      </c>
      <c r="L30" s="86" t="inlineStr">
        <is>
          <t>desktop</t>
        </is>
      </c>
      <c r="M30" s="86" t="inlineStr">
        <is>
          <t>centervue</t>
        </is>
      </c>
      <c r="N30" s="86" t="inlineStr">
        <is>
          <t>icdr</t>
        </is>
      </c>
      <c r="O30" s="86" t="inlineStr">
        <is>
          <t>retina specialist</t>
        </is>
      </c>
      <c r="P30" s="86" t="inlineStr">
        <is>
          <t>yes</t>
        </is>
      </c>
      <c r="Q30" s="86" t="inlineStr">
        <is>
          <t>fundus</t>
        </is>
      </c>
      <c r="R30" s="5" t="inlineStr">
        <is>
          <t>&gt;2</t>
        </is>
      </c>
      <c r="S30" s="86" t="inlineStr">
        <is>
          <t>no</t>
        </is>
      </c>
      <c r="T30" s="86" t="inlineStr">
        <is>
          <t>yes</t>
        </is>
      </c>
      <c r="U30" s="86" t="inlineStr">
        <is>
          <t>yes</t>
        </is>
      </c>
      <c r="V30" s="86" t="inlineStr">
        <is>
          <t>cnn</t>
        </is>
      </c>
      <c r="W30" s="86" t="inlineStr">
        <is>
          <t>europe</t>
        </is>
      </c>
      <c r="X30" s="86" t="inlineStr">
        <is>
          <t>low</t>
        </is>
      </c>
      <c r="Y30" s="86" t="inlineStr">
        <is>
          <t>low</t>
        </is>
      </c>
      <c r="Z30" s="86" t="inlineStr">
        <is>
          <t>positive</t>
        </is>
      </c>
      <c r="AA30" s="86">
        <f>AD30+AE30</f>
        <v/>
      </c>
      <c r="AB30" s="86" t="inlineStr">
        <is>
          <t>Low</t>
        </is>
      </c>
      <c r="AC30" s="104">
        <f>AD30/AA30</f>
        <v/>
      </c>
      <c r="AD30" s="104">
        <f>AH30+AI30</f>
        <v/>
      </c>
      <c r="AE30" s="104">
        <f>AK30+AJ30</f>
        <v/>
      </c>
      <c r="AF30" s="104">
        <f>AH30/(AH30+AI30)</f>
        <v/>
      </c>
      <c r="AG30" s="104">
        <f>AJ30/(AJ30+AK30)</f>
        <v/>
      </c>
      <c r="AH30" s="86" t="n">
        <v>3</v>
      </c>
      <c r="AI30" s="86" t="n">
        <v>1</v>
      </c>
      <c r="AJ30" s="86" t="n">
        <v>43</v>
      </c>
      <c r="AK30" s="86" t="n">
        <v>1</v>
      </c>
      <c r="AL30" s="86">
        <f>AN30+AO30</f>
        <v/>
      </c>
      <c r="AM30" s="104">
        <f>AN30/AL30</f>
        <v/>
      </c>
      <c r="AN30" s="104">
        <f>AR30+AS30</f>
        <v/>
      </c>
      <c r="AO30" s="104">
        <f>AU30+AT30</f>
        <v/>
      </c>
      <c r="AP30" s="104">
        <f>AR30/(AR30+AS30)</f>
        <v/>
      </c>
      <c r="AQ30" s="104">
        <f>AT30/(AT30+AU30)</f>
        <v/>
      </c>
      <c r="AR30" s="86" t="n">
        <v>3</v>
      </c>
      <c r="AS30" s="86" t="n">
        <v>3</v>
      </c>
      <c r="AT30" s="86" t="n">
        <v>42</v>
      </c>
      <c r="AU30" s="86" t="n">
        <v>15</v>
      </c>
    </row>
    <row r="31" ht="16" customHeight="1" s="55">
      <c r="A31" s="88" t="inlineStr">
        <is>
          <t>Wintergerst et al. 2021</t>
        </is>
      </c>
      <c r="B31" s="86" t="inlineStr">
        <is>
          <t>EyeArt</t>
        </is>
      </c>
      <c r="C31" s="86" t="inlineStr">
        <is>
          <t>ophthalmologist</t>
        </is>
      </c>
      <c r="D31" s="86" t="inlineStr">
        <is>
          <t>original</t>
        </is>
      </c>
      <c r="E31" s="86" t="inlineStr">
        <is>
          <t>prospective</t>
        </is>
      </c>
      <c r="F31" s="86" t="inlineStr">
        <is>
          <t>high</t>
        </is>
      </c>
      <c r="G31" s="86" t="inlineStr">
        <is>
          <t>primary</t>
        </is>
      </c>
      <c r="H31" s="86" t="inlineStr">
        <is>
          <t>yes</t>
        </is>
      </c>
      <c r="I31" s="86" t="inlineStr">
        <is>
          <t>dr</t>
        </is>
      </c>
      <c r="J31" s="86" t="inlineStr">
        <is>
          <t>no</t>
        </is>
      </c>
      <c r="K31" s="86" t="inlineStr">
        <is>
          <t>mixed</t>
        </is>
      </c>
      <c r="L31" s="86" t="inlineStr">
        <is>
          <t>desktop</t>
        </is>
      </c>
      <c r="M31" s="86" t="inlineStr">
        <is>
          <t>centervue</t>
        </is>
      </c>
      <c r="N31" s="86" t="inlineStr">
        <is>
          <t>icdr</t>
        </is>
      </c>
      <c r="O31" s="86" t="inlineStr">
        <is>
          <t>retina specialist</t>
        </is>
      </c>
      <c r="P31" s="86" t="inlineStr">
        <is>
          <t>yes</t>
        </is>
      </c>
      <c r="Q31" s="86" t="inlineStr">
        <is>
          <t>fundus</t>
        </is>
      </c>
      <c r="R31" s="5" t="inlineStr">
        <is>
          <t>&gt;2</t>
        </is>
      </c>
      <c r="S31" s="86" t="inlineStr">
        <is>
          <t>no</t>
        </is>
      </c>
      <c r="T31" s="86" t="inlineStr">
        <is>
          <t>yes</t>
        </is>
      </c>
      <c r="U31" s="86" t="inlineStr">
        <is>
          <t>yes</t>
        </is>
      </c>
      <c r="V31" s="86" t="inlineStr">
        <is>
          <t>cnn</t>
        </is>
      </c>
      <c r="W31" s="86" t="inlineStr">
        <is>
          <t>europe</t>
        </is>
      </c>
      <c r="X31" s="86" t="inlineStr">
        <is>
          <t>low</t>
        </is>
      </c>
      <c r="Y31" s="86" t="inlineStr">
        <is>
          <t>low</t>
        </is>
      </c>
      <c r="Z31" s="86" t="inlineStr">
        <is>
          <t>positive</t>
        </is>
      </c>
      <c r="AA31" s="86">
        <f>AD31+AE31</f>
        <v/>
      </c>
      <c r="AB31" s="86" t="inlineStr">
        <is>
          <t>Middle</t>
        </is>
      </c>
      <c r="AC31" s="104">
        <f>AD31/AA31</f>
        <v/>
      </c>
      <c r="AD31" s="104">
        <f>AH31+AI31</f>
        <v/>
      </c>
      <c r="AE31" s="104">
        <f>AK31+AJ31</f>
        <v/>
      </c>
      <c r="AF31" s="104">
        <f>AH31/(AH31+AI31)</f>
        <v/>
      </c>
      <c r="AG31" s="104">
        <f>AJ31/(AJ31+AK31)</f>
        <v/>
      </c>
      <c r="AH31" s="86" t="n">
        <v>5</v>
      </c>
      <c r="AI31" s="86" t="n">
        <v>0</v>
      </c>
      <c r="AJ31" s="86" t="n">
        <v>42</v>
      </c>
      <c r="AK31" s="86" t="n">
        <v>1</v>
      </c>
      <c r="AL31" s="86">
        <f>AN31+AO31</f>
        <v/>
      </c>
      <c r="AM31" s="104">
        <f>AN31/AL31</f>
        <v/>
      </c>
      <c r="AN31" s="104">
        <f>AR31+AS31</f>
        <v/>
      </c>
      <c r="AO31" s="104">
        <f>AU31+AT31</f>
        <v/>
      </c>
      <c r="AP31" s="104">
        <f>AR31/(AR31+AS31)</f>
        <v/>
      </c>
      <c r="AQ31" s="104">
        <f>AT31/(AT31+AU31)</f>
        <v/>
      </c>
      <c r="AR31" s="86" t="n">
        <v>5</v>
      </c>
      <c r="AS31" s="86" t="n">
        <v>2</v>
      </c>
      <c r="AT31" s="86" t="n">
        <v>41</v>
      </c>
      <c r="AU31" s="86" t="n">
        <v>15</v>
      </c>
    </row>
    <row r="32" ht="16" customHeight="1" s="55">
      <c r="A32" s="88" t="inlineStr">
        <is>
          <t>Gonz_x0001_alez-Gonzalo et al. 2020</t>
        </is>
      </c>
      <c r="B32" s="86" t="inlineStr">
        <is>
          <t>RetCAD</t>
        </is>
      </c>
      <c r="C32" s="86" t="inlineStr">
        <is>
          <t>ophthalmologist</t>
        </is>
      </c>
      <c r="D32" s="86" t="inlineStr">
        <is>
          <t>original</t>
        </is>
      </c>
      <c r="E32" s="86" t="inlineStr">
        <is>
          <t>retrospective</t>
        </is>
      </c>
      <c r="F32" s="86" t="inlineStr">
        <is>
          <t>high</t>
        </is>
      </c>
      <c r="G32" s="86" t="inlineStr">
        <is>
          <t>tertiary</t>
        </is>
      </c>
      <c r="H32" s="5" t="inlineStr">
        <is>
          <t>yes</t>
        </is>
      </c>
      <c r="I32" s="86" t="inlineStr">
        <is>
          <t>rdr</t>
        </is>
      </c>
      <c r="J32" s="86" t="inlineStr">
        <is>
          <t>yes</t>
        </is>
      </c>
      <c r="K32" s="86" t="inlineStr">
        <is>
          <t>no</t>
        </is>
      </c>
      <c r="L32" s="86" t="inlineStr">
        <is>
          <t>desktop</t>
        </is>
      </c>
      <c r="M32" s="86" t="inlineStr">
        <is>
          <t>canon</t>
        </is>
      </c>
      <c r="N32" s="86" t="inlineStr">
        <is>
          <t>icdr</t>
        </is>
      </c>
      <c r="O32" s="86" t="inlineStr">
        <is>
          <t>ophthalmologist</t>
        </is>
      </c>
      <c r="P32" s="86" t="inlineStr">
        <is>
          <t>no</t>
        </is>
      </c>
      <c r="Q32" s="86" t="inlineStr">
        <is>
          <t>fundus</t>
        </is>
      </c>
      <c r="R32" s="86" t="inlineStr">
        <is>
          <t>1</t>
        </is>
      </c>
      <c r="S32" s="86" t="inlineStr">
        <is>
          <t>no</t>
        </is>
      </c>
      <c r="T32" s="86" t="inlineStr">
        <is>
          <t>yes</t>
        </is>
      </c>
      <c r="U32" s="86" t="inlineStr">
        <is>
          <t>yes</t>
        </is>
      </c>
      <c r="V32" s="86" t="inlineStr">
        <is>
          <t>densenet family</t>
        </is>
      </c>
      <c r="W32" s="86" t="inlineStr">
        <is>
          <t>europe</t>
        </is>
      </c>
      <c r="X32" s="86" t="inlineStr">
        <is>
          <t>high</t>
        </is>
      </c>
      <c r="Y32" s="86" t="inlineStr">
        <is>
          <t>high</t>
        </is>
      </c>
      <c r="Z32" s="86" t="inlineStr">
        <is>
          <t>excluded</t>
        </is>
      </c>
      <c r="AA32" s="86" t="n"/>
      <c r="AB32" s="86" t="n"/>
      <c r="AC32" s="86" t="n"/>
      <c r="AD32" s="86" t="n"/>
      <c r="AE32" s="86" t="n"/>
      <c r="AF32" s="86" t="n"/>
      <c r="AG32" s="86" t="n"/>
      <c r="AH32" s="86" t="n"/>
      <c r="AI32" s="86" t="n"/>
      <c r="AJ32" s="86" t="n"/>
      <c r="AK32" s="86" t="n"/>
      <c r="AL32" s="86" t="n"/>
      <c r="AM32" s="86" t="n"/>
      <c r="AN32" s="86" t="n"/>
      <c r="AO32" s="86" t="n"/>
      <c r="AP32" s="86" t="n"/>
      <c r="AQ32" s="86" t="n"/>
      <c r="AR32" s="86" t="n"/>
      <c r="AS32" s="86" t="n"/>
      <c r="AT32" s="86" t="n"/>
      <c r="AU32" s="86" t="n"/>
    </row>
    <row r="33" ht="16" customHeight="1" s="55">
      <c r="A33" s="28" t="inlineStr">
        <is>
          <t>Limwattanayingyong et al .2020</t>
        </is>
      </c>
      <c r="B33" s="86" t="inlineStr">
        <is>
          <t>ARDA</t>
        </is>
      </c>
      <c r="C33" s="86" t="inlineStr">
        <is>
          <t>trainedgrader</t>
        </is>
      </c>
      <c r="D33" s="86" t="inlineStr">
        <is>
          <t>original</t>
        </is>
      </c>
      <c r="E33" s="86" t="inlineStr">
        <is>
          <t>retrospective</t>
        </is>
      </c>
      <c r="F33" s="86" t="inlineStr">
        <is>
          <t>middle</t>
        </is>
      </c>
      <c r="G33" s="86" t="inlineStr">
        <is>
          <t>primary</t>
        </is>
      </c>
      <c r="H33" s="86" t="inlineStr">
        <is>
          <t>yes</t>
        </is>
      </c>
      <c r="I33" s="86" t="inlineStr">
        <is>
          <t>vtdr</t>
        </is>
      </c>
      <c r="J33" s="86" t="inlineStr">
        <is>
          <t>no</t>
        </is>
      </c>
      <c r="K33" s="86" t="inlineStr">
        <is>
          <t>no</t>
        </is>
      </c>
      <c r="L33" s="86" t="inlineStr">
        <is>
          <t>desktop</t>
        </is>
      </c>
      <c r="M33" s="86" t="inlineStr">
        <is>
          <t>mixed</t>
        </is>
      </c>
      <c r="N33" s="86" t="inlineStr">
        <is>
          <t>icdr</t>
        </is>
      </c>
      <c r="O33" s="86" t="inlineStr">
        <is>
          <t>retina specialist</t>
        </is>
      </c>
      <c r="P33" s="86" t="inlineStr">
        <is>
          <t>yes</t>
        </is>
      </c>
      <c r="Q33" s="86" t="inlineStr">
        <is>
          <t>fundus</t>
        </is>
      </c>
      <c r="R33" s="86" t="inlineStr">
        <is>
          <t>1</t>
        </is>
      </c>
      <c r="S33" s="86" t="inlineStr">
        <is>
          <t>yes</t>
        </is>
      </c>
      <c r="T33" s="86" t="inlineStr">
        <is>
          <t>yes</t>
        </is>
      </c>
      <c r="U33" s="86" t="inlineStr">
        <is>
          <t>yes</t>
        </is>
      </c>
      <c r="V33" s="86" t="inlineStr">
        <is>
          <t>inception family</t>
        </is>
      </c>
      <c r="W33" s="86" t="inlineStr">
        <is>
          <t>asia</t>
        </is>
      </c>
      <c r="X33" s="86" t="inlineStr">
        <is>
          <t>high</t>
        </is>
      </c>
      <c r="Y33" s="86" t="inlineStr">
        <is>
          <t>high</t>
        </is>
      </c>
      <c r="Z33" s="86" t="inlineStr">
        <is>
          <t>excluded</t>
        </is>
      </c>
      <c r="AA33" s="86">
        <f>AD33+AE33</f>
        <v/>
      </c>
      <c r="AB33" s="86" t="inlineStr">
        <is>
          <t>Middle</t>
        </is>
      </c>
      <c r="AC33" s="104">
        <f>AD33/AA33</f>
        <v/>
      </c>
      <c r="AD33" s="104">
        <f>AH33+AI33</f>
        <v/>
      </c>
      <c r="AE33" s="104">
        <f>AK33+AJ33</f>
        <v/>
      </c>
      <c r="AF33" s="104">
        <f>AH33/(AH33+AI33)</f>
        <v/>
      </c>
      <c r="AG33" s="104">
        <f>AJ33/(AJ33+AK33)</f>
        <v/>
      </c>
      <c r="AH33" s="86" t="n">
        <v>669</v>
      </c>
      <c r="AI33" s="86" t="n">
        <v>102</v>
      </c>
      <c r="AJ33" s="86" t="n">
        <v>4932</v>
      </c>
      <c r="AK33" s="86" t="n">
        <v>35</v>
      </c>
      <c r="AL33" s="86">
        <f>AN33+AO33</f>
        <v/>
      </c>
      <c r="AM33" s="104">
        <f>AN33/AL33</f>
        <v/>
      </c>
      <c r="AN33" s="104">
        <f>AR33+AS33</f>
        <v/>
      </c>
      <c r="AO33" s="104">
        <f>AU33+AT33</f>
        <v/>
      </c>
      <c r="AP33" s="104">
        <f>AR33/(AR33+AS33)</f>
        <v/>
      </c>
      <c r="AQ33" s="104">
        <f>AT33/(AT33+AU33)</f>
        <v/>
      </c>
      <c r="AR33" s="86" t="n">
        <v>519</v>
      </c>
      <c r="AS33" s="86" t="n">
        <v>71</v>
      </c>
      <c r="AT33" s="86" t="n">
        <v>4963</v>
      </c>
      <c r="AU33" s="86" t="n">
        <v>185</v>
      </c>
    </row>
    <row r="34" ht="16" customHeight="1" s="55">
      <c r="A34" s="28" t="inlineStr">
        <is>
          <t>Ruamviboonsuk et al. 2019</t>
        </is>
      </c>
      <c r="B34" s="86" t="inlineStr">
        <is>
          <t>ARDA</t>
        </is>
      </c>
      <c r="C34" s="86" t="inlineStr">
        <is>
          <t>trainedgrader</t>
        </is>
      </c>
      <c r="D34" s="86" t="inlineStr">
        <is>
          <t>original</t>
        </is>
      </c>
      <c r="E34" s="86" t="inlineStr">
        <is>
          <t>retrospective</t>
        </is>
      </c>
      <c r="F34" s="86" t="inlineStr">
        <is>
          <t>middle</t>
        </is>
      </c>
      <c r="G34" s="86" t="inlineStr">
        <is>
          <t>primary</t>
        </is>
      </c>
      <c r="H34" s="86" t="inlineStr">
        <is>
          <t>yes</t>
        </is>
      </c>
      <c r="I34" s="86" t="inlineStr">
        <is>
          <t>rdr</t>
        </is>
      </c>
      <c r="J34" s="86" t="inlineStr">
        <is>
          <t>no</t>
        </is>
      </c>
      <c r="K34" s="86" t="inlineStr">
        <is>
          <t>no</t>
        </is>
      </c>
      <c r="L34" s="86" t="inlineStr">
        <is>
          <t>desktop</t>
        </is>
      </c>
      <c r="M34" s="86" t="inlineStr">
        <is>
          <t>mixed</t>
        </is>
      </c>
      <c r="N34" s="86" t="inlineStr">
        <is>
          <t>icdr</t>
        </is>
      </c>
      <c r="O34" s="86" t="inlineStr">
        <is>
          <t>retina specialist</t>
        </is>
      </c>
      <c r="P34" s="86" t="inlineStr">
        <is>
          <t>yes</t>
        </is>
      </c>
      <c r="Q34" s="86" t="inlineStr">
        <is>
          <t>fundus</t>
        </is>
      </c>
      <c r="R34" s="86" t="inlineStr">
        <is>
          <t>1</t>
        </is>
      </c>
      <c r="S34" s="86" t="inlineStr">
        <is>
          <t>yes</t>
        </is>
      </c>
      <c r="T34" s="86" t="inlineStr">
        <is>
          <t>yes</t>
        </is>
      </c>
      <c r="U34" s="86" t="inlineStr">
        <is>
          <t>yes</t>
        </is>
      </c>
      <c r="V34" s="86" t="inlineStr">
        <is>
          <t>inception family</t>
        </is>
      </c>
      <c r="W34" s="86" t="inlineStr">
        <is>
          <t>asia</t>
        </is>
      </c>
      <c r="X34" s="86" t="inlineStr">
        <is>
          <t>low</t>
        </is>
      </c>
      <c r="Y34" s="86" t="inlineStr">
        <is>
          <t>low</t>
        </is>
      </c>
      <c r="Z34" s="86" t="inlineStr">
        <is>
          <t>excluded</t>
        </is>
      </c>
      <c r="AA34" s="86" t="n"/>
      <c r="AB34" s="86" t="n"/>
      <c r="AC34" s="86" t="n"/>
      <c r="AD34" s="86" t="n"/>
      <c r="AE34" s="86" t="n"/>
      <c r="AF34" s="86" t="n"/>
      <c r="AG34" s="86" t="n"/>
      <c r="AH34" s="86" t="n"/>
      <c r="AI34" s="86" t="n"/>
      <c r="AJ34" s="86" t="n"/>
      <c r="AK34" s="86" t="n"/>
      <c r="AL34" s="86" t="n"/>
      <c r="AM34" s="86" t="n"/>
      <c r="AN34" s="86" t="n"/>
      <c r="AO34" s="86" t="n"/>
      <c r="AP34" s="86" t="n"/>
      <c r="AQ34" s="86" t="n"/>
      <c r="AR34" s="86" t="n"/>
      <c r="AS34" s="86" t="n"/>
      <c r="AT34" s="86" t="n"/>
      <c r="AU34" s="86" t="n"/>
    </row>
    <row r="35" ht="16" customHeight="1" s="55">
      <c r="A35" s="88" t="inlineStr">
        <is>
          <t>Krause et al. 2018</t>
        </is>
      </c>
      <c r="B35" s="86" t="inlineStr">
        <is>
          <t>ARDA</t>
        </is>
      </c>
      <c r="C35" s="86" t="inlineStr">
        <is>
          <t>ophthalmologist</t>
        </is>
      </c>
      <c r="D35" s="86" t="inlineStr">
        <is>
          <t>original</t>
        </is>
      </c>
      <c r="E35" s="86" t="inlineStr">
        <is>
          <t>retrospective</t>
        </is>
      </c>
      <c r="F35" s="86" t="inlineStr">
        <is>
          <t>high</t>
        </is>
      </c>
      <c r="G35" s="86" t="inlineStr">
        <is>
          <t>public dataset</t>
        </is>
      </c>
      <c r="H35" s="5" t="inlineStr">
        <is>
          <t>no</t>
        </is>
      </c>
      <c r="I35" s="86" t="inlineStr">
        <is>
          <t>rdr</t>
        </is>
      </c>
      <c r="J35" s="86" t="inlineStr">
        <is>
          <t>no</t>
        </is>
      </c>
      <c r="K35" s="86" t="inlineStr">
        <is>
          <t>mixed</t>
        </is>
      </c>
      <c r="L35" s="86" t="inlineStr">
        <is>
          <t>mixed</t>
        </is>
      </c>
      <c r="M35" s="86" t="inlineStr">
        <is>
          <t>mixed</t>
        </is>
      </c>
      <c r="N35" s="86" t="inlineStr">
        <is>
          <t>icdr</t>
        </is>
      </c>
      <c r="O35" s="86" t="inlineStr">
        <is>
          <t>retina specialist</t>
        </is>
      </c>
      <c r="P35" s="86" t="inlineStr">
        <is>
          <t>yes</t>
        </is>
      </c>
      <c r="Q35" s="86" t="inlineStr">
        <is>
          <t>fundus</t>
        </is>
      </c>
      <c r="R35" s="86" t="inlineStr">
        <is>
          <t>&gt;2</t>
        </is>
      </c>
      <c r="S35" s="86" t="inlineStr">
        <is>
          <t>yes</t>
        </is>
      </c>
      <c r="T35" s="86" t="inlineStr">
        <is>
          <t>yes</t>
        </is>
      </c>
      <c r="U35" s="86" t="inlineStr">
        <is>
          <t>yes</t>
        </is>
      </c>
      <c r="V35" s="86" t="inlineStr">
        <is>
          <t>inception family</t>
        </is>
      </c>
      <c r="W35" s="86" t="inlineStr">
        <is>
          <t>north america</t>
        </is>
      </c>
      <c r="X35" s="25" t="inlineStr">
        <is>
          <t>low</t>
        </is>
      </c>
      <c r="Y35" s="86" t="inlineStr">
        <is>
          <t>high</t>
        </is>
      </c>
      <c r="Z35" s="86" t="inlineStr">
        <is>
          <t>positive</t>
        </is>
      </c>
      <c r="AA35" s="86" t="n"/>
      <c r="AB35" s="86" t="n"/>
      <c r="AC35" s="86" t="n"/>
      <c r="AD35" s="86" t="n"/>
      <c r="AE35" s="86" t="n"/>
      <c r="AF35" s="86" t="n"/>
      <c r="AG35" s="86" t="n"/>
      <c r="AH35" s="86" t="n"/>
      <c r="AI35" s="86" t="n"/>
      <c r="AJ35" s="86" t="n"/>
      <c r="AK35" s="86" t="n"/>
      <c r="AL35" s="86" t="n"/>
      <c r="AM35" s="86" t="n"/>
      <c r="AN35" s="86" t="n"/>
      <c r="AO35" s="86" t="n"/>
      <c r="AP35" s="86" t="n"/>
      <c r="AQ35" s="86" t="n"/>
      <c r="AR35" s="86" t="n"/>
      <c r="AS35" s="86" t="n"/>
      <c r="AT35" s="86" t="n"/>
      <c r="AU35" s="86" t="n"/>
    </row>
    <row r="36" ht="17" customHeight="1" s="55">
      <c r="A36" s="88" t="inlineStr">
        <is>
          <t>Shu et al. 2017</t>
        </is>
      </c>
      <c r="B36" s="86" t="inlineStr">
        <is>
          <t>Selena+</t>
        </is>
      </c>
      <c r="C36" s="86" t="inlineStr">
        <is>
          <t>retinaspecialist</t>
        </is>
      </c>
      <c r="D36" s="86" t="inlineStr">
        <is>
          <t>original</t>
        </is>
      </c>
      <c r="E36" s="86" t="inlineStr">
        <is>
          <t>retrospective</t>
        </is>
      </c>
      <c r="F36" s="86" t="inlineStr">
        <is>
          <t>high</t>
        </is>
      </c>
      <c r="G36" s="86" t="inlineStr">
        <is>
          <t>primary</t>
        </is>
      </c>
      <c r="H36" s="86" t="inlineStr">
        <is>
          <t>yes</t>
        </is>
      </c>
      <c r="I36" s="86" t="inlineStr">
        <is>
          <t>rdr</t>
        </is>
      </c>
      <c r="J36" s="86" t="inlineStr">
        <is>
          <t>yes</t>
        </is>
      </c>
      <c r="K36" s="86" t="inlineStr">
        <is>
          <t>mixed</t>
        </is>
      </c>
      <c r="L36" s="86" t="inlineStr">
        <is>
          <t>desktop</t>
        </is>
      </c>
      <c r="M36" s="86" t="inlineStr">
        <is>
          <t>mixed</t>
        </is>
      </c>
      <c r="N36" s="86" t="inlineStr">
        <is>
          <t>icdr</t>
        </is>
      </c>
      <c r="O36" s="86" t="inlineStr">
        <is>
          <t>retina specialist</t>
        </is>
      </c>
      <c r="P36" s="86" t="inlineStr">
        <is>
          <t>yes</t>
        </is>
      </c>
      <c r="Q36" s="86" t="inlineStr">
        <is>
          <t>fundus</t>
        </is>
      </c>
      <c r="R36" s="86" t="inlineStr">
        <is>
          <t>2</t>
        </is>
      </c>
      <c r="S36" s="86" t="inlineStr">
        <is>
          <t>no</t>
        </is>
      </c>
      <c r="T36" s="86" t="inlineStr">
        <is>
          <t>yes</t>
        </is>
      </c>
      <c r="U36" s="86" t="inlineStr">
        <is>
          <t>yes</t>
        </is>
      </c>
      <c r="V36" s="86" t="inlineStr">
        <is>
          <t>vgg family</t>
        </is>
      </c>
      <c r="W36" s="86" t="inlineStr">
        <is>
          <t>mixed</t>
        </is>
      </c>
      <c r="X36" s="86" t="inlineStr">
        <is>
          <t>high</t>
        </is>
      </c>
      <c r="Y36" s="86" t="inlineStr">
        <is>
          <t>high</t>
        </is>
      </c>
      <c r="Z36" s="86" t="inlineStr">
        <is>
          <t>positive</t>
        </is>
      </c>
      <c r="AA36" s="86" t="n"/>
      <c r="AB36" s="86" t="n"/>
      <c r="AC36" s="104" t="n"/>
      <c r="AD36" s="104" t="n"/>
      <c r="AE36" s="104" t="n"/>
      <c r="AF36" s="104" t="n"/>
      <c r="AG36" s="104" t="n"/>
      <c r="AH36" s="86" t="n"/>
      <c r="AI36" s="86" t="n"/>
      <c r="AJ36" s="86" t="n"/>
      <c r="AK36" s="86" t="n"/>
      <c r="AL36" s="86" t="n"/>
      <c r="AM36" s="104" t="n"/>
      <c r="AN36" s="104" t="n"/>
      <c r="AO36" s="104" t="n"/>
      <c r="AP36" s="104" t="n"/>
      <c r="AQ36" s="104" t="n"/>
      <c r="AR36" s="86" t="n"/>
      <c r="AS36" s="86" t="n"/>
      <c r="AT36" s="86" t="n"/>
      <c r="AU36" s="86" t="n"/>
    </row>
    <row r="37" ht="16" customHeight="1" s="55">
      <c r="A37" s="88" t="inlineStr">
        <is>
          <t>Shu et al. 2017</t>
        </is>
      </c>
      <c r="B37" s="86" t="inlineStr">
        <is>
          <t>Selena+</t>
        </is>
      </c>
      <c r="C37" s="86" t="inlineStr">
        <is>
          <t>retinaspecialist</t>
        </is>
      </c>
      <c r="D37" s="86" t="inlineStr">
        <is>
          <t>original</t>
        </is>
      </c>
      <c r="E37" s="86" t="inlineStr">
        <is>
          <t>retrospective</t>
        </is>
      </c>
      <c r="F37" s="86" t="inlineStr">
        <is>
          <t>high</t>
        </is>
      </c>
      <c r="G37" s="86" t="inlineStr">
        <is>
          <t>primary</t>
        </is>
      </c>
      <c r="H37" s="86" t="inlineStr">
        <is>
          <t>yes</t>
        </is>
      </c>
      <c r="I37" s="86" t="inlineStr">
        <is>
          <t>vtdr</t>
        </is>
      </c>
      <c r="J37" s="86" t="inlineStr">
        <is>
          <t>yes</t>
        </is>
      </c>
      <c r="K37" s="86" t="inlineStr">
        <is>
          <t>mixed</t>
        </is>
      </c>
      <c r="L37" s="86" t="inlineStr">
        <is>
          <t>desktop</t>
        </is>
      </c>
      <c r="M37" s="86" t="inlineStr">
        <is>
          <t>mixed</t>
        </is>
      </c>
      <c r="N37" s="86" t="inlineStr">
        <is>
          <t>icdr</t>
        </is>
      </c>
      <c r="O37" s="86" t="inlineStr">
        <is>
          <t>retina specialist</t>
        </is>
      </c>
      <c r="P37" s="86" t="inlineStr">
        <is>
          <t>yes</t>
        </is>
      </c>
      <c r="Q37" s="86" t="inlineStr">
        <is>
          <t>fundus</t>
        </is>
      </c>
      <c r="R37" s="86" t="inlineStr">
        <is>
          <t>2</t>
        </is>
      </c>
      <c r="S37" s="86" t="inlineStr">
        <is>
          <t>no</t>
        </is>
      </c>
      <c r="T37" s="86" t="inlineStr">
        <is>
          <t>yes</t>
        </is>
      </c>
      <c r="U37" s="86" t="inlineStr">
        <is>
          <t>yes</t>
        </is>
      </c>
      <c r="V37" s="86" t="inlineStr">
        <is>
          <t>vgg family</t>
        </is>
      </c>
      <c r="W37" s="86" t="inlineStr">
        <is>
          <t>mixed</t>
        </is>
      </c>
      <c r="X37" s="86" t="inlineStr">
        <is>
          <t>high</t>
        </is>
      </c>
      <c r="Y37" s="86" t="inlineStr">
        <is>
          <t>high</t>
        </is>
      </c>
      <c r="Z37" s="86" t="inlineStr">
        <is>
          <t>positive</t>
        </is>
      </c>
      <c r="AA37" s="86" t="n"/>
      <c r="AB37" s="86" t="n"/>
      <c r="AC37" s="104" t="n"/>
      <c r="AD37" s="104" t="n"/>
      <c r="AE37" s="104" t="n"/>
      <c r="AF37" s="104" t="n"/>
      <c r="AG37" s="104" t="n"/>
      <c r="AH37" s="86" t="n"/>
      <c r="AI37" s="86" t="n"/>
      <c r="AJ37" s="86" t="n"/>
      <c r="AK37" s="86" t="n"/>
      <c r="AL37" s="86" t="n"/>
      <c r="AM37" s="104" t="n"/>
      <c r="AN37" s="104" t="n"/>
      <c r="AO37" s="104" t="n"/>
      <c r="AP37" s="104" t="n"/>
      <c r="AQ37" s="104" t="n"/>
      <c r="AR37" s="86" t="n"/>
      <c r="AS37" s="86" t="n"/>
      <c r="AT37" s="86" t="n"/>
      <c r="AU37" s="86" t="n"/>
    </row>
    <row r="38" ht="16" customHeight="1" s="55">
      <c r="A38" s="88" t="n"/>
      <c r="B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6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</row>
    <row r="40" ht="16" customHeight="1" s="55" thickBot="1"/>
    <row r="41" ht="17" customHeight="1" s="55" thickBot="1">
      <c r="AW41" s="9" t="inlineStr">
        <is>
          <t>Total_eye</t>
        </is>
      </c>
      <c r="AX41" s="105" t="inlineStr">
        <is>
          <t>Prevalence</t>
        </is>
      </c>
      <c r="AY41" s="105" t="inlineStr">
        <is>
          <t>Positive</t>
        </is>
      </c>
      <c r="AZ41" s="105" t="inlineStr">
        <is>
          <t>Negative</t>
        </is>
      </c>
      <c r="BA41" s="105" t="inlineStr">
        <is>
          <t>Sensitivity</t>
        </is>
      </c>
      <c r="BB41" s="106" t="inlineStr">
        <is>
          <t>Specificity</t>
        </is>
      </c>
      <c r="BD41" s="16" t="inlineStr">
        <is>
          <t>tp</t>
        </is>
      </c>
      <c r="BE41" s="16" t="inlineStr">
        <is>
          <t>fn</t>
        </is>
      </c>
      <c r="BF41" s="16" t="inlineStr">
        <is>
          <t>tn</t>
        </is>
      </c>
      <c r="BG41" s="16" t="inlineStr">
        <is>
          <t>fp</t>
        </is>
      </c>
    </row>
    <row r="42" ht="16" customHeight="1" s="55" thickBot="1">
      <c r="AW42" s="13" t="n">
        <v>500</v>
      </c>
      <c r="AX42" s="14">
        <f>AY42/AW42</f>
        <v/>
      </c>
      <c r="AY42" s="14" t="n">
        <v>403</v>
      </c>
      <c r="AZ42" s="14">
        <f>AW42-AY42</f>
        <v/>
      </c>
      <c r="BA42" s="84" t="n">
        <v>0.784</v>
      </c>
      <c r="BB42" s="84" t="n">
        <v>0.8139999999999999</v>
      </c>
      <c r="BD42" s="10">
        <f>ROUND(BA42*AX42*AW42,0)</f>
        <v/>
      </c>
      <c r="BE42" s="10">
        <f>ROUND((1-BA42)*AX42*AW42,0)</f>
        <v/>
      </c>
      <c r="BF42" s="10">
        <f>ROUND(BB42*(1-AX42)*AW42,0)</f>
        <v/>
      </c>
      <c r="BG42" s="10">
        <f>ROUND((1-BB42)*(1-AX42)*AW42,0)</f>
        <v/>
      </c>
    </row>
    <row r="43" ht="16" customHeight="1" s="55" thickBot="1">
      <c r="AW43" s="13" t="n">
        <v>500</v>
      </c>
      <c r="AX43" s="14">
        <f>AY43/AW43</f>
        <v/>
      </c>
      <c r="AY43" s="14" t="n">
        <v>403</v>
      </c>
      <c r="AZ43" s="14">
        <f>AW43-AY43</f>
        <v/>
      </c>
      <c r="BA43" s="84" t="n">
        <v>0.95</v>
      </c>
      <c r="BB43" s="84" t="n">
        <v>0.825</v>
      </c>
      <c r="BD43" s="10">
        <f>ROUND(BA43*AX43*AW43,0)</f>
        <v/>
      </c>
      <c r="BE43" s="10">
        <f>ROUND((1-BA43)*AX43*AW43,0)</f>
        <v/>
      </c>
      <c r="BF43" s="10">
        <f>ROUND(BB43*(1-AX43)*AW43,0)</f>
        <v/>
      </c>
      <c r="BG43" s="10">
        <f>ROUND((1-BB43)*(1-AX43)*AW43,0)</f>
        <v/>
      </c>
    </row>
    <row r="44" ht="16" customHeight="1" s="55" thickBot="1">
      <c r="AW44" s="13" t="n">
        <v>1483</v>
      </c>
      <c r="AX44" s="14">
        <f>AY44/AW44</f>
        <v/>
      </c>
      <c r="AY44" s="14" t="n">
        <v>353</v>
      </c>
      <c r="AZ44" s="14">
        <f>AW44-AY44</f>
        <v/>
      </c>
      <c r="BA44" s="84" t="n">
        <v>0.844</v>
      </c>
      <c r="BB44" s="84" t="n">
        <v>0.978</v>
      </c>
      <c r="BD44" s="10">
        <f>ROUND(BA44*AX44*AW44,0)</f>
        <v/>
      </c>
      <c r="BE44" s="10">
        <f>ROUND((1-BA44)*AX44*AW44,0)</f>
        <v/>
      </c>
      <c r="BF44" s="10">
        <f>ROUND(BB44*(1-AX44)*AW44,0)</f>
        <v/>
      </c>
      <c r="BG44" s="10">
        <f>ROUND((1-BB44)*(1-AX44)*AW44,0)</f>
        <v/>
      </c>
    </row>
    <row r="46" ht="16" customHeight="1" s="55" thickBot="1"/>
    <row r="47" ht="17" customHeight="1" s="55" thickBot="1">
      <c r="AW47" s="82" t="inlineStr">
        <is>
          <t>Input</t>
        </is>
      </c>
      <c r="AX47" s="78" t="n"/>
      <c r="AY47" s="78" t="n"/>
      <c r="AZ47" s="78" t="n"/>
      <c r="BA47" s="78" t="n"/>
      <c r="BB47" s="77" t="n"/>
      <c r="BD47" s="82" t="inlineStr">
        <is>
          <t>Output</t>
        </is>
      </c>
      <c r="BE47" s="78" t="n"/>
      <c r="BF47" s="78" t="n"/>
      <c r="BG47" s="77" t="n"/>
    </row>
    <row r="48" ht="17" customHeight="1" s="55" thickBot="1">
      <c r="AW48" s="9" t="inlineStr">
        <is>
          <t>Total_patient</t>
        </is>
      </c>
      <c r="AX48" s="105" t="inlineStr">
        <is>
          <t>Prevalence</t>
        </is>
      </c>
      <c r="AY48" s="105" t="inlineStr">
        <is>
          <t>Positive</t>
        </is>
      </c>
      <c r="AZ48" s="105" t="inlineStr">
        <is>
          <t>Negative</t>
        </is>
      </c>
      <c r="BA48" s="105" t="inlineStr">
        <is>
          <t>Sensitivity</t>
        </is>
      </c>
      <c r="BB48" s="106" t="inlineStr">
        <is>
          <t>Specificity</t>
        </is>
      </c>
      <c r="BD48" s="16" t="inlineStr">
        <is>
          <t>tp</t>
        </is>
      </c>
      <c r="BE48" s="16" t="inlineStr">
        <is>
          <t>fn</t>
        </is>
      </c>
      <c r="BF48" s="16" t="inlineStr">
        <is>
          <t>tn</t>
        </is>
      </c>
      <c r="BG48" s="16" t="inlineStr">
        <is>
          <t>fp</t>
        </is>
      </c>
    </row>
    <row r="49" ht="16" customHeight="1" s="55" thickBot="1">
      <c r="AW49" s="13" t="n">
        <v>8808</v>
      </c>
      <c r="AX49" s="14" t="n">
        <v>0.0716</v>
      </c>
      <c r="AY49" s="14" t="n">
        <v>401</v>
      </c>
      <c r="AZ49" s="14">
        <f>AW49-AX49</f>
        <v/>
      </c>
      <c r="BA49" s="14" t="n">
        <v>1</v>
      </c>
      <c r="BB49" s="15" t="n">
        <v>0.911</v>
      </c>
      <c r="BD49" s="10">
        <f>ROUND(BA49*AX49*AW49,0)</f>
        <v/>
      </c>
      <c r="BE49" s="10">
        <f>ROUND((1-BA49)*AX49*AW49,0)</f>
        <v/>
      </c>
      <c r="BF49" s="10">
        <f>ROUND(BB49*(1-AX49)*AW49,0)</f>
        <v/>
      </c>
      <c r="BG49" s="10">
        <f>ROUND((1-BB49)*(1-AX49)*AW49,0)</f>
        <v/>
      </c>
    </row>
    <row r="50" ht="16" customHeight="1" s="55" thickBot="1">
      <c r="AW50" s="13" t="n">
        <v>14880</v>
      </c>
      <c r="AX50" s="14" t="n">
        <v>0.005396684099254478</v>
      </c>
      <c r="AY50" s="14" t="n">
        <v>401</v>
      </c>
      <c r="AZ50" s="14">
        <f>AW50-AX50</f>
        <v/>
      </c>
      <c r="BA50" s="14" t="n">
        <v>1</v>
      </c>
      <c r="BB50" s="15" t="n">
        <v>0.911</v>
      </c>
      <c r="BD50" s="10">
        <f>ROUND(BA50*AX50*AW50,0)</f>
        <v/>
      </c>
      <c r="BE50" s="10">
        <f>ROUND((1-BA50)*AX50*AW50,0)</f>
        <v/>
      </c>
      <c r="BF50" s="10">
        <f>ROUND(BB50*(1-AX50)*AW50,0)</f>
        <v/>
      </c>
      <c r="BG50" s="10">
        <f>ROUND((1-BB50)*(1-AX50)*AW50,0)</f>
        <v/>
      </c>
    </row>
    <row r="51" ht="16" customHeight="1" s="55" thickBot="1">
      <c r="AW51" s="13" t="n">
        <v>14880</v>
      </c>
      <c r="AX51" s="14" t="n">
        <v>0.005396684099254478</v>
      </c>
      <c r="AY51" s="14" t="n">
        <v>401</v>
      </c>
      <c r="AZ51" s="14">
        <f>AW51-AX51</f>
        <v/>
      </c>
      <c r="BA51" s="14" t="n">
        <v>1</v>
      </c>
      <c r="BB51" s="15" t="n">
        <v>0.911</v>
      </c>
      <c r="BD51" s="10">
        <f>ROUND(BA51*AX51*AW51,0)</f>
        <v/>
      </c>
      <c r="BE51" s="10">
        <f>ROUND((1-BA51)*AX51*AW51,0)</f>
        <v/>
      </c>
      <c r="BF51" s="10">
        <f>ROUND(BB51*(1-AX51)*AW51,0)</f>
        <v/>
      </c>
      <c r="BG51" s="10">
        <f>ROUND((1-BB51)*(1-AX51)*AW51,0)</f>
        <v/>
      </c>
    </row>
    <row r="52" ht="16" customHeight="1" s="55">
      <c r="C52" s="88" t="n"/>
    </row>
    <row r="54">
      <c r="AW54" s="84">
        <f>8808*AX49</f>
        <v/>
      </c>
    </row>
  </sheetData>
  <autoFilter ref="AA1:AA37"/>
  <mergeCells count="2">
    <mergeCell ref="BD47:BG47"/>
    <mergeCell ref="AW47:BB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2"/>
  <sheetViews>
    <sheetView zoomScaleNormal="10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baseColWidth="10" defaultRowHeight="15"/>
  <cols>
    <col width="27.6640625" customWidth="1" style="20" min="1" max="1"/>
    <col width="14" customWidth="1" style="55" min="2" max="2"/>
    <col width="19.5" customWidth="1" style="55" min="3" max="3"/>
    <col width="12.83203125" customWidth="1" style="55" min="28" max="28"/>
    <col width="12" customWidth="1" style="55" min="31" max="31"/>
    <col width="12.33203125" customWidth="1" style="55" min="41" max="41"/>
  </cols>
  <sheetData>
    <row r="1" ht="16" customFormat="1" customHeight="1" s="20">
      <c r="A1" s="88" t="inlineStr">
        <is>
          <t>authoryr</t>
        </is>
      </c>
      <c r="B1" s="88" t="inlineStr">
        <is>
          <t>test</t>
        </is>
      </c>
      <c r="C1" s="88" t="inlineStr">
        <is>
          <t>readerexpertise</t>
        </is>
      </c>
      <c r="D1" s="88" t="inlineStr">
        <is>
          <t>article</t>
        </is>
      </c>
      <c r="E1" s="88" t="inlineStr">
        <is>
          <t>study</t>
        </is>
      </c>
      <c r="F1" s="88" t="inlineStr">
        <is>
          <t>economic</t>
        </is>
      </c>
      <c r="G1" s="88" t="inlineStr">
        <is>
          <t>healthcare</t>
        </is>
      </c>
      <c r="H1" s="88" t="inlineStr">
        <is>
          <t>external</t>
        </is>
      </c>
      <c r="I1" s="88" t="inlineStr">
        <is>
          <t>dr</t>
        </is>
      </c>
      <c r="J1" s="88" t="inlineStr">
        <is>
          <t>othereyetarget</t>
        </is>
      </c>
      <c r="K1" s="88" t="inlineStr">
        <is>
          <t>pupil</t>
        </is>
      </c>
      <c r="L1" s="88" t="inlineStr">
        <is>
          <t>ctype</t>
        </is>
      </c>
      <c r="M1" s="88" t="inlineStr">
        <is>
          <t>camera</t>
        </is>
      </c>
      <c r="N1" s="88" t="inlineStr">
        <is>
          <t>criteria</t>
        </is>
      </c>
      <c r="O1" s="88" t="inlineStr">
        <is>
          <t>rstandard</t>
        </is>
      </c>
      <c r="P1" s="88" t="inlineStr">
        <is>
          <t>disagree</t>
        </is>
      </c>
      <c r="Q1" s="88" t="inlineStr">
        <is>
          <t>rimage</t>
        </is>
      </c>
      <c r="R1" s="88" t="inlineStr">
        <is>
          <t>field</t>
        </is>
      </c>
      <c r="S1" s="88" t="inlineStr">
        <is>
          <t>vendor</t>
        </is>
      </c>
      <c r="T1" s="88" t="inlineStr">
        <is>
          <t>commercial</t>
        </is>
      </c>
      <c r="U1" s="88" t="inlineStr">
        <is>
          <t>certified</t>
        </is>
      </c>
      <c r="V1" s="88" t="inlineStr">
        <is>
          <t>architecture</t>
        </is>
      </c>
      <c r="W1" s="88" t="inlineStr">
        <is>
          <t>region</t>
        </is>
      </c>
      <c r="X1" s="88" t="inlineStr">
        <is>
          <t>aigradable</t>
        </is>
      </c>
      <c r="Y1" s="88" t="inlineStr">
        <is>
          <t>hgradable</t>
        </is>
      </c>
      <c r="Z1" s="88" t="inlineStr">
        <is>
          <t>ungradable</t>
        </is>
      </c>
      <c r="AA1" s="88" t="inlineStr">
        <is>
          <t>Total_eye1</t>
        </is>
      </c>
      <c r="AB1" s="88" t="inlineStr">
        <is>
          <t>prevalance</t>
        </is>
      </c>
      <c r="AC1" s="103" t="inlineStr">
        <is>
          <t>Prevalence1</t>
        </is>
      </c>
      <c r="AD1" s="103" t="inlineStr">
        <is>
          <t>Positive1</t>
        </is>
      </c>
      <c r="AE1" s="103" t="inlineStr">
        <is>
          <t>Negative1</t>
        </is>
      </c>
      <c r="AF1" s="103" t="inlineStr">
        <is>
          <t>Sensitivity1</t>
        </is>
      </c>
      <c r="AG1" s="103" t="inlineStr">
        <is>
          <t>Specificity1</t>
        </is>
      </c>
      <c r="AH1" s="88" t="inlineStr">
        <is>
          <t>tp1</t>
        </is>
      </c>
      <c r="AI1" s="88" t="inlineStr">
        <is>
          <t>fn1</t>
        </is>
      </c>
      <c r="AJ1" s="88" t="inlineStr">
        <is>
          <t>tn1</t>
        </is>
      </c>
      <c r="AK1" s="88" t="inlineStr">
        <is>
          <t>fp1</t>
        </is>
      </c>
      <c r="AL1" s="88" t="inlineStr">
        <is>
          <t>Total_eye2</t>
        </is>
      </c>
      <c r="AM1" s="103" t="inlineStr">
        <is>
          <t>Prevalence2</t>
        </is>
      </c>
      <c r="AN1" s="103" t="inlineStr">
        <is>
          <t>Positive2</t>
        </is>
      </c>
      <c r="AO1" s="103" t="inlineStr">
        <is>
          <t>Negative2</t>
        </is>
      </c>
      <c r="AP1" s="103" t="inlineStr">
        <is>
          <t>Sensitivity2</t>
        </is>
      </c>
      <c r="AQ1" s="103" t="inlineStr">
        <is>
          <t>Specificity2</t>
        </is>
      </c>
      <c r="AR1" s="88" t="inlineStr">
        <is>
          <t>tp2</t>
        </is>
      </c>
      <c r="AS1" s="88" t="inlineStr">
        <is>
          <t>fn2</t>
        </is>
      </c>
      <c r="AT1" s="88" t="inlineStr">
        <is>
          <t>tn2</t>
        </is>
      </c>
      <c r="AU1" s="88" t="inlineStr">
        <is>
          <t>fp2</t>
        </is>
      </c>
    </row>
    <row r="2" ht="16" customFormat="1" customHeight="1" s="20">
      <c r="A2" s="88" t="inlineStr">
        <is>
          <t>Similié et al. 2025</t>
        </is>
      </c>
      <c r="B2" s="88" t="inlineStr">
        <is>
          <t>DL classifier</t>
        </is>
      </c>
      <c r="C2" s="88" t="inlineStr">
        <is>
          <t>trainedgrader</t>
        </is>
      </c>
      <c r="D2" s="88" t="inlineStr">
        <is>
          <t>original</t>
        </is>
      </c>
      <c r="E2" s="88" t="inlineStr">
        <is>
          <t>retrospective</t>
        </is>
      </c>
      <c r="F2" s="88" t="inlineStr">
        <is>
          <t>high</t>
        </is>
      </c>
      <c r="G2" s="88" t="inlineStr">
        <is>
          <t>tertiary</t>
        </is>
      </c>
      <c r="H2" s="88" t="inlineStr">
        <is>
          <t>no</t>
        </is>
      </c>
      <c r="I2" s="88" t="inlineStr">
        <is>
          <t>dr</t>
        </is>
      </c>
      <c r="J2" s="88" t="inlineStr">
        <is>
          <t>no</t>
        </is>
      </c>
      <c r="K2" s="88" t="inlineStr">
        <is>
          <t>no</t>
        </is>
      </c>
      <c r="L2" s="88" t="inlineStr">
        <is>
          <t>desktop</t>
        </is>
      </c>
      <c r="M2" s="88" t="inlineStr">
        <is>
          <t>topcon</t>
        </is>
      </c>
      <c r="N2" s="88" t="inlineStr">
        <is>
          <t>icdr</t>
        </is>
      </c>
      <c r="O2" s="86" t="inlineStr">
        <is>
          <t>retina specialist</t>
        </is>
      </c>
      <c r="P2" s="88" t="inlineStr">
        <is>
          <t>no</t>
        </is>
      </c>
      <c r="Q2" s="88" t="inlineStr">
        <is>
          <t>fundus</t>
        </is>
      </c>
      <c r="R2" s="88" t="inlineStr">
        <is>
          <t>&gt;2</t>
        </is>
      </c>
      <c r="S2" s="88" t="inlineStr">
        <is>
          <t>no</t>
        </is>
      </c>
      <c r="T2" s="88" t="inlineStr">
        <is>
          <t>no</t>
        </is>
      </c>
      <c r="U2" s="88" t="inlineStr">
        <is>
          <t>no</t>
        </is>
      </c>
      <c r="V2" s="88" t="inlineStr">
        <is>
          <t>inception family</t>
        </is>
      </c>
      <c r="W2" s="88" t="inlineStr">
        <is>
          <t>europe</t>
        </is>
      </c>
      <c r="X2" s="88" t="inlineStr">
        <is>
          <t>high</t>
        </is>
      </c>
      <c r="Y2" s="88" t="inlineStr">
        <is>
          <t>high</t>
        </is>
      </c>
      <c r="Z2" s="88" t="inlineStr">
        <is>
          <t>excluded</t>
        </is>
      </c>
      <c r="AA2" s="86">
        <f>AD2+AE2</f>
        <v/>
      </c>
      <c r="AB2" s="86" t="inlineStr">
        <is>
          <t>High</t>
        </is>
      </c>
      <c r="AC2" s="104">
        <f>AD2/AA2</f>
        <v/>
      </c>
      <c r="AD2" s="104">
        <f>AH2+AI2</f>
        <v/>
      </c>
      <c r="AE2" s="104">
        <f>AK2+AJ2</f>
        <v/>
      </c>
      <c r="AF2" s="104">
        <f>AH2/(AH2+AI2)</f>
        <v/>
      </c>
      <c r="AG2" s="104">
        <f>AJ2/(AJ2+AK2)</f>
        <v/>
      </c>
      <c r="AH2" s="88" t="n">
        <v>316</v>
      </c>
      <c r="AI2" s="88" t="n">
        <v>87</v>
      </c>
      <c r="AJ2" s="88" t="n">
        <v>79</v>
      </c>
      <c r="AK2" s="88" t="n">
        <v>18</v>
      </c>
      <c r="AL2" s="86">
        <f>AN2+AO2</f>
        <v/>
      </c>
      <c r="AM2" s="104">
        <f>AN2/AL2</f>
        <v/>
      </c>
      <c r="AN2" s="104">
        <f>AH2+AI2</f>
        <v/>
      </c>
      <c r="AO2" s="104">
        <f>AK2+AJ2</f>
        <v/>
      </c>
      <c r="AP2" s="104">
        <f>AR2/(AR2+AS2)</f>
        <v/>
      </c>
      <c r="AQ2" s="104">
        <f>AT2/(AT2+AU2)</f>
        <v/>
      </c>
      <c r="AR2" s="88" t="n">
        <v>383</v>
      </c>
      <c r="AS2" s="88" t="n">
        <v>20</v>
      </c>
      <c r="AT2" s="88" t="n">
        <v>80</v>
      </c>
      <c r="AU2" s="88" t="n">
        <v>17</v>
      </c>
    </row>
    <row r="3" ht="16" customHeight="1" s="55">
      <c r="A3" s="88" t="inlineStr">
        <is>
          <t>Šín et al. 2025</t>
        </is>
      </c>
      <c r="B3" s="86" t="inlineStr">
        <is>
          <t>Aireen</t>
        </is>
      </c>
      <c r="C3" s="86" t="inlineStr">
        <is>
          <t>ophthalmologist</t>
        </is>
      </c>
      <c r="D3" s="86" t="inlineStr">
        <is>
          <t>original</t>
        </is>
      </c>
      <c r="E3" s="86" t="inlineStr">
        <is>
          <t>prospective</t>
        </is>
      </c>
      <c r="F3" s="86" t="inlineStr">
        <is>
          <t>high</t>
        </is>
      </c>
      <c r="G3" s="86" t="inlineStr">
        <is>
          <t>primary</t>
        </is>
      </c>
      <c r="H3" s="86" t="inlineStr">
        <is>
          <t>no</t>
        </is>
      </c>
      <c r="I3" s="86" t="inlineStr">
        <is>
          <t>dr</t>
        </is>
      </c>
      <c r="J3" s="86" t="inlineStr">
        <is>
          <t>no</t>
        </is>
      </c>
      <c r="K3" s="86" t="inlineStr">
        <is>
          <t>no</t>
        </is>
      </c>
      <c r="L3" s="86" t="inlineStr">
        <is>
          <t>desktop</t>
        </is>
      </c>
      <c r="M3" s="86" t="inlineStr">
        <is>
          <t>canon</t>
        </is>
      </c>
      <c r="N3" s="86" t="inlineStr">
        <is>
          <t>other</t>
        </is>
      </c>
      <c r="O3" s="86" t="inlineStr">
        <is>
          <t>retina specialist</t>
        </is>
      </c>
      <c r="P3" s="86" t="inlineStr">
        <is>
          <t>yes</t>
        </is>
      </c>
      <c r="Q3" s="86" t="inlineStr">
        <is>
          <t>fundus</t>
        </is>
      </c>
      <c r="R3" s="86" t="inlineStr">
        <is>
          <t>1</t>
        </is>
      </c>
      <c r="S3" s="86" t="inlineStr">
        <is>
          <t>yes</t>
        </is>
      </c>
      <c r="T3" s="86" t="inlineStr">
        <is>
          <t>yes</t>
        </is>
      </c>
      <c r="U3" s="86" t="inlineStr">
        <is>
          <t>yes</t>
        </is>
      </c>
      <c r="V3" s="86" t="inlineStr">
        <is>
          <t>efficientnet family</t>
        </is>
      </c>
      <c r="W3" s="86" t="inlineStr">
        <is>
          <t>europe</t>
        </is>
      </c>
      <c r="X3" s="86" t="inlineStr">
        <is>
          <t>low</t>
        </is>
      </c>
      <c r="Y3" s="86" t="inlineStr">
        <is>
          <t>low</t>
        </is>
      </c>
      <c r="Z3" s="86" t="inlineStr">
        <is>
          <t>positive</t>
        </is>
      </c>
      <c r="AA3" s="86" t="n"/>
      <c r="AB3" s="86" t="n"/>
      <c r="AC3" s="86" t="n"/>
      <c r="AD3" s="86" t="n"/>
      <c r="AE3" s="86" t="n"/>
      <c r="AF3" s="86" t="n"/>
      <c r="AG3" s="86" t="n"/>
      <c r="AH3" s="86" t="n"/>
      <c r="AI3" s="86" t="n"/>
      <c r="AJ3" s="86" t="n"/>
      <c r="AK3" s="86" t="n"/>
      <c r="AL3" s="86" t="n"/>
      <c r="AM3" s="86" t="n"/>
      <c r="AN3" s="86" t="n"/>
      <c r="AO3" s="86" t="n"/>
      <c r="AP3" s="86" t="n"/>
      <c r="AQ3" s="86" t="n"/>
      <c r="AR3" s="86" t="n"/>
      <c r="AS3" s="86" t="n"/>
      <c r="AT3" s="86" t="n"/>
      <c r="AU3" s="86" t="n"/>
      <c r="AX3" s="2" t="n"/>
      <c r="AY3" s="102" t="n"/>
      <c r="AZ3" s="102" t="n"/>
      <c r="BA3" s="102" t="n"/>
      <c r="BB3" s="102" t="n"/>
      <c r="BC3" s="102" t="n"/>
      <c r="BE3" s="2" t="n"/>
      <c r="BF3" s="2" t="n"/>
      <c r="BG3" s="2" t="n"/>
      <c r="BH3" s="2" t="n"/>
    </row>
    <row r="4" ht="16" customHeight="1" s="55">
      <c r="A4" s="88" t="inlineStr">
        <is>
          <t>Šín et al. 2025</t>
        </is>
      </c>
      <c r="B4" s="86" t="inlineStr">
        <is>
          <t>Aireen</t>
        </is>
      </c>
      <c r="C4" s="86" t="inlineStr">
        <is>
          <t>retinaspecialist</t>
        </is>
      </c>
      <c r="D4" s="86" t="inlineStr">
        <is>
          <t>original</t>
        </is>
      </c>
      <c r="E4" s="86" t="inlineStr">
        <is>
          <t>prospective</t>
        </is>
      </c>
      <c r="F4" s="86" t="inlineStr">
        <is>
          <t>high</t>
        </is>
      </c>
      <c r="G4" s="86" t="inlineStr">
        <is>
          <t>primary</t>
        </is>
      </c>
      <c r="H4" s="86" t="inlineStr">
        <is>
          <t>no</t>
        </is>
      </c>
      <c r="I4" s="86" t="inlineStr">
        <is>
          <t>dr</t>
        </is>
      </c>
      <c r="J4" s="86" t="inlineStr">
        <is>
          <t>no</t>
        </is>
      </c>
      <c r="K4" s="86" t="inlineStr">
        <is>
          <t>no</t>
        </is>
      </c>
      <c r="L4" s="86" t="inlineStr">
        <is>
          <t>desktop</t>
        </is>
      </c>
      <c r="M4" s="86" t="inlineStr">
        <is>
          <t>canon</t>
        </is>
      </c>
      <c r="N4" s="86" t="inlineStr">
        <is>
          <t>other</t>
        </is>
      </c>
      <c r="O4" s="86" t="inlineStr">
        <is>
          <t>retina specialist</t>
        </is>
      </c>
      <c r="P4" s="86" t="inlineStr">
        <is>
          <t>yes</t>
        </is>
      </c>
      <c r="Q4" s="86" t="inlineStr">
        <is>
          <t>fundus</t>
        </is>
      </c>
      <c r="R4" s="86" t="inlineStr">
        <is>
          <t>1</t>
        </is>
      </c>
      <c r="S4" s="86" t="inlineStr">
        <is>
          <t>yes</t>
        </is>
      </c>
      <c r="T4" s="86" t="inlineStr">
        <is>
          <t>yes</t>
        </is>
      </c>
      <c r="U4" s="86" t="inlineStr">
        <is>
          <t>yes</t>
        </is>
      </c>
      <c r="V4" s="86" t="inlineStr">
        <is>
          <t>efficientnet family</t>
        </is>
      </c>
      <c r="W4" s="86" t="inlineStr">
        <is>
          <t>europe</t>
        </is>
      </c>
      <c r="X4" s="86" t="inlineStr">
        <is>
          <t>low</t>
        </is>
      </c>
      <c r="Y4" s="86" t="inlineStr">
        <is>
          <t>low</t>
        </is>
      </c>
      <c r="Z4" s="86" t="inlineStr">
        <is>
          <t>positive</t>
        </is>
      </c>
      <c r="AA4" s="86" t="n"/>
      <c r="AB4" s="86" t="n"/>
      <c r="AC4" s="86" t="n"/>
      <c r="AD4" s="86" t="n"/>
      <c r="AE4" s="86" t="n"/>
      <c r="AF4" s="86" t="n"/>
      <c r="AG4" s="86" t="n"/>
      <c r="AH4" s="86" t="n"/>
      <c r="AI4" s="86" t="n"/>
      <c r="AJ4" s="86" t="n"/>
      <c r="AK4" s="86" t="n"/>
      <c r="AL4" s="86" t="n"/>
      <c r="AM4" s="86" t="n"/>
      <c r="AN4" s="86" t="n"/>
      <c r="AO4" s="86" t="n"/>
      <c r="AP4" s="86" t="n"/>
      <c r="AQ4" s="86" t="n"/>
      <c r="AR4" s="86" t="n"/>
      <c r="AS4" s="86" t="n"/>
      <c r="AT4" s="86" t="n"/>
      <c r="AU4" s="86" t="n"/>
    </row>
    <row r="5" ht="16" customFormat="1" customHeight="1" s="20">
      <c r="A5" s="88" t="inlineStr">
        <is>
          <t>Zhao et al. 2025</t>
        </is>
      </c>
      <c r="B5" s="88" t="inlineStr">
        <is>
          <t xml:space="preserve">WARM model </t>
        </is>
      </c>
      <c r="C5" s="88" t="inlineStr">
        <is>
          <t>ophthalmologist</t>
        </is>
      </c>
      <c r="D5" s="88" t="inlineStr">
        <is>
          <t>original</t>
        </is>
      </c>
      <c r="E5" s="88" t="inlineStr">
        <is>
          <t>retrospective</t>
        </is>
      </c>
      <c r="F5" s="88" t="inlineStr">
        <is>
          <t>middle</t>
        </is>
      </c>
      <c r="G5" s="88" t="inlineStr">
        <is>
          <t>tertiary</t>
        </is>
      </c>
      <c r="H5" s="88" t="inlineStr">
        <is>
          <t>no</t>
        </is>
      </c>
      <c r="I5" s="88" t="inlineStr">
        <is>
          <t>vtdr</t>
        </is>
      </c>
      <c r="J5" s="88" t="inlineStr">
        <is>
          <t>yes</t>
        </is>
      </c>
      <c r="K5" s="88" t="inlineStr">
        <is>
          <t>no</t>
        </is>
      </c>
      <c r="L5" s="88" t="inlineStr">
        <is>
          <t>desktop</t>
        </is>
      </c>
      <c r="M5" s="88" t="inlineStr">
        <is>
          <t>optos</t>
        </is>
      </c>
      <c r="N5" s="88" t="inlineStr">
        <is>
          <t>icdr</t>
        </is>
      </c>
      <c r="O5" s="86" t="inlineStr">
        <is>
          <t>ophthalmologist</t>
        </is>
      </c>
      <c r="P5" s="88" t="inlineStr">
        <is>
          <t>yes</t>
        </is>
      </c>
      <c r="Q5" s="86" t="inlineStr">
        <is>
          <t>with advanced image</t>
        </is>
      </c>
      <c r="R5" s="88" t="n">
        <v>1</v>
      </c>
      <c r="S5" s="88" t="inlineStr">
        <is>
          <t>yes</t>
        </is>
      </c>
      <c r="T5" s="88" t="inlineStr">
        <is>
          <t>no</t>
        </is>
      </c>
      <c r="U5" s="88" t="inlineStr">
        <is>
          <t>no</t>
        </is>
      </c>
      <c r="V5" s="88" t="inlineStr">
        <is>
          <t>transformer family</t>
        </is>
      </c>
      <c r="W5" s="88" t="inlineStr">
        <is>
          <t>asia</t>
        </is>
      </c>
      <c r="X5" s="88" t="inlineStr">
        <is>
          <t>high</t>
        </is>
      </c>
      <c r="Y5" s="88" t="inlineStr">
        <is>
          <t>high</t>
        </is>
      </c>
      <c r="Z5" s="88" t="inlineStr">
        <is>
          <t>excluded</t>
        </is>
      </c>
      <c r="AA5" s="86">
        <f>AD5+AE5</f>
        <v/>
      </c>
      <c r="AB5" s="86" t="inlineStr">
        <is>
          <t>Low</t>
        </is>
      </c>
      <c r="AC5" s="104">
        <f>AD5/AA5</f>
        <v/>
      </c>
      <c r="AD5" s="104">
        <f>AH5+AI5</f>
        <v/>
      </c>
      <c r="AE5" s="104">
        <f>AK5+AJ5</f>
        <v/>
      </c>
      <c r="AF5" s="104">
        <f>AH5/(AH5+AI5)</f>
        <v/>
      </c>
      <c r="AG5" s="104">
        <f>AJ5/(AJ5+AK5)</f>
        <v/>
      </c>
      <c r="AH5" s="88" t="n">
        <v>603</v>
      </c>
      <c r="AI5" s="88" t="n">
        <v>28</v>
      </c>
      <c r="AJ5" s="88" t="n">
        <v>7865</v>
      </c>
      <c r="AK5" s="88" t="n">
        <v>312</v>
      </c>
      <c r="AL5" s="86">
        <f>AN5+AO5</f>
        <v/>
      </c>
      <c r="AM5" s="104">
        <f>AN5/AL5</f>
        <v/>
      </c>
      <c r="AN5" s="104">
        <f>AH5+AI5</f>
        <v/>
      </c>
      <c r="AO5" s="104">
        <f>AK5+AJ5</f>
        <v/>
      </c>
      <c r="AP5" s="104">
        <f>AR5/(AR5+AS5)</f>
        <v/>
      </c>
      <c r="AQ5" s="104">
        <f>AT5/(AT5+AU5)</f>
        <v/>
      </c>
      <c r="AR5" s="88" t="n">
        <v>524</v>
      </c>
      <c r="AS5" s="88" t="n">
        <v>60</v>
      </c>
      <c r="AT5" s="88" t="n">
        <v>8117</v>
      </c>
      <c r="AU5" s="88" t="n">
        <v>107</v>
      </c>
    </row>
    <row r="6" ht="16" customHeight="1" s="55">
      <c r="A6" s="88" t="inlineStr">
        <is>
          <t>Chia et al. 2024</t>
        </is>
      </c>
      <c r="B6" s="86" t="inlineStr">
        <is>
          <t>ARDA</t>
        </is>
      </c>
      <c r="C6" s="86" t="inlineStr">
        <is>
          <t>retinaspecialist</t>
        </is>
      </c>
      <c r="D6" s="86" t="inlineStr">
        <is>
          <t>original</t>
        </is>
      </c>
      <c r="E6" s="86" t="inlineStr">
        <is>
          <t>retrospective</t>
        </is>
      </c>
      <c r="F6" s="86" t="inlineStr">
        <is>
          <t>high</t>
        </is>
      </c>
      <c r="G6" s="86" t="inlineStr">
        <is>
          <t>primary</t>
        </is>
      </c>
      <c r="H6" s="86" t="inlineStr">
        <is>
          <t>yes</t>
        </is>
      </c>
      <c r="I6" s="86" t="inlineStr">
        <is>
          <t>rdr</t>
        </is>
      </c>
      <c r="J6" s="86" t="inlineStr">
        <is>
          <t>no</t>
        </is>
      </c>
      <c r="K6" s="86" t="inlineStr">
        <is>
          <t>no</t>
        </is>
      </c>
      <c r="L6" s="86" t="inlineStr">
        <is>
          <t>desktop</t>
        </is>
      </c>
      <c r="M6" s="86" t="inlineStr">
        <is>
          <t>topcon</t>
        </is>
      </c>
      <c r="N6" s="86" t="inlineStr">
        <is>
          <t>icdr</t>
        </is>
      </c>
      <c r="O6" s="86" t="inlineStr">
        <is>
          <t>retina specialist</t>
        </is>
      </c>
      <c r="P6" s="86" t="inlineStr">
        <is>
          <t>yes</t>
        </is>
      </c>
      <c r="Q6" s="86" t="inlineStr">
        <is>
          <t>fundus</t>
        </is>
      </c>
      <c r="R6" s="86" t="inlineStr">
        <is>
          <t>1</t>
        </is>
      </c>
      <c r="S6" s="86" t="inlineStr">
        <is>
          <t>yes</t>
        </is>
      </c>
      <c r="T6" s="86" t="inlineStr">
        <is>
          <t>yes</t>
        </is>
      </c>
      <c r="U6" s="86" t="inlineStr">
        <is>
          <t>yes</t>
        </is>
      </c>
      <c r="V6" s="86" t="inlineStr">
        <is>
          <t>inception family</t>
        </is>
      </c>
      <c r="W6" s="86" t="inlineStr">
        <is>
          <t>asia</t>
        </is>
      </c>
      <c r="X6" s="86" t="inlineStr">
        <is>
          <t>low</t>
        </is>
      </c>
      <c r="Y6" s="86" t="inlineStr">
        <is>
          <t>low</t>
        </is>
      </c>
      <c r="Z6" s="86" t="inlineStr">
        <is>
          <t>excluded</t>
        </is>
      </c>
      <c r="AA6" s="86">
        <f>AD6+AE6</f>
        <v/>
      </c>
      <c r="AB6" s="86" t="inlineStr">
        <is>
          <t>Middle</t>
        </is>
      </c>
      <c r="AC6" s="104">
        <f>AD6/AA6</f>
        <v/>
      </c>
      <c r="AD6" s="104">
        <f>AH6+AI6</f>
        <v/>
      </c>
      <c r="AE6" s="104">
        <f>AK6+AJ6</f>
        <v/>
      </c>
      <c r="AF6" s="104">
        <f>AH6/(AH6+AI6)</f>
        <v/>
      </c>
      <c r="AG6" s="104">
        <f>AJ6/(AJ6+AK6)</f>
        <v/>
      </c>
      <c r="AH6" s="86" t="n">
        <v>346</v>
      </c>
      <c r="AI6" s="86" t="n">
        <v>7</v>
      </c>
      <c r="AJ6" s="86" t="n">
        <v>1075</v>
      </c>
      <c r="AK6" s="86" t="n">
        <v>55</v>
      </c>
      <c r="AL6" s="86">
        <f>AN6+AO6</f>
        <v/>
      </c>
      <c r="AM6" s="104">
        <f>AN6/AL6</f>
        <v/>
      </c>
      <c r="AN6" s="104">
        <f>AH6+AI6</f>
        <v/>
      </c>
      <c r="AO6" s="104">
        <f>AK6+AJ6</f>
        <v/>
      </c>
      <c r="AP6" s="104">
        <f>AR6/(AR6+AS6)</f>
        <v/>
      </c>
      <c r="AQ6" s="104">
        <f>AT6/(AT6+AU6)</f>
        <v/>
      </c>
      <c r="AR6" s="86" t="n">
        <v>307</v>
      </c>
      <c r="AS6" s="86" t="n">
        <v>46</v>
      </c>
      <c r="AT6" s="86" t="n">
        <v>1096</v>
      </c>
      <c r="AU6" s="86" t="n">
        <v>34</v>
      </c>
    </row>
    <row r="7" ht="16" customHeight="1" s="55">
      <c r="A7" s="88" t="inlineStr">
        <is>
          <t>Chia et al. 2024</t>
        </is>
      </c>
      <c r="B7" s="86" t="inlineStr">
        <is>
          <t>ARDA</t>
        </is>
      </c>
      <c r="C7" s="86" t="inlineStr">
        <is>
          <t>retinaspecialist</t>
        </is>
      </c>
      <c r="D7" s="86" t="inlineStr">
        <is>
          <t>original</t>
        </is>
      </c>
      <c r="E7" s="86" t="inlineStr">
        <is>
          <t>retrospective</t>
        </is>
      </c>
      <c r="F7" s="86" t="inlineStr">
        <is>
          <t>high</t>
        </is>
      </c>
      <c r="G7" s="86" t="inlineStr">
        <is>
          <t>primary</t>
        </is>
      </c>
      <c r="H7" s="86" t="inlineStr">
        <is>
          <t>yes</t>
        </is>
      </c>
      <c r="I7" s="86" t="inlineStr">
        <is>
          <t>rdr</t>
        </is>
      </c>
      <c r="J7" s="86" t="inlineStr">
        <is>
          <t>no</t>
        </is>
      </c>
      <c r="K7" s="86" t="inlineStr">
        <is>
          <t>no</t>
        </is>
      </c>
      <c r="L7" s="86" t="inlineStr">
        <is>
          <t>desktop</t>
        </is>
      </c>
      <c r="M7" s="86" t="inlineStr">
        <is>
          <t>topcon</t>
        </is>
      </c>
      <c r="N7" s="86" t="inlineStr">
        <is>
          <t>icdr</t>
        </is>
      </c>
      <c r="O7" s="86" t="inlineStr">
        <is>
          <t>retina specialist</t>
        </is>
      </c>
      <c r="P7" s="86" t="inlineStr">
        <is>
          <t>yes</t>
        </is>
      </c>
      <c r="Q7" s="86" t="inlineStr">
        <is>
          <t>fundus</t>
        </is>
      </c>
      <c r="R7" s="86" t="inlineStr">
        <is>
          <t>1</t>
        </is>
      </c>
      <c r="S7" s="86" t="inlineStr">
        <is>
          <t>yes</t>
        </is>
      </c>
      <c r="T7" s="86" t="inlineStr">
        <is>
          <t>yes</t>
        </is>
      </c>
      <c r="U7" s="86" t="inlineStr">
        <is>
          <t>yes</t>
        </is>
      </c>
      <c r="V7" s="86" t="inlineStr">
        <is>
          <t>inception family</t>
        </is>
      </c>
      <c r="W7" s="86" t="inlineStr">
        <is>
          <t>asia</t>
        </is>
      </c>
      <c r="X7" s="86" t="inlineStr">
        <is>
          <t>low</t>
        </is>
      </c>
      <c r="Y7" s="86" t="inlineStr">
        <is>
          <t>low</t>
        </is>
      </c>
      <c r="Z7" s="86" t="inlineStr">
        <is>
          <t>positive</t>
        </is>
      </c>
      <c r="AA7" s="86">
        <f>AD7+AE7</f>
        <v/>
      </c>
      <c r="AB7" s="86" t="inlineStr">
        <is>
          <t>High</t>
        </is>
      </c>
      <c r="AC7" s="104">
        <f>AD7/AA7</f>
        <v/>
      </c>
      <c r="AD7" s="104">
        <f>AH7+AI7</f>
        <v/>
      </c>
      <c r="AE7" s="104">
        <f>AK7+AJ7</f>
        <v/>
      </c>
      <c r="AF7" s="104">
        <f>AH7/(AH7+AI7)</f>
        <v/>
      </c>
      <c r="AG7" s="104">
        <f>AJ7/(AJ7+AK7)</f>
        <v/>
      </c>
      <c r="AH7" s="86" t="n">
        <v>517</v>
      </c>
      <c r="AI7" s="86" t="n">
        <v>35</v>
      </c>
      <c r="AJ7" s="86" t="n">
        <v>1036</v>
      </c>
      <c r="AK7" s="86" t="n">
        <v>94</v>
      </c>
      <c r="AL7" s="86">
        <f>AN7+AO7</f>
        <v/>
      </c>
      <c r="AM7" s="104">
        <f>AN7/AL7</f>
        <v/>
      </c>
      <c r="AN7" s="104">
        <f>AH7+AI7</f>
        <v/>
      </c>
      <c r="AO7" s="104">
        <f>AK7+AJ7</f>
        <v/>
      </c>
      <c r="AP7" s="104">
        <f>AR7/(AR7+AS7)</f>
        <v/>
      </c>
      <c r="AQ7" s="104">
        <f>AT7/(AT7+AU7)</f>
        <v/>
      </c>
      <c r="AR7" s="86" t="n">
        <v>411</v>
      </c>
      <c r="AS7" s="86" t="n">
        <v>141</v>
      </c>
      <c r="AT7" s="86" t="n">
        <v>1088</v>
      </c>
      <c r="AU7" s="86" t="n">
        <v>42</v>
      </c>
    </row>
    <row r="8" ht="16" customHeight="1" s="55">
      <c r="A8" s="88" t="inlineStr">
        <is>
          <t>Chia et al. 2024</t>
        </is>
      </c>
      <c r="B8" s="86" t="inlineStr">
        <is>
          <t>ARDA</t>
        </is>
      </c>
      <c r="C8" s="86" t="inlineStr">
        <is>
          <t>retinaspecialist</t>
        </is>
      </c>
      <c r="D8" s="86" t="inlineStr">
        <is>
          <t>original</t>
        </is>
      </c>
      <c r="E8" s="86" t="inlineStr">
        <is>
          <t>retrospective</t>
        </is>
      </c>
      <c r="F8" s="86" t="inlineStr">
        <is>
          <t>high</t>
        </is>
      </c>
      <c r="G8" s="86" t="inlineStr">
        <is>
          <t>primary</t>
        </is>
      </c>
      <c r="H8" s="86" t="inlineStr">
        <is>
          <t>yes</t>
        </is>
      </c>
      <c r="I8" s="86" t="inlineStr">
        <is>
          <t>vtdr</t>
        </is>
      </c>
      <c r="J8" s="86" t="inlineStr">
        <is>
          <t>no</t>
        </is>
      </c>
      <c r="K8" s="86" t="inlineStr">
        <is>
          <t>no</t>
        </is>
      </c>
      <c r="L8" s="86" t="inlineStr">
        <is>
          <t>desktop</t>
        </is>
      </c>
      <c r="M8" s="86" t="inlineStr">
        <is>
          <t>topcon</t>
        </is>
      </c>
      <c r="N8" s="86" t="inlineStr">
        <is>
          <t>icdr</t>
        </is>
      </c>
      <c r="O8" s="86" t="inlineStr">
        <is>
          <t>retina specialist</t>
        </is>
      </c>
      <c r="P8" s="86" t="inlineStr">
        <is>
          <t>yes</t>
        </is>
      </c>
      <c r="Q8" s="86" t="inlineStr">
        <is>
          <t>fundus</t>
        </is>
      </c>
      <c r="R8" s="86" t="inlineStr">
        <is>
          <t>1</t>
        </is>
      </c>
      <c r="S8" s="86" t="inlineStr">
        <is>
          <t>yes</t>
        </is>
      </c>
      <c r="T8" s="86" t="inlineStr">
        <is>
          <t>yes</t>
        </is>
      </c>
      <c r="U8" s="86" t="inlineStr">
        <is>
          <t>yes</t>
        </is>
      </c>
      <c r="V8" s="86" t="inlineStr">
        <is>
          <t>inception family</t>
        </is>
      </c>
      <c r="W8" s="86" t="inlineStr">
        <is>
          <t>asia</t>
        </is>
      </c>
      <c r="X8" s="86" t="inlineStr">
        <is>
          <t>low</t>
        </is>
      </c>
      <c r="Y8" s="86" t="inlineStr">
        <is>
          <t>low</t>
        </is>
      </c>
      <c r="Z8" s="86" t="inlineStr">
        <is>
          <t>excluded</t>
        </is>
      </c>
      <c r="AA8" s="86">
        <f>AD8+AE8</f>
        <v/>
      </c>
      <c r="AB8" s="86" t="inlineStr">
        <is>
          <t>Middle</t>
        </is>
      </c>
      <c r="AC8" s="104">
        <f>AD8/AA8</f>
        <v/>
      </c>
      <c r="AD8" s="104">
        <f>AH8+AI8</f>
        <v/>
      </c>
      <c r="AE8" s="104">
        <f>AK8+AJ8</f>
        <v/>
      </c>
      <c r="AF8" s="104">
        <f>AH8/(AH8+AI8)</f>
        <v/>
      </c>
      <c r="AG8" s="104">
        <f>AJ8/(AJ8+AK8)</f>
        <v/>
      </c>
      <c r="AH8" s="86" t="n">
        <v>340</v>
      </c>
      <c r="AI8" s="86" t="n">
        <v>13</v>
      </c>
      <c r="AJ8" s="86" t="n">
        <v>1083</v>
      </c>
      <c r="AK8" s="86" t="n">
        <v>47</v>
      </c>
      <c r="AL8" s="86">
        <f>AN8+AO8</f>
        <v/>
      </c>
      <c r="AM8" s="104">
        <f>AN8/AL8</f>
        <v/>
      </c>
      <c r="AN8" s="104">
        <f>AH8+AI8</f>
        <v/>
      </c>
      <c r="AO8" s="104">
        <f>AK8+AJ8</f>
        <v/>
      </c>
      <c r="AP8" s="104">
        <f>AR8/(AR8+AS8)</f>
        <v/>
      </c>
      <c r="AQ8" s="104">
        <f>AT8/(AT8+AU8)</f>
        <v/>
      </c>
      <c r="AR8" s="86" t="n">
        <v>298</v>
      </c>
      <c r="AS8" s="86" t="n">
        <v>55</v>
      </c>
      <c r="AT8" s="86" t="n">
        <v>1105</v>
      </c>
      <c r="AU8" s="86" t="n">
        <v>25</v>
      </c>
    </row>
    <row r="9" ht="16" customHeight="1" s="55">
      <c r="A9" s="88" t="inlineStr">
        <is>
          <t>Hu et al. 2024</t>
        </is>
      </c>
      <c r="B9" s="86" t="inlineStr">
        <is>
          <t>AutoEye</t>
        </is>
      </c>
      <c r="C9" s="86" t="inlineStr">
        <is>
          <t>ophthalmologist</t>
        </is>
      </c>
      <c r="D9" s="86" t="inlineStr">
        <is>
          <t>original</t>
        </is>
      </c>
      <c r="E9" s="86" t="inlineStr">
        <is>
          <t>prospective</t>
        </is>
      </c>
      <c r="F9" s="86" t="inlineStr">
        <is>
          <t>middle</t>
        </is>
      </c>
      <c r="G9" s="86" t="inlineStr">
        <is>
          <t>tertiary</t>
        </is>
      </c>
      <c r="H9" s="86" t="inlineStr">
        <is>
          <t>no</t>
        </is>
      </c>
      <c r="I9" s="86" t="inlineStr">
        <is>
          <t>dr</t>
        </is>
      </c>
      <c r="J9" s="86" t="inlineStr">
        <is>
          <t>no</t>
        </is>
      </c>
      <c r="K9" s="86" t="inlineStr">
        <is>
          <t>no</t>
        </is>
      </c>
      <c r="L9" s="86" t="inlineStr">
        <is>
          <t>desktop</t>
        </is>
      </c>
      <c r="M9" s="86" t="inlineStr">
        <is>
          <t>topcon</t>
        </is>
      </c>
      <c r="N9" s="86" t="inlineStr">
        <is>
          <t>icdr</t>
        </is>
      </c>
      <c r="O9" s="86" t="inlineStr">
        <is>
          <t>other</t>
        </is>
      </c>
      <c r="P9" s="86" t="inlineStr">
        <is>
          <t>no</t>
        </is>
      </c>
      <c r="Q9" s="86" t="inlineStr">
        <is>
          <t>with advanced image</t>
        </is>
      </c>
      <c r="R9" s="86" t="inlineStr">
        <is>
          <t>1</t>
        </is>
      </c>
      <c r="S9" s="86" t="inlineStr">
        <is>
          <t>no</t>
        </is>
      </c>
      <c r="T9" s="86" t="inlineStr">
        <is>
          <t>no</t>
        </is>
      </c>
      <c r="U9" s="86" t="inlineStr">
        <is>
          <t>no</t>
        </is>
      </c>
      <c r="V9" s="86" t="inlineStr">
        <is>
          <t>cnn</t>
        </is>
      </c>
      <c r="W9" s="86" t="inlineStr">
        <is>
          <t>asia</t>
        </is>
      </c>
      <c r="X9" s="86" t="inlineStr">
        <is>
          <t>high</t>
        </is>
      </c>
      <c r="Y9" s="86" t="inlineStr">
        <is>
          <t>high</t>
        </is>
      </c>
      <c r="Z9" s="86" t="inlineStr">
        <is>
          <t>excluded</t>
        </is>
      </c>
      <c r="AA9" s="86">
        <f>AD9+AE9</f>
        <v/>
      </c>
      <c r="AB9" s="86" t="inlineStr">
        <is>
          <t>High</t>
        </is>
      </c>
      <c r="AC9" s="104">
        <f>AD9/AA9</f>
        <v/>
      </c>
      <c r="AD9" s="104">
        <f>AH9+AI9</f>
        <v/>
      </c>
      <c r="AE9" s="104">
        <f>AK9+AJ9</f>
        <v/>
      </c>
      <c r="AF9" s="104">
        <f>AH9/(AH9+AI9)</f>
        <v/>
      </c>
      <c r="AG9" s="104">
        <f>AJ9/(AJ9+AK9)</f>
        <v/>
      </c>
      <c r="AH9" s="86" t="n">
        <v>156</v>
      </c>
      <c r="AI9" s="86" t="n">
        <v>4</v>
      </c>
      <c r="AJ9" s="86" t="n">
        <v>72</v>
      </c>
      <c r="AK9" s="86" t="n">
        <v>2</v>
      </c>
      <c r="AL9" s="86">
        <f>AN9+AO9</f>
        <v/>
      </c>
      <c r="AM9" s="104">
        <f>AN9/AL9</f>
        <v/>
      </c>
      <c r="AN9" s="104">
        <f>AH9+AI9</f>
        <v/>
      </c>
      <c r="AO9" s="104">
        <f>AK9+AJ9</f>
        <v/>
      </c>
      <c r="AP9" s="104">
        <f>AR9/(AR9+AS9)</f>
        <v/>
      </c>
      <c r="AQ9" s="104">
        <f>AT9/(AT9+AU9)</f>
        <v/>
      </c>
      <c r="AR9" s="86" t="n">
        <v>154</v>
      </c>
      <c r="AS9" s="86" t="n">
        <v>6</v>
      </c>
      <c r="AT9" s="86" t="n">
        <v>71</v>
      </c>
      <c r="AU9" s="86" t="n">
        <v>3</v>
      </c>
    </row>
    <row r="10" ht="16" customHeight="1" s="55">
      <c r="A10" s="88" t="inlineStr">
        <is>
          <t>Li et al. 2024</t>
        </is>
      </c>
      <c r="B10" s="86" t="inlineStr">
        <is>
          <t>DLS</t>
        </is>
      </c>
      <c r="C10" s="86" t="inlineStr">
        <is>
          <t>ophthalmologist</t>
        </is>
      </c>
      <c r="D10" s="86" t="inlineStr">
        <is>
          <t>original</t>
        </is>
      </c>
      <c r="E10" s="86" t="inlineStr">
        <is>
          <t>prospective</t>
        </is>
      </c>
      <c r="F10" s="86" t="inlineStr">
        <is>
          <t>middle</t>
        </is>
      </c>
      <c r="G10" s="86" t="inlineStr">
        <is>
          <t>tertiary</t>
        </is>
      </c>
      <c r="H10" s="5" t="inlineStr">
        <is>
          <t>no</t>
        </is>
      </c>
      <c r="I10" s="86" t="inlineStr">
        <is>
          <t>rdr</t>
        </is>
      </c>
      <c r="J10" s="86" t="inlineStr">
        <is>
          <t>yes</t>
        </is>
      </c>
      <c r="K10" s="86" t="inlineStr">
        <is>
          <t>mixed</t>
        </is>
      </c>
      <c r="L10" s="86" t="inlineStr">
        <is>
          <t>desktop</t>
        </is>
      </c>
      <c r="M10" s="86" t="inlineStr">
        <is>
          <t>mixed</t>
        </is>
      </c>
      <c r="N10" s="86" t="inlineStr">
        <is>
          <t>icdr</t>
        </is>
      </c>
      <c r="O10" s="86" t="inlineStr">
        <is>
          <t>retina specialist</t>
        </is>
      </c>
      <c r="P10" s="86" t="inlineStr">
        <is>
          <t>yes</t>
        </is>
      </c>
      <c r="Q10" s="86" t="inlineStr">
        <is>
          <t>fundus</t>
        </is>
      </c>
      <c r="R10" s="86" t="n">
        <v>1</v>
      </c>
      <c r="S10" s="86" t="inlineStr">
        <is>
          <t>yes</t>
        </is>
      </c>
      <c r="T10" s="86" t="inlineStr">
        <is>
          <t>no</t>
        </is>
      </c>
      <c r="U10" s="86" t="inlineStr">
        <is>
          <t>no</t>
        </is>
      </c>
      <c r="V10" s="86" t="inlineStr">
        <is>
          <t>resnet family</t>
        </is>
      </c>
      <c r="W10" s="86" t="inlineStr">
        <is>
          <t>asia</t>
        </is>
      </c>
      <c r="X10" s="86" t="inlineStr">
        <is>
          <t>high</t>
        </is>
      </c>
      <c r="Y10" s="86" t="inlineStr">
        <is>
          <t>high</t>
        </is>
      </c>
      <c r="Z10" s="86" t="inlineStr">
        <is>
          <t>excluded</t>
        </is>
      </c>
      <c r="AA10" s="86">
        <f>AD10+AE10</f>
        <v/>
      </c>
      <c r="AB10" s="86" t="inlineStr">
        <is>
          <t>Middle</t>
        </is>
      </c>
      <c r="AC10" s="104">
        <f>AD10/AA10</f>
        <v/>
      </c>
      <c r="AD10" s="104">
        <f>AH10+AI10</f>
        <v/>
      </c>
      <c r="AE10" s="104">
        <f>AK10+AJ10</f>
        <v/>
      </c>
      <c r="AF10" s="104">
        <f>AH10/(AH10+AI10)</f>
        <v/>
      </c>
      <c r="AG10" s="104">
        <f>AJ10/(AJ10+AK10)</f>
        <v/>
      </c>
      <c r="AH10" s="86" t="n">
        <v>159</v>
      </c>
      <c r="AI10" s="86" t="n">
        <v>6</v>
      </c>
      <c r="AJ10" s="86" t="n">
        <v>1173</v>
      </c>
      <c r="AK10" s="86" t="n">
        <v>155</v>
      </c>
      <c r="AL10" s="86">
        <f>AN10+AO10</f>
        <v/>
      </c>
      <c r="AM10" s="104">
        <f>AN10/AL10</f>
        <v/>
      </c>
      <c r="AN10" s="104">
        <f>AR10+AS10</f>
        <v/>
      </c>
      <c r="AO10" s="104">
        <f>AU10+AT10</f>
        <v/>
      </c>
      <c r="AP10" s="104">
        <f>AR10/(AR10+AS10)</f>
        <v/>
      </c>
      <c r="AQ10" s="104">
        <f>AT10/(AT10+AU10)</f>
        <v/>
      </c>
      <c r="AR10" s="86" t="n">
        <v>144</v>
      </c>
      <c r="AS10" s="86" t="n">
        <v>21</v>
      </c>
      <c r="AT10" s="86" t="n">
        <v>1292</v>
      </c>
      <c r="AU10" s="86" t="n">
        <v>36</v>
      </c>
      <c r="AW10" s="1" t="n"/>
      <c r="AX10" s="1" t="n"/>
      <c r="AY10" s="1" t="n"/>
    </row>
    <row r="11" ht="16" customHeight="1" s="55">
      <c r="A11" s="88" t="inlineStr">
        <is>
          <t>Pandey et al. 2024</t>
        </is>
      </c>
      <c r="B11" s="86" t="inlineStr">
        <is>
          <t>DCE</t>
        </is>
      </c>
      <c r="C11" s="86" t="inlineStr">
        <is>
          <t>ophthalmologist</t>
        </is>
      </c>
      <c r="D11" s="86" t="inlineStr">
        <is>
          <t>original</t>
        </is>
      </c>
      <c r="E11" s="86" t="inlineStr">
        <is>
          <t>retrospective</t>
        </is>
      </c>
      <c r="F11" s="86" t="inlineStr">
        <is>
          <t>mixed</t>
        </is>
      </c>
      <c r="G11" s="86" t="inlineStr">
        <is>
          <t>public dataset</t>
        </is>
      </c>
      <c r="H11" s="86" t="inlineStr">
        <is>
          <t>no</t>
        </is>
      </c>
      <c r="I11" s="86" t="inlineStr">
        <is>
          <t>dr</t>
        </is>
      </c>
      <c r="J11" s="86" t="inlineStr">
        <is>
          <t>yes</t>
        </is>
      </c>
      <c r="K11" s="86" t="inlineStr">
        <is>
          <t>mixed</t>
        </is>
      </c>
      <c r="L11" s="86" t="inlineStr">
        <is>
          <t>mixed</t>
        </is>
      </c>
      <c r="M11" s="86" t="inlineStr">
        <is>
          <t>mixed</t>
        </is>
      </c>
      <c r="N11" s="86" t="inlineStr">
        <is>
          <t>multiple</t>
        </is>
      </c>
      <c r="O11" s="86" t="inlineStr">
        <is>
          <t>retina specialist</t>
        </is>
      </c>
      <c r="P11" s="86" t="inlineStr">
        <is>
          <t>no</t>
        </is>
      </c>
      <c r="Q11" s="86" t="inlineStr">
        <is>
          <t>fundus</t>
        </is>
      </c>
      <c r="R11" s="86" t="inlineStr">
        <is>
          <t>1</t>
        </is>
      </c>
      <c r="S11" s="86" t="inlineStr">
        <is>
          <t>no</t>
        </is>
      </c>
      <c r="T11" s="86" t="inlineStr">
        <is>
          <t>no</t>
        </is>
      </c>
      <c r="U11" s="86" t="inlineStr">
        <is>
          <t>no</t>
        </is>
      </c>
      <c r="V11" s="86" t="inlineStr">
        <is>
          <t>inception family</t>
        </is>
      </c>
      <c r="W11" s="86" t="inlineStr">
        <is>
          <t>mixed</t>
        </is>
      </c>
      <c r="X11" s="86" t="inlineStr">
        <is>
          <t>high</t>
        </is>
      </c>
      <c r="Y11" s="86" t="inlineStr">
        <is>
          <t>high</t>
        </is>
      </c>
      <c r="Z11" s="86" t="inlineStr">
        <is>
          <t>excluded</t>
        </is>
      </c>
      <c r="AA11" s="86" t="n"/>
      <c r="AB11" s="86" t="n"/>
      <c r="AC11" s="86" t="n"/>
      <c r="AD11" s="86" t="n"/>
      <c r="AE11" s="86" t="n"/>
      <c r="AF11" s="86" t="n"/>
      <c r="AG11" s="86" t="n"/>
      <c r="AH11" s="86" t="n"/>
      <c r="AI11" s="86" t="n"/>
      <c r="AJ11" s="86" t="n"/>
      <c r="AK11" s="86" t="n"/>
      <c r="AL11" s="86" t="n"/>
      <c r="AM11" s="86" t="n"/>
      <c r="AN11" s="86" t="n"/>
      <c r="AO11" s="86" t="n"/>
      <c r="AP11" s="86" t="n"/>
      <c r="AQ11" s="86" t="n"/>
      <c r="AR11" s="86" t="n"/>
      <c r="AS11" s="86" t="n"/>
      <c r="AT11" s="86" t="n"/>
      <c r="AU11" s="86" t="n"/>
    </row>
    <row r="12" ht="16" customHeight="1" s="55">
      <c r="A12" s="88" t="inlineStr">
        <is>
          <t>Dow et al. 2023</t>
        </is>
      </c>
      <c r="B12" s="86" t="inlineStr">
        <is>
          <t>IDx-DR</t>
        </is>
      </c>
      <c r="C12" s="86" t="inlineStr">
        <is>
          <t>retinaspecialist</t>
        </is>
      </c>
      <c r="D12" s="86" t="inlineStr">
        <is>
          <t>original</t>
        </is>
      </c>
      <c r="E12" s="86" t="inlineStr">
        <is>
          <t>retrospective</t>
        </is>
      </c>
      <c r="F12" s="86" t="inlineStr">
        <is>
          <t>high</t>
        </is>
      </c>
      <c r="G12" s="86" t="inlineStr">
        <is>
          <t>primary</t>
        </is>
      </c>
      <c r="H12" s="86" t="inlineStr">
        <is>
          <t>no</t>
        </is>
      </c>
      <c r="I12" s="86" t="inlineStr">
        <is>
          <t>rdr</t>
        </is>
      </c>
      <c r="J12" s="86" t="inlineStr">
        <is>
          <t>no</t>
        </is>
      </c>
      <c r="K12" s="86" t="inlineStr">
        <is>
          <t>no</t>
        </is>
      </c>
      <c r="L12" s="86" t="inlineStr">
        <is>
          <t>desktop</t>
        </is>
      </c>
      <c r="M12" s="86" t="inlineStr">
        <is>
          <t>topcon</t>
        </is>
      </c>
      <c r="N12" s="86" t="inlineStr">
        <is>
          <t>multiple</t>
        </is>
      </c>
      <c r="O12" s="86" t="inlineStr">
        <is>
          <t>retina specialist</t>
        </is>
      </c>
      <c r="P12" s="86" t="inlineStr">
        <is>
          <t>yes</t>
        </is>
      </c>
      <c r="Q12" s="86" t="inlineStr">
        <is>
          <t>with advanced image</t>
        </is>
      </c>
      <c r="R12" s="86" t="inlineStr">
        <is>
          <t>2</t>
        </is>
      </c>
      <c r="S12" s="86" t="inlineStr">
        <is>
          <t>no</t>
        </is>
      </c>
      <c r="T12" s="86" t="inlineStr">
        <is>
          <t>yes</t>
        </is>
      </c>
      <c r="U12" s="86" t="inlineStr">
        <is>
          <t>yes</t>
        </is>
      </c>
      <c r="V12" s="86" t="inlineStr">
        <is>
          <t>inception family</t>
        </is>
      </c>
      <c r="W12" s="86" t="inlineStr">
        <is>
          <t>north america</t>
        </is>
      </c>
      <c r="X12" s="86" t="inlineStr">
        <is>
          <t>low</t>
        </is>
      </c>
      <c r="Y12" s="86" t="inlineStr">
        <is>
          <t>high</t>
        </is>
      </c>
      <c r="Z12" s="86" t="inlineStr">
        <is>
          <t>positive</t>
        </is>
      </c>
      <c r="AA12" s="86" t="n"/>
      <c r="AB12" s="86" t="n"/>
      <c r="AC12" s="86" t="n"/>
      <c r="AD12" s="86" t="n"/>
      <c r="AE12" s="86" t="n"/>
      <c r="AF12" s="86" t="n"/>
      <c r="AG12" s="86" t="n"/>
      <c r="AH12" s="86" t="n"/>
      <c r="AI12" s="86" t="n"/>
      <c r="AJ12" s="86" t="n"/>
      <c r="AK12" s="86" t="n"/>
      <c r="AL12" s="86" t="n"/>
      <c r="AM12" s="86" t="n"/>
      <c r="AN12" s="86" t="n"/>
      <c r="AO12" s="86" t="n"/>
      <c r="AP12" s="86" t="n"/>
      <c r="AQ12" s="86" t="n"/>
      <c r="AR12" s="86" t="n"/>
      <c r="AS12" s="86" t="n"/>
      <c r="AT12" s="86" t="n"/>
      <c r="AU12" s="86" t="n"/>
    </row>
    <row r="13" ht="16" customHeight="1" s="55">
      <c r="A13" s="88" t="inlineStr">
        <is>
          <t>Lim et al. 2023</t>
        </is>
      </c>
      <c r="B13" s="86" t="inlineStr">
        <is>
          <t>EyeArt</t>
        </is>
      </c>
      <c r="C13" s="86" t="inlineStr">
        <is>
          <t>retinaspecialist</t>
        </is>
      </c>
      <c r="D13" s="86" t="inlineStr">
        <is>
          <t>original</t>
        </is>
      </c>
      <c r="E13" s="86" t="inlineStr">
        <is>
          <t>prospective</t>
        </is>
      </c>
      <c r="F13" s="86" t="inlineStr">
        <is>
          <t>high</t>
        </is>
      </c>
      <c r="G13" s="86" t="inlineStr">
        <is>
          <t>tertiary</t>
        </is>
      </c>
      <c r="H13" s="86" t="inlineStr">
        <is>
          <t>no</t>
        </is>
      </c>
      <c r="I13" s="86" t="inlineStr">
        <is>
          <t>rdr</t>
        </is>
      </c>
      <c r="J13" s="86" t="inlineStr">
        <is>
          <t>no</t>
        </is>
      </c>
      <c r="K13" s="86" t="inlineStr">
        <is>
          <t>mixed</t>
        </is>
      </c>
      <c r="L13" s="86" t="inlineStr">
        <is>
          <t>desktop</t>
        </is>
      </c>
      <c r="M13" s="86" t="inlineStr">
        <is>
          <t>canon</t>
        </is>
      </c>
      <c r="N13" s="86" t="inlineStr">
        <is>
          <t>other</t>
        </is>
      </c>
      <c r="O13" s="86" t="inlineStr">
        <is>
          <t>certified graders</t>
        </is>
      </c>
      <c r="P13" s="86" t="inlineStr">
        <is>
          <t>yes</t>
        </is>
      </c>
      <c r="Q13" s="86" t="inlineStr">
        <is>
          <t>with advanced image</t>
        </is>
      </c>
      <c r="R13" s="86" t="inlineStr">
        <is>
          <t>2</t>
        </is>
      </c>
      <c r="S13" s="86" t="inlineStr">
        <is>
          <t>yes</t>
        </is>
      </c>
      <c r="T13" s="86" t="inlineStr">
        <is>
          <t>yes</t>
        </is>
      </c>
      <c r="U13" s="86" t="inlineStr">
        <is>
          <t>yes</t>
        </is>
      </c>
      <c r="V13" s="86" t="inlineStr">
        <is>
          <t>cnn</t>
        </is>
      </c>
      <c r="W13" s="86" t="inlineStr">
        <is>
          <t>north america</t>
        </is>
      </c>
      <c r="X13" s="86" t="inlineStr">
        <is>
          <t>high</t>
        </is>
      </c>
      <c r="Y13" s="86" t="inlineStr">
        <is>
          <t>high</t>
        </is>
      </c>
      <c r="Z13" s="86" t="inlineStr">
        <is>
          <t>positive</t>
        </is>
      </c>
      <c r="AA13" s="86" t="n"/>
      <c r="AB13" s="86" t="n"/>
      <c r="AC13" s="104" t="n"/>
      <c r="AD13" s="104" t="n"/>
      <c r="AE13" s="104" t="n"/>
      <c r="AF13" s="104" t="n"/>
      <c r="AG13" s="104" t="n"/>
      <c r="AH13" s="86" t="n"/>
      <c r="AI13" s="86" t="n"/>
      <c r="AJ13" s="86" t="n"/>
      <c r="AK13" s="86" t="n"/>
      <c r="AL13" s="86" t="n"/>
      <c r="AM13" s="86" t="n"/>
      <c r="AN13" s="86" t="n"/>
      <c r="AO13" s="86" t="n"/>
      <c r="AP13" s="86" t="n"/>
      <c r="AQ13" s="86" t="n"/>
      <c r="AR13" s="86" t="n"/>
      <c r="AS13" s="86" t="n"/>
      <c r="AT13" s="86" t="n"/>
      <c r="AU13" s="86" t="n"/>
    </row>
    <row r="14" ht="16" customHeight="1" s="55">
      <c r="A14" s="88" t="inlineStr">
        <is>
          <t>Lim et al. 2023</t>
        </is>
      </c>
      <c r="B14" s="86" t="inlineStr">
        <is>
          <t>EyeArt</t>
        </is>
      </c>
      <c r="C14" s="86" t="inlineStr">
        <is>
          <t>ophthalmologist</t>
        </is>
      </c>
      <c r="D14" s="86" t="inlineStr">
        <is>
          <t>original</t>
        </is>
      </c>
      <c r="E14" s="86" t="inlineStr">
        <is>
          <t>prospective</t>
        </is>
      </c>
      <c r="F14" s="86" t="inlineStr">
        <is>
          <t>high</t>
        </is>
      </c>
      <c r="G14" s="86" t="inlineStr">
        <is>
          <t>tertiary</t>
        </is>
      </c>
      <c r="H14" s="86" t="inlineStr">
        <is>
          <t>no</t>
        </is>
      </c>
      <c r="I14" s="86" t="inlineStr">
        <is>
          <t>rdr</t>
        </is>
      </c>
      <c r="J14" s="86" t="inlineStr">
        <is>
          <t>no</t>
        </is>
      </c>
      <c r="K14" s="86" t="inlineStr">
        <is>
          <t>mixed</t>
        </is>
      </c>
      <c r="L14" s="86" t="inlineStr">
        <is>
          <t>desktop</t>
        </is>
      </c>
      <c r="M14" s="86" t="inlineStr">
        <is>
          <t>canon</t>
        </is>
      </c>
      <c r="N14" s="86" t="inlineStr">
        <is>
          <t>other</t>
        </is>
      </c>
      <c r="O14" s="86" t="inlineStr">
        <is>
          <t>certified graders</t>
        </is>
      </c>
      <c r="P14" s="86" t="inlineStr">
        <is>
          <t>yes</t>
        </is>
      </c>
      <c r="Q14" s="86" t="inlineStr">
        <is>
          <t>with advanced image</t>
        </is>
      </c>
      <c r="R14" s="86" t="inlineStr">
        <is>
          <t>2</t>
        </is>
      </c>
      <c r="S14" s="86" t="inlineStr">
        <is>
          <t>yes</t>
        </is>
      </c>
      <c r="T14" s="86" t="inlineStr">
        <is>
          <t>yes</t>
        </is>
      </c>
      <c r="U14" s="86" t="inlineStr">
        <is>
          <t>yes</t>
        </is>
      </c>
      <c r="V14" s="86" t="inlineStr">
        <is>
          <t>cnn</t>
        </is>
      </c>
      <c r="W14" s="86" t="inlineStr">
        <is>
          <t>north america</t>
        </is>
      </c>
      <c r="X14" s="86" t="inlineStr">
        <is>
          <t>high</t>
        </is>
      </c>
      <c r="Y14" s="86" t="inlineStr">
        <is>
          <t>high</t>
        </is>
      </c>
      <c r="Z14" s="86" t="inlineStr">
        <is>
          <t>positive</t>
        </is>
      </c>
      <c r="AA14" s="86" t="n"/>
      <c r="AB14" s="86" t="n"/>
      <c r="AC14" s="86" t="n"/>
      <c r="AD14" s="86" t="n"/>
      <c r="AE14" s="86" t="n"/>
      <c r="AF14" s="86" t="n"/>
      <c r="AG14" s="86" t="n"/>
      <c r="AH14" s="86" t="n"/>
      <c r="AI14" s="86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86" t="n"/>
      <c r="AS14" s="86" t="n"/>
      <c r="AT14" s="86" t="n"/>
      <c r="AU14" s="86" t="n"/>
    </row>
    <row r="15" ht="16" customHeight="1" s="55">
      <c r="A15" s="28" t="inlineStr">
        <is>
          <t>Núñez do Rio et al. 2023</t>
        </is>
      </c>
      <c r="B15" s="86" t="inlineStr">
        <is>
          <t>SMART-India DLS</t>
        </is>
      </c>
      <c r="C15" s="86" t="inlineStr">
        <is>
          <t>trainedgrader</t>
        </is>
      </c>
      <c r="D15" s="86" t="inlineStr">
        <is>
          <t>original</t>
        </is>
      </c>
      <c r="E15" s="5" t="inlineStr">
        <is>
          <t>prospective</t>
        </is>
      </c>
      <c r="F15" s="5" t="inlineStr">
        <is>
          <t>middle</t>
        </is>
      </c>
      <c r="G15" s="5" t="inlineStr">
        <is>
          <t>primary</t>
        </is>
      </c>
      <c r="H15" s="5" t="inlineStr">
        <is>
          <t>no</t>
        </is>
      </c>
      <c r="I15" s="5" t="inlineStr">
        <is>
          <t>rdr</t>
        </is>
      </c>
      <c r="J15" s="5" t="inlineStr">
        <is>
          <t>no</t>
        </is>
      </c>
      <c r="K15" s="5" t="inlineStr">
        <is>
          <t>no</t>
        </is>
      </c>
      <c r="L15" s="5" t="inlineStr">
        <is>
          <t>portable</t>
        </is>
      </c>
      <c r="M15" s="5" t="inlineStr">
        <is>
          <t>zeiss</t>
        </is>
      </c>
      <c r="N15" s="86" t="inlineStr">
        <is>
          <t>icdr</t>
        </is>
      </c>
      <c r="O15" s="5" t="inlineStr">
        <is>
          <t>retina specialist</t>
        </is>
      </c>
      <c r="P15" s="5" t="inlineStr">
        <is>
          <t>no</t>
        </is>
      </c>
      <c r="Q15" s="5" t="inlineStr">
        <is>
          <t>fundus</t>
        </is>
      </c>
      <c r="R15" s="5" t="inlineStr">
        <is>
          <t>2</t>
        </is>
      </c>
      <c r="S15" s="5" t="inlineStr">
        <is>
          <t>no</t>
        </is>
      </c>
      <c r="T15" s="5" t="inlineStr">
        <is>
          <t>no</t>
        </is>
      </c>
      <c r="U15" s="5" t="inlineStr">
        <is>
          <t>no</t>
        </is>
      </c>
      <c r="V15" s="5" t="inlineStr">
        <is>
          <t>resnet family</t>
        </is>
      </c>
      <c r="W15" s="5" t="inlineStr">
        <is>
          <t>asia</t>
        </is>
      </c>
      <c r="X15" s="86" t="inlineStr">
        <is>
          <t>high</t>
        </is>
      </c>
      <c r="Y15" s="86" t="inlineStr">
        <is>
          <t>high</t>
        </is>
      </c>
      <c r="Z15" s="86" t="inlineStr">
        <is>
          <t>excluded</t>
        </is>
      </c>
      <c r="AA15" s="86">
        <f>AD15+AE15</f>
        <v/>
      </c>
      <c r="AB15" s="86" t="inlineStr">
        <is>
          <t>Middle</t>
        </is>
      </c>
      <c r="AC15" s="104">
        <f>AD15/AA15</f>
        <v/>
      </c>
      <c r="AD15" s="104">
        <f>AH15+AI15</f>
        <v/>
      </c>
      <c r="AE15" s="104">
        <f>AK15+AJ15</f>
        <v/>
      </c>
      <c r="AF15" s="104">
        <f>AH15/(AH15+AI15)</f>
        <v/>
      </c>
      <c r="AG15" s="104">
        <f>AJ15/(AJ15+AK15)</f>
        <v/>
      </c>
      <c r="AH15" s="86" t="n">
        <v>3135</v>
      </c>
      <c r="AI15" s="86" t="n">
        <v>603</v>
      </c>
      <c r="AJ15" s="86" t="n">
        <v>12009</v>
      </c>
      <c r="AK15" s="86" t="n">
        <v>500</v>
      </c>
      <c r="AL15" s="86">
        <f>AN15+AO15</f>
        <v/>
      </c>
      <c r="AM15" s="104">
        <f>AN15/AL15</f>
        <v/>
      </c>
      <c r="AN15" s="104">
        <f>AH15+AI15</f>
        <v/>
      </c>
      <c r="AO15" s="104">
        <f>AK15+AJ15</f>
        <v/>
      </c>
      <c r="AP15" s="104">
        <f>AR15/(AR15+AS15)</f>
        <v/>
      </c>
      <c r="AQ15" s="104">
        <f>AT15/(AT15+AU15)</f>
        <v/>
      </c>
      <c r="AR15" s="86" t="n">
        <v>3240</v>
      </c>
      <c r="AS15" s="86" t="n">
        <v>498</v>
      </c>
      <c r="AT15" s="86" t="n">
        <v>12313</v>
      </c>
      <c r="AU15" s="86" t="n">
        <v>196</v>
      </c>
    </row>
    <row r="16" ht="16" customHeight="1" s="55">
      <c r="A16" s="28" t="inlineStr">
        <is>
          <t>Li et al. 2022</t>
        </is>
      </c>
      <c r="B16" s="86" t="inlineStr">
        <is>
          <t>AI-100</t>
        </is>
      </c>
      <c r="C16" s="86" t="inlineStr">
        <is>
          <t>ophthalmologist</t>
        </is>
      </c>
      <c r="D16" s="86" t="inlineStr">
        <is>
          <t>original</t>
        </is>
      </c>
      <c r="E16" s="86" t="inlineStr">
        <is>
          <t>prospective</t>
        </is>
      </c>
      <c r="F16" s="86" t="inlineStr">
        <is>
          <t>middle</t>
        </is>
      </c>
      <c r="G16" s="86" t="inlineStr">
        <is>
          <t>tertiary</t>
        </is>
      </c>
      <c r="H16" s="5" t="inlineStr">
        <is>
          <t>no</t>
        </is>
      </c>
      <c r="I16" s="86" t="inlineStr">
        <is>
          <t>rdr</t>
        </is>
      </c>
      <c r="J16" s="86" t="inlineStr">
        <is>
          <t>yes</t>
        </is>
      </c>
      <c r="K16" s="86" t="inlineStr">
        <is>
          <t>no</t>
        </is>
      </c>
      <c r="L16" s="86" t="inlineStr">
        <is>
          <t>desktop</t>
        </is>
      </c>
      <c r="M16" s="86" t="inlineStr">
        <is>
          <t>mixed</t>
        </is>
      </c>
      <c r="N16" s="86" t="inlineStr">
        <is>
          <t>icdr</t>
        </is>
      </c>
      <c r="O16" s="86" t="inlineStr">
        <is>
          <t>ophthalmologist</t>
        </is>
      </c>
      <c r="P16" s="86" t="inlineStr">
        <is>
          <t>yes</t>
        </is>
      </c>
      <c r="Q16" s="86" t="inlineStr">
        <is>
          <t>fundus</t>
        </is>
      </c>
      <c r="R16" s="86" t="inlineStr">
        <is>
          <t>1</t>
        </is>
      </c>
      <c r="S16" s="86" t="inlineStr">
        <is>
          <t>yes</t>
        </is>
      </c>
      <c r="T16" s="86" t="inlineStr">
        <is>
          <t>yes</t>
        </is>
      </c>
      <c r="U16" s="86" t="inlineStr">
        <is>
          <t>yes</t>
        </is>
      </c>
      <c r="V16" s="5" t="inlineStr">
        <is>
          <t>densenet family</t>
        </is>
      </c>
      <c r="W16" s="86" t="inlineStr">
        <is>
          <t>asia</t>
        </is>
      </c>
      <c r="X16" s="86" t="inlineStr">
        <is>
          <t>high</t>
        </is>
      </c>
      <c r="Y16" s="86" t="inlineStr">
        <is>
          <t>high</t>
        </is>
      </c>
      <c r="Z16" s="86" t="inlineStr">
        <is>
          <t>excluded</t>
        </is>
      </c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6" t="n"/>
      <c r="AS16" s="86" t="n"/>
      <c r="AT16" s="86" t="n"/>
      <c r="AU16" s="86" t="n"/>
    </row>
    <row r="17" ht="16" customHeight="1" s="55">
      <c r="A17" s="28" t="inlineStr">
        <is>
          <t>Li et al. 2022</t>
        </is>
      </c>
      <c r="B17" s="86" t="inlineStr">
        <is>
          <t>AI-100</t>
        </is>
      </c>
      <c r="C17" s="86" t="inlineStr">
        <is>
          <t>ophthalmologist</t>
        </is>
      </c>
      <c r="D17" s="86" t="inlineStr">
        <is>
          <t>original</t>
        </is>
      </c>
      <c r="E17" s="86" t="inlineStr">
        <is>
          <t>prospective</t>
        </is>
      </c>
      <c r="F17" s="86" t="inlineStr">
        <is>
          <t>middle</t>
        </is>
      </c>
      <c r="G17" s="86" t="inlineStr">
        <is>
          <t>tertiary</t>
        </is>
      </c>
      <c r="H17" s="5" t="inlineStr">
        <is>
          <t>no</t>
        </is>
      </c>
      <c r="I17" s="86" t="inlineStr">
        <is>
          <t>rdr</t>
        </is>
      </c>
      <c r="J17" s="86" t="inlineStr">
        <is>
          <t>yes</t>
        </is>
      </c>
      <c r="K17" s="86" t="inlineStr">
        <is>
          <t>no</t>
        </is>
      </c>
      <c r="L17" s="86" t="inlineStr">
        <is>
          <t>desktop</t>
        </is>
      </c>
      <c r="M17" s="86" t="inlineStr">
        <is>
          <t>mixed</t>
        </is>
      </c>
      <c r="N17" s="86" t="inlineStr">
        <is>
          <t>icdr</t>
        </is>
      </c>
      <c r="O17" s="86" t="inlineStr">
        <is>
          <t>ophthalmologist</t>
        </is>
      </c>
      <c r="P17" s="86" t="inlineStr">
        <is>
          <t>yes</t>
        </is>
      </c>
      <c r="Q17" s="86" t="inlineStr">
        <is>
          <t>fundus</t>
        </is>
      </c>
      <c r="R17" s="86" t="inlineStr">
        <is>
          <t>1</t>
        </is>
      </c>
      <c r="S17" s="86" t="inlineStr">
        <is>
          <t>yes</t>
        </is>
      </c>
      <c r="T17" s="86" t="inlineStr">
        <is>
          <t>yes</t>
        </is>
      </c>
      <c r="U17" s="86" t="inlineStr">
        <is>
          <t>yes</t>
        </is>
      </c>
      <c r="V17" s="5" t="inlineStr">
        <is>
          <t>densenet family</t>
        </is>
      </c>
      <c r="W17" s="86" t="inlineStr">
        <is>
          <t>asia</t>
        </is>
      </c>
      <c r="X17" s="86" t="inlineStr">
        <is>
          <t>high</t>
        </is>
      </c>
      <c r="Y17" s="86" t="inlineStr">
        <is>
          <t>high</t>
        </is>
      </c>
      <c r="Z17" s="86" t="inlineStr">
        <is>
          <t>excluded</t>
        </is>
      </c>
      <c r="AA17" s="86" t="n"/>
      <c r="AB17" s="86" t="n"/>
      <c r="AC17" s="86" t="n"/>
      <c r="AD17" s="86" t="n"/>
      <c r="AE17" s="86" t="n"/>
      <c r="AF17" s="86" t="n"/>
      <c r="AG17" s="86" t="n"/>
      <c r="AH17" s="86" t="n"/>
      <c r="AI17" s="86" t="n"/>
      <c r="AJ17" s="86" t="n"/>
      <c r="AK17" s="86" t="n"/>
      <c r="AL17" s="86" t="n"/>
      <c r="AM17" s="86" t="n"/>
      <c r="AN17" s="86" t="n"/>
      <c r="AO17" s="86" t="n"/>
      <c r="AP17" s="86" t="n"/>
      <c r="AQ17" s="86" t="n"/>
      <c r="AR17" s="86" t="n"/>
      <c r="AS17" s="86" t="n"/>
      <c r="AT17" s="86" t="n"/>
      <c r="AU17" s="86" t="n"/>
    </row>
    <row r="18" ht="16" customHeight="1" s="55">
      <c r="A18" s="88" t="inlineStr">
        <is>
          <t>Ruamviboonsuk et al. 2022</t>
        </is>
      </c>
      <c r="B18" s="86" t="inlineStr">
        <is>
          <t>ARDA</t>
        </is>
      </c>
      <c r="C18" s="86" t="inlineStr">
        <is>
          <t>retinaspecialist</t>
        </is>
      </c>
      <c r="D18" s="86" t="inlineStr">
        <is>
          <t>original</t>
        </is>
      </c>
      <c r="E18" s="5" t="inlineStr">
        <is>
          <t>prospective</t>
        </is>
      </c>
      <c r="F18" s="5" t="inlineStr">
        <is>
          <t>middle</t>
        </is>
      </c>
      <c r="G18" s="5" t="inlineStr">
        <is>
          <t>primary</t>
        </is>
      </c>
      <c r="H18" s="86" t="inlineStr">
        <is>
          <t>yes</t>
        </is>
      </c>
      <c r="I18" s="86" t="inlineStr">
        <is>
          <t>vtdr</t>
        </is>
      </c>
      <c r="J18" s="86" t="inlineStr">
        <is>
          <t>no</t>
        </is>
      </c>
      <c r="K18" s="86" t="inlineStr">
        <is>
          <t>no</t>
        </is>
      </c>
      <c r="L18" s="86" t="inlineStr">
        <is>
          <t>desktop</t>
        </is>
      </c>
      <c r="M18" s="86" t="inlineStr">
        <is>
          <t>mixed</t>
        </is>
      </c>
      <c r="N18" s="86" t="inlineStr">
        <is>
          <t>icdr</t>
        </is>
      </c>
      <c r="O18" s="86" t="inlineStr">
        <is>
          <t>retina specialist</t>
        </is>
      </c>
      <c r="P18" s="86" t="inlineStr">
        <is>
          <t>yes</t>
        </is>
      </c>
      <c r="Q18" s="86" t="inlineStr">
        <is>
          <t>fundus</t>
        </is>
      </c>
      <c r="R18" s="86" t="inlineStr">
        <is>
          <t>1</t>
        </is>
      </c>
      <c r="S18" s="86" t="inlineStr">
        <is>
          <t>yes</t>
        </is>
      </c>
      <c r="T18" s="86" t="inlineStr">
        <is>
          <t>yes</t>
        </is>
      </c>
      <c r="U18" s="86" t="inlineStr">
        <is>
          <t>yes</t>
        </is>
      </c>
      <c r="V18" s="86" t="inlineStr">
        <is>
          <t>inception family</t>
        </is>
      </c>
      <c r="W18" s="86" t="inlineStr">
        <is>
          <t>asia</t>
        </is>
      </c>
      <c r="X18" s="86" t="inlineStr">
        <is>
          <t>high</t>
        </is>
      </c>
      <c r="Y18" s="86" t="inlineStr">
        <is>
          <t>low</t>
        </is>
      </c>
      <c r="Z18" s="86" t="inlineStr">
        <is>
          <t>positive</t>
        </is>
      </c>
      <c r="AA18" s="86">
        <f>AD18+AE18</f>
        <v/>
      </c>
      <c r="AB18" s="86" t="inlineStr">
        <is>
          <t>Middle</t>
        </is>
      </c>
      <c r="AC18" s="104">
        <f>AD18/AA18</f>
        <v/>
      </c>
      <c r="AD18" s="104">
        <f>AH18+AI18</f>
        <v/>
      </c>
      <c r="AE18" s="104">
        <f>AK18+AJ18</f>
        <v/>
      </c>
      <c r="AF18" s="104">
        <f>AH18/(AH18+AI18)</f>
        <v/>
      </c>
      <c r="AG18" s="104">
        <f>AJ18/(AJ18+AK18)</f>
        <v/>
      </c>
      <c r="AH18" s="86" t="n">
        <v>150</v>
      </c>
      <c r="AI18" s="86" t="n">
        <v>14</v>
      </c>
      <c r="AJ18" s="86" t="n">
        <v>793</v>
      </c>
      <c r="AK18" s="86" t="n">
        <v>30</v>
      </c>
      <c r="AL18" s="86">
        <f>AN18+AO18</f>
        <v/>
      </c>
      <c r="AM18" s="104">
        <f>AN18/AL18</f>
        <v/>
      </c>
      <c r="AN18" s="104">
        <f>AR18+AS18</f>
        <v/>
      </c>
      <c r="AO18" s="104">
        <f>AU18+AT18</f>
        <v/>
      </c>
      <c r="AP18" s="104">
        <f>AR18/(AR18+AS18)</f>
        <v/>
      </c>
      <c r="AQ18" s="104">
        <f>AT18/(AT18+AU18)</f>
        <v/>
      </c>
      <c r="AR18" s="86" t="n">
        <v>147</v>
      </c>
      <c r="AS18" s="86" t="n">
        <v>17</v>
      </c>
      <c r="AT18" s="86" t="n">
        <v>785</v>
      </c>
      <c r="AU18" s="86" t="n">
        <v>38</v>
      </c>
    </row>
    <row r="19" ht="16" customHeight="1" s="55">
      <c r="A19" s="28" t="inlineStr">
        <is>
          <t>Zhang et al. 2022</t>
        </is>
      </c>
      <c r="B19" s="86" t="inlineStr">
        <is>
          <t>DGCN</t>
        </is>
      </c>
      <c r="C19" s="86" t="inlineStr">
        <is>
          <t>retinaspecialist</t>
        </is>
      </c>
      <c r="D19" s="86" t="inlineStr">
        <is>
          <t>original</t>
        </is>
      </c>
      <c r="E19" s="86" t="inlineStr">
        <is>
          <t>retrospective</t>
        </is>
      </c>
      <c r="F19" s="86" t="inlineStr">
        <is>
          <t>high</t>
        </is>
      </c>
      <c r="G19" s="86" t="inlineStr">
        <is>
          <t>public dataset</t>
        </is>
      </c>
      <c r="H19" s="5" t="inlineStr">
        <is>
          <t>no</t>
        </is>
      </c>
      <c r="I19" s="86" t="inlineStr">
        <is>
          <t>dr</t>
        </is>
      </c>
      <c r="J19" s="86" t="inlineStr">
        <is>
          <t>no</t>
        </is>
      </c>
      <c r="K19" s="86" t="inlineStr">
        <is>
          <t>mixed</t>
        </is>
      </c>
      <c r="L19" s="86" t="inlineStr">
        <is>
          <t>mixed</t>
        </is>
      </c>
      <c r="M19" s="86" t="inlineStr">
        <is>
          <t>mixed</t>
        </is>
      </c>
      <c r="N19" s="86" t="inlineStr">
        <is>
          <t>icdr</t>
        </is>
      </c>
      <c r="O19" s="86" t="inlineStr">
        <is>
          <t>ophthalmologist</t>
        </is>
      </c>
      <c r="P19" s="86" t="inlineStr">
        <is>
          <t>yes</t>
        </is>
      </c>
      <c r="Q19" s="86" t="inlineStr">
        <is>
          <t>fundus</t>
        </is>
      </c>
      <c r="R19" s="86" t="inlineStr">
        <is>
          <t>1</t>
        </is>
      </c>
      <c r="S19" s="86" t="inlineStr">
        <is>
          <t>no</t>
        </is>
      </c>
      <c r="T19" s="86" t="inlineStr">
        <is>
          <t>no</t>
        </is>
      </c>
      <c r="U19" s="86" t="inlineStr">
        <is>
          <t>no</t>
        </is>
      </c>
      <c r="V19" s="5" t="inlineStr">
        <is>
          <t>resnet family</t>
        </is>
      </c>
      <c r="W19" s="86" t="inlineStr">
        <is>
          <t>north america</t>
        </is>
      </c>
      <c r="X19" s="86" t="inlineStr">
        <is>
          <t>high</t>
        </is>
      </c>
      <c r="Y19" s="86" t="inlineStr">
        <is>
          <t>high</t>
        </is>
      </c>
      <c r="Z19" s="86" t="inlineStr">
        <is>
          <t>excluded</t>
        </is>
      </c>
      <c r="AA19" s="86">
        <f>AD19+AE19</f>
        <v/>
      </c>
      <c r="AB19" s="86" t="inlineStr">
        <is>
          <t>High</t>
        </is>
      </c>
      <c r="AC19" s="104">
        <f>AD19/AA19</f>
        <v/>
      </c>
      <c r="AD19" s="104">
        <f>AH19+AI19</f>
        <v/>
      </c>
      <c r="AE19" s="104">
        <f>AK19+AJ19</f>
        <v/>
      </c>
      <c r="AF19" s="104">
        <f>AH19/(AH19+AI19)</f>
        <v/>
      </c>
      <c r="AG19" s="104">
        <f>AJ19/(AJ19+AK19)</f>
        <v/>
      </c>
      <c r="AH19" s="86" t="n">
        <v>7065</v>
      </c>
      <c r="AI19" s="86" t="n">
        <v>945</v>
      </c>
      <c r="AJ19" s="86" t="n">
        <v>2078</v>
      </c>
      <c r="AK19" s="86" t="n">
        <v>198</v>
      </c>
      <c r="AL19" s="86">
        <f>AN19+AO19</f>
        <v/>
      </c>
      <c r="AM19" s="104">
        <f>AN19/AL19</f>
        <v/>
      </c>
      <c r="AN19" s="104">
        <f>AR19+AS19</f>
        <v/>
      </c>
      <c r="AO19" s="104">
        <f>AU19+AT19</f>
        <v/>
      </c>
      <c r="AP19" s="104">
        <f>AR19/(AR19+AS19)</f>
        <v/>
      </c>
      <c r="AQ19" s="104">
        <f>AT19/(AT19+AU19)</f>
        <v/>
      </c>
      <c r="AR19" s="86" t="n">
        <v>7169</v>
      </c>
      <c r="AS19" s="86" t="n">
        <v>841</v>
      </c>
      <c r="AT19" s="86" t="n">
        <v>2121</v>
      </c>
      <c r="AU19" s="86" t="n">
        <v>155</v>
      </c>
    </row>
    <row r="20" ht="16" customHeight="1" s="55">
      <c r="A20" s="28" t="inlineStr">
        <is>
          <t>Zhang et al. 2022</t>
        </is>
      </c>
      <c r="B20" s="86" t="inlineStr">
        <is>
          <t>DGCN</t>
        </is>
      </c>
      <c r="C20" s="86" t="inlineStr">
        <is>
          <t>trainedgrader</t>
        </is>
      </c>
      <c r="D20" s="86" t="inlineStr">
        <is>
          <t>original</t>
        </is>
      </c>
      <c r="E20" s="86" t="inlineStr">
        <is>
          <t>retrospective</t>
        </is>
      </c>
      <c r="F20" s="86" t="inlineStr">
        <is>
          <t>high</t>
        </is>
      </c>
      <c r="G20" s="86" t="inlineStr">
        <is>
          <t>public dataset</t>
        </is>
      </c>
      <c r="H20" s="5" t="inlineStr">
        <is>
          <t>no</t>
        </is>
      </c>
      <c r="I20" s="86" t="inlineStr">
        <is>
          <t>dr</t>
        </is>
      </c>
      <c r="J20" s="86" t="inlineStr">
        <is>
          <t>no</t>
        </is>
      </c>
      <c r="K20" s="86" t="inlineStr">
        <is>
          <t>mixed</t>
        </is>
      </c>
      <c r="L20" s="86" t="inlineStr">
        <is>
          <t>mixed</t>
        </is>
      </c>
      <c r="M20" s="86" t="inlineStr">
        <is>
          <t>mixed</t>
        </is>
      </c>
      <c r="N20" s="86" t="inlineStr">
        <is>
          <t>icdr</t>
        </is>
      </c>
      <c r="O20" s="86" t="inlineStr">
        <is>
          <t>ophthalmologist</t>
        </is>
      </c>
      <c r="P20" s="86" t="inlineStr">
        <is>
          <t>yes</t>
        </is>
      </c>
      <c r="Q20" s="86" t="inlineStr">
        <is>
          <t>fundus</t>
        </is>
      </c>
      <c r="R20" s="86" t="inlineStr">
        <is>
          <t>1</t>
        </is>
      </c>
      <c r="S20" s="86" t="inlineStr">
        <is>
          <t>no</t>
        </is>
      </c>
      <c r="T20" s="86" t="inlineStr">
        <is>
          <t>no</t>
        </is>
      </c>
      <c r="U20" s="86" t="inlineStr">
        <is>
          <t>no</t>
        </is>
      </c>
      <c r="V20" s="5" t="inlineStr">
        <is>
          <t>resnet family</t>
        </is>
      </c>
      <c r="W20" s="86" t="inlineStr">
        <is>
          <t>north america</t>
        </is>
      </c>
      <c r="X20" s="86" t="inlineStr">
        <is>
          <t>high</t>
        </is>
      </c>
      <c r="Y20" s="86" t="inlineStr">
        <is>
          <t>high</t>
        </is>
      </c>
      <c r="Z20" s="86" t="inlineStr">
        <is>
          <t>excluded</t>
        </is>
      </c>
      <c r="AA20" s="86">
        <f>AD20+AE20</f>
        <v/>
      </c>
      <c r="AB20" s="86" t="inlineStr">
        <is>
          <t>High</t>
        </is>
      </c>
      <c r="AC20" s="104">
        <f>AD20/AA20</f>
        <v/>
      </c>
      <c r="AD20" s="104">
        <f>AH20+AI20</f>
        <v/>
      </c>
      <c r="AE20" s="104">
        <f>AK20+AJ20</f>
        <v/>
      </c>
      <c r="AF20" s="104">
        <f>AH20/(AH20+AI20)</f>
        <v/>
      </c>
      <c r="AG20" s="104">
        <f>AJ20/(AJ20+AK20)</f>
        <v/>
      </c>
      <c r="AH20" s="86" t="n">
        <v>7065</v>
      </c>
      <c r="AI20" s="86" t="n">
        <v>945</v>
      </c>
      <c r="AJ20" s="86" t="n">
        <v>2078</v>
      </c>
      <c r="AK20" s="86" t="n">
        <v>198</v>
      </c>
      <c r="AL20" s="86">
        <f>AN20+AO20</f>
        <v/>
      </c>
      <c r="AM20" s="104">
        <f>AN20/AL20</f>
        <v/>
      </c>
      <c r="AN20" s="104">
        <f>AR20+AS20</f>
        <v/>
      </c>
      <c r="AO20" s="104">
        <f>AU20+AT20</f>
        <v/>
      </c>
      <c r="AP20" s="104">
        <f>AR20/(AR20+AS20)</f>
        <v/>
      </c>
      <c r="AQ20" s="104">
        <f>AT20/(AT20+AU20)</f>
        <v/>
      </c>
      <c r="AR20" s="86" t="n">
        <v>6921</v>
      </c>
      <c r="AS20" s="86" t="n">
        <v>1089</v>
      </c>
      <c r="AT20" s="86" t="n">
        <v>2058</v>
      </c>
      <c r="AU20" s="86" t="n">
        <v>218</v>
      </c>
    </row>
    <row r="21" ht="16" customHeight="1" s="55">
      <c r="A21" s="28" t="inlineStr">
        <is>
          <t>Zhang et al. 2022</t>
        </is>
      </c>
      <c r="B21" s="86" t="inlineStr">
        <is>
          <t>DGCN</t>
        </is>
      </c>
      <c r="C21" s="86" t="inlineStr">
        <is>
          <t>retinaspecialist</t>
        </is>
      </c>
      <c r="D21" s="86" t="inlineStr">
        <is>
          <t>original</t>
        </is>
      </c>
      <c r="E21" s="86" t="inlineStr">
        <is>
          <t>retrospective</t>
        </is>
      </c>
      <c r="F21" s="86" t="inlineStr">
        <is>
          <t>high</t>
        </is>
      </c>
      <c r="G21" s="86" t="inlineStr">
        <is>
          <t>public dataset</t>
        </is>
      </c>
      <c r="H21" s="5" t="inlineStr">
        <is>
          <t>no</t>
        </is>
      </c>
      <c r="I21" s="5" t="inlineStr">
        <is>
          <t>rdr</t>
        </is>
      </c>
      <c r="J21" s="86" t="inlineStr">
        <is>
          <t>no</t>
        </is>
      </c>
      <c r="K21" s="86" t="inlineStr">
        <is>
          <t>mixed</t>
        </is>
      </c>
      <c r="L21" s="86" t="inlineStr">
        <is>
          <t>mixed</t>
        </is>
      </c>
      <c r="M21" s="86" t="inlineStr">
        <is>
          <t>mixed</t>
        </is>
      </c>
      <c r="N21" s="86" t="inlineStr">
        <is>
          <t>icdr</t>
        </is>
      </c>
      <c r="O21" s="86" t="inlineStr">
        <is>
          <t>ophthalmologist</t>
        </is>
      </c>
      <c r="P21" s="86" t="inlineStr">
        <is>
          <t>yes</t>
        </is>
      </c>
      <c r="Q21" s="86" t="inlineStr">
        <is>
          <t>fundus</t>
        </is>
      </c>
      <c r="R21" s="86" t="inlineStr">
        <is>
          <t>1</t>
        </is>
      </c>
      <c r="S21" s="86" t="inlineStr">
        <is>
          <t>no</t>
        </is>
      </c>
      <c r="T21" s="86" t="inlineStr">
        <is>
          <t>no</t>
        </is>
      </c>
      <c r="U21" s="86" t="inlineStr">
        <is>
          <t>no</t>
        </is>
      </c>
      <c r="V21" s="5" t="inlineStr">
        <is>
          <t>resnet family</t>
        </is>
      </c>
      <c r="W21" s="86" t="inlineStr">
        <is>
          <t>europe</t>
        </is>
      </c>
      <c r="X21" s="86" t="inlineStr">
        <is>
          <t>high</t>
        </is>
      </c>
      <c r="Y21" s="86" t="inlineStr">
        <is>
          <t>high</t>
        </is>
      </c>
      <c r="Z21" s="86" t="inlineStr">
        <is>
          <t>excluded</t>
        </is>
      </c>
      <c r="AA21" s="86">
        <f>AD21+AE21</f>
        <v/>
      </c>
      <c r="AB21" s="86" t="inlineStr">
        <is>
          <t>Middle</t>
        </is>
      </c>
      <c r="AC21" s="104">
        <f>AD21/AA21</f>
        <v/>
      </c>
      <c r="AD21" s="104">
        <f>AH21+AI21</f>
        <v/>
      </c>
      <c r="AE21" s="104">
        <f>AK21+AJ21</f>
        <v/>
      </c>
      <c r="AF21" s="104">
        <f>AH21/(AH21+AI21)</f>
        <v/>
      </c>
      <c r="AG21" s="104">
        <f>AJ21/(AJ21+AK21)</f>
        <v/>
      </c>
      <c r="AH21" s="86" t="n">
        <v>229</v>
      </c>
      <c r="AI21" s="86" t="n">
        <v>25</v>
      </c>
      <c r="AJ21" s="86" t="n">
        <v>1389</v>
      </c>
      <c r="AK21" s="86" t="n">
        <v>105</v>
      </c>
      <c r="AL21" s="86">
        <f>AN21+AO21</f>
        <v/>
      </c>
      <c r="AM21" s="104">
        <f>AN21/AL21</f>
        <v/>
      </c>
      <c r="AN21" s="104">
        <f>AR21+AS21</f>
        <v/>
      </c>
      <c r="AO21" s="104">
        <f>AU21+AT21</f>
        <v/>
      </c>
      <c r="AP21" s="104">
        <f>AR21/(AR21+AS21)</f>
        <v/>
      </c>
      <c r="AQ21" s="104">
        <f>AT21/(AT21+AU21)</f>
        <v/>
      </c>
      <c r="AR21" s="86" t="n">
        <v>231</v>
      </c>
      <c r="AS21" s="86" t="n">
        <v>23</v>
      </c>
      <c r="AT21" s="86" t="n">
        <v>1419</v>
      </c>
      <c r="AU21" s="86" t="n">
        <v>75</v>
      </c>
    </row>
    <row r="22" ht="17" customHeight="1" s="55">
      <c r="A22" s="28" t="inlineStr">
        <is>
          <t>Zhang et al. 2022</t>
        </is>
      </c>
      <c r="B22" s="86" t="inlineStr">
        <is>
          <t>DGCN</t>
        </is>
      </c>
      <c r="C22" s="86" t="inlineStr">
        <is>
          <t>trainedgrader</t>
        </is>
      </c>
      <c r="D22" s="86" t="inlineStr">
        <is>
          <t>original</t>
        </is>
      </c>
      <c r="E22" s="86" t="inlineStr">
        <is>
          <t>retrospective</t>
        </is>
      </c>
      <c r="F22" s="86" t="inlineStr">
        <is>
          <t>high</t>
        </is>
      </c>
      <c r="G22" s="86" t="inlineStr">
        <is>
          <t>public dataset</t>
        </is>
      </c>
      <c r="H22" s="5" t="inlineStr">
        <is>
          <t>no</t>
        </is>
      </c>
      <c r="I22" s="5" t="inlineStr">
        <is>
          <t>rdr</t>
        </is>
      </c>
      <c r="J22" s="86" t="inlineStr">
        <is>
          <t>no</t>
        </is>
      </c>
      <c r="K22" s="86" t="inlineStr">
        <is>
          <t>mixed</t>
        </is>
      </c>
      <c r="L22" s="86" t="inlineStr">
        <is>
          <t>mixed</t>
        </is>
      </c>
      <c r="M22" s="86" t="inlineStr">
        <is>
          <t>mixed</t>
        </is>
      </c>
      <c r="N22" s="86" t="inlineStr">
        <is>
          <t>icdr</t>
        </is>
      </c>
      <c r="O22" s="86" t="inlineStr">
        <is>
          <t>ophthalmologist</t>
        </is>
      </c>
      <c r="P22" s="86" t="inlineStr">
        <is>
          <t>yes</t>
        </is>
      </c>
      <c r="Q22" s="86" t="inlineStr">
        <is>
          <t>fundus</t>
        </is>
      </c>
      <c r="R22" s="86" t="inlineStr">
        <is>
          <t>1</t>
        </is>
      </c>
      <c r="S22" s="86" t="inlineStr">
        <is>
          <t>no</t>
        </is>
      </c>
      <c r="T22" s="86" t="inlineStr">
        <is>
          <t>no</t>
        </is>
      </c>
      <c r="U22" s="86" t="inlineStr">
        <is>
          <t>no</t>
        </is>
      </c>
      <c r="V22" s="5" t="inlineStr">
        <is>
          <t>resnet family</t>
        </is>
      </c>
      <c r="W22" s="86" t="inlineStr">
        <is>
          <t>europe</t>
        </is>
      </c>
      <c r="X22" s="86" t="inlineStr">
        <is>
          <t>high</t>
        </is>
      </c>
      <c r="Y22" s="86" t="inlineStr">
        <is>
          <t>high</t>
        </is>
      </c>
      <c r="Z22" s="86" t="inlineStr">
        <is>
          <t>excluded</t>
        </is>
      </c>
      <c r="AA22" s="86">
        <f>AD22+AE22</f>
        <v/>
      </c>
      <c r="AB22" s="86" t="inlineStr">
        <is>
          <t>Middle</t>
        </is>
      </c>
      <c r="AC22" s="104">
        <f>AD22/AA22</f>
        <v/>
      </c>
      <c r="AD22" s="104">
        <f>AH22+AI22</f>
        <v/>
      </c>
      <c r="AE22" s="104">
        <f>AK22+AJ22</f>
        <v/>
      </c>
      <c r="AF22" s="104">
        <f>AH22/(AH22+AI22)</f>
        <v/>
      </c>
      <c r="AG22" s="104">
        <f>AJ22/(AJ22+AK22)</f>
        <v/>
      </c>
      <c r="AH22" s="86" t="n">
        <v>229</v>
      </c>
      <c r="AI22" s="86" t="n">
        <v>25</v>
      </c>
      <c r="AJ22" s="86" t="n">
        <v>1389</v>
      </c>
      <c r="AK22" s="86" t="n">
        <v>105</v>
      </c>
      <c r="AL22" s="86">
        <f>AN22+AO22</f>
        <v/>
      </c>
      <c r="AM22" s="104">
        <f>AN22/AL22</f>
        <v/>
      </c>
      <c r="AN22" s="104">
        <f>AR22+AS22</f>
        <v/>
      </c>
      <c r="AO22" s="104">
        <f>AU22+AT22</f>
        <v/>
      </c>
      <c r="AP22" s="104">
        <f>AR22/(AR22+AS22)</f>
        <v/>
      </c>
      <c r="AQ22" s="104">
        <f>AT22/(AT22+AU22)</f>
        <v/>
      </c>
      <c r="AR22" s="86" t="n">
        <v>223</v>
      </c>
      <c r="AS22" s="86" t="n">
        <v>31</v>
      </c>
      <c r="AT22" s="86" t="n">
        <v>1361</v>
      </c>
      <c r="AU22" s="86" t="n">
        <v>133</v>
      </c>
    </row>
    <row r="23" ht="16" customHeight="1" s="55">
      <c r="A23" s="28" t="inlineStr">
        <is>
          <t>Hsieh et al. 2021</t>
        </is>
      </c>
      <c r="B23" s="86" t="inlineStr">
        <is>
          <t>VeriSee</t>
        </is>
      </c>
      <c r="C23" s="86" t="inlineStr">
        <is>
          <t>ophthalmologist</t>
        </is>
      </c>
      <c r="D23" s="86" t="inlineStr">
        <is>
          <t>original</t>
        </is>
      </c>
      <c r="E23" s="86" t="inlineStr">
        <is>
          <t>retrospective</t>
        </is>
      </c>
      <c r="F23" s="86" t="inlineStr">
        <is>
          <t>high</t>
        </is>
      </c>
      <c r="G23" s="86" t="inlineStr">
        <is>
          <t>tertiary</t>
        </is>
      </c>
      <c r="H23" s="5" t="inlineStr">
        <is>
          <t>no</t>
        </is>
      </c>
      <c r="I23" s="86" t="inlineStr">
        <is>
          <t>dr</t>
        </is>
      </c>
      <c r="J23" s="86" t="inlineStr">
        <is>
          <t>no</t>
        </is>
      </c>
      <c r="K23" s="86" t="inlineStr">
        <is>
          <t>no</t>
        </is>
      </c>
      <c r="L23" s="86" t="inlineStr">
        <is>
          <t>desktop</t>
        </is>
      </c>
      <c r="M23" s="86" t="inlineStr">
        <is>
          <t>canon</t>
        </is>
      </c>
      <c r="N23" s="86" t="inlineStr">
        <is>
          <t>icdr</t>
        </is>
      </c>
      <c r="O23" s="86" t="inlineStr">
        <is>
          <t>ophthalmologist</t>
        </is>
      </c>
      <c r="P23" s="86" t="inlineStr">
        <is>
          <t>yes</t>
        </is>
      </c>
      <c r="Q23" s="86" t="inlineStr">
        <is>
          <t>fundus</t>
        </is>
      </c>
      <c r="R23" s="86" t="inlineStr">
        <is>
          <t>1</t>
        </is>
      </c>
      <c r="S23" s="86" t="inlineStr">
        <is>
          <t>yes</t>
        </is>
      </c>
      <c r="T23" s="86" t="inlineStr">
        <is>
          <t>yes</t>
        </is>
      </c>
      <c r="U23" s="86" t="inlineStr">
        <is>
          <t>yes</t>
        </is>
      </c>
      <c r="V23" s="86" t="inlineStr">
        <is>
          <t>inception family</t>
        </is>
      </c>
      <c r="W23" s="86" t="inlineStr">
        <is>
          <t>asia</t>
        </is>
      </c>
      <c r="X23" s="86" t="inlineStr">
        <is>
          <t>high</t>
        </is>
      </c>
      <c r="Y23" s="86" t="inlineStr">
        <is>
          <t>high</t>
        </is>
      </c>
      <c r="Z23" s="86" t="inlineStr">
        <is>
          <t>excluded</t>
        </is>
      </c>
      <c r="AA23" s="86">
        <f>AD23+AE23</f>
        <v/>
      </c>
      <c r="AB23" s="86" t="inlineStr">
        <is>
          <t>High</t>
        </is>
      </c>
      <c r="AC23" s="104">
        <f>AD23/AA23</f>
        <v/>
      </c>
      <c r="AD23" s="104">
        <f>AH23+AI23</f>
        <v/>
      </c>
      <c r="AE23" s="104">
        <f>AK23+AJ23</f>
        <v/>
      </c>
      <c r="AF23" s="104">
        <f>AH23/(AH23+AI23)</f>
        <v/>
      </c>
      <c r="AG23" s="104">
        <f>AJ23/(AJ23+AK23)</f>
        <v/>
      </c>
      <c r="AH23" s="86" t="n">
        <v>603</v>
      </c>
      <c r="AI23" s="86" t="n">
        <v>51</v>
      </c>
      <c r="AJ23" s="86" t="n">
        <v>1093</v>
      </c>
      <c r="AK23" s="86" t="n">
        <v>128</v>
      </c>
      <c r="AL23" s="86">
        <f>AN23+AO23</f>
        <v/>
      </c>
      <c r="AM23" s="104">
        <f>AN23/AL23</f>
        <v/>
      </c>
      <c r="AN23" s="104">
        <f>AR23+AS23</f>
        <v/>
      </c>
      <c r="AO23" s="104">
        <f>AU23+AT23</f>
        <v/>
      </c>
      <c r="AP23" s="104">
        <f>AR23/(AR23+AS23)</f>
        <v/>
      </c>
      <c r="AQ23" s="104">
        <f>AT23/(AT23+AU23)</f>
        <v/>
      </c>
      <c r="AR23" s="86" t="n">
        <v>568</v>
      </c>
      <c r="AS23" s="86" t="n">
        <v>86</v>
      </c>
      <c r="AT23" s="86" t="n">
        <v>1190</v>
      </c>
      <c r="AU23" s="86" t="n">
        <v>31</v>
      </c>
    </row>
    <row r="24" ht="16" customHeight="1" s="55">
      <c r="A24" s="28" t="inlineStr">
        <is>
          <t>Hsieh et al. 2021</t>
        </is>
      </c>
      <c r="B24" s="86" t="inlineStr">
        <is>
          <t>VeriSee</t>
        </is>
      </c>
      <c r="C24" s="86" t="inlineStr">
        <is>
          <t>ophthalmologist</t>
        </is>
      </c>
      <c r="D24" s="86" t="inlineStr">
        <is>
          <t>original</t>
        </is>
      </c>
      <c r="E24" s="86" t="inlineStr">
        <is>
          <t>retrospective</t>
        </is>
      </c>
      <c r="F24" s="86" t="inlineStr">
        <is>
          <t>high</t>
        </is>
      </c>
      <c r="G24" s="86" t="inlineStr">
        <is>
          <t>tertiary</t>
        </is>
      </c>
      <c r="H24" s="5" t="inlineStr">
        <is>
          <t>no</t>
        </is>
      </c>
      <c r="I24" s="86" t="inlineStr">
        <is>
          <t>rdr</t>
        </is>
      </c>
      <c r="J24" s="86" t="inlineStr">
        <is>
          <t>no</t>
        </is>
      </c>
      <c r="K24" s="86" t="inlineStr">
        <is>
          <t>no</t>
        </is>
      </c>
      <c r="L24" s="86" t="inlineStr">
        <is>
          <t>desktop</t>
        </is>
      </c>
      <c r="M24" s="86" t="inlineStr">
        <is>
          <t>canon</t>
        </is>
      </c>
      <c r="N24" s="86" t="inlineStr">
        <is>
          <t>icdr</t>
        </is>
      </c>
      <c r="O24" s="86" t="inlineStr">
        <is>
          <t>ophthalmologist</t>
        </is>
      </c>
      <c r="P24" s="86" t="inlineStr">
        <is>
          <t>yes</t>
        </is>
      </c>
      <c r="Q24" s="86" t="inlineStr">
        <is>
          <t>fundus</t>
        </is>
      </c>
      <c r="R24" s="86" t="inlineStr">
        <is>
          <t>1</t>
        </is>
      </c>
      <c r="S24" s="86" t="inlineStr">
        <is>
          <t>yes</t>
        </is>
      </c>
      <c r="T24" s="86" t="inlineStr">
        <is>
          <t>yes</t>
        </is>
      </c>
      <c r="U24" s="86" t="inlineStr">
        <is>
          <t>yes</t>
        </is>
      </c>
      <c r="V24" s="86" t="inlineStr">
        <is>
          <t>inception family</t>
        </is>
      </c>
      <c r="W24" s="86" t="inlineStr">
        <is>
          <t>asia</t>
        </is>
      </c>
      <c r="X24" s="86" t="inlineStr">
        <is>
          <t>high</t>
        </is>
      </c>
      <c r="Y24" s="86" t="inlineStr">
        <is>
          <t>high</t>
        </is>
      </c>
      <c r="Z24" s="86" t="inlineStr">
        <is>
          <t>excluded</t>
        </is>
      </c>
      <c r="AA24" s="86">
        <f>AD24+AE24</f>
        <v/>
      </c>
      <c r="AB24" s="86" t="inlineStr">
        <is>
          <t>High</t>
        </is>
      </c>
      <c r="AC24" s="104">
        <f>AD24/AA24</f>
        <v/>
      </c>
      <c r="AD24" s="104">
        <f>AH24+AI24</f>
        <v/>
      </c>
      <c r="AE24" s="104">
        <f>AK24+AJ24</f>
        <v/>
      </c>
      <c r="AF24" s="104">
        <f>AH24/(AH24+AI24)</f>
        <v/>
      </c>
      <c r="AG24" s="104">
        <f>AJ24/(AJ24+AK24)</f>
        <v/>
      </c>
      <c r="AH24" s="86" t="n">
        <v>603</v>
      </c>
      <c r="AI24" s="86" t="n">
        <v>51</v>
      </c>
      <c r="AJ24" s="86" t="n">
        <v>1093</v>
      </c>
      <c r="AK24" s="86" t="n">
        <v>128</v>
      </c>
      <c r="AL24" s="86">
        <f>AN24+AO24</f>
        <v/>
      </c>
      <c r="AM24" s="104">
        <f>AN24/AL24</f>
        <v/>
      </c>
      <c r="AN24" s="104">
        <f>AR24+AS24</f>
        <v/>
      </c>
      <c r="AO24" s="104">
        <f>AU24+AT24</f>
        <v/>
      </c>
      <c r="AP24" s="104">
        <f>AR24/(AR24+AS24)</f>
        <v/>
      </c>
      <c r="AQ24" s="104">
        <f>AT24/(AT24+AU24)</f>
        <v/>
      </c>
      <c r="AR24" s="86" t="n">
        <v>421</v>
      </c>
      <c r="AS24" s="86" t="n">
        <v>233</v>
      </c>
      <c r="AT24" s="86" t="n">
        <v>878</v>
      </c>
      <c r="AU24" s="86" t="n">
        <v>343</v>
      </c>
      <c r="AW24" s="2" t="n"/>
      <c r="AX24" s="2" t="n"/>
      <c r="AY24" s="2" t="n"/>
    </row>
    <row r="25" ht="16" customHeight="1" s="55">
      <c r="A25" s="28" t="inlineStr">
        <is>
          <t>Hsieh et al. 2021</t>
        </is>
      </c>
      <c r="B25" s="86" t="inlineStr">
        <is>
          <t>VeriSee</t>
        </is>
      </c>
      <c r="C25" s="86" t="inlineStr">
        <is>
          <t>physician</t>
        </is>
      </c>
      <c r="D25" s="86" t="inlineStr">
        <is>
          <t>original</t>
        </is>
      </c>
      <c r="E25" s="86" t="inlineStr">
        <is>
          <t>retrospective</t>
        </is>
      </c>
      <c r="F25" s="86" t="inlineStr">
        <is>
          <t>high</t>
        </is>
      </c>
      <c r="G25" s="86" t="inlineStr">
        <is>
          <t>tertiary</t>
        </is>
      </c>
      <c r="H25" s="5" t="inlineStr">
        <is>
          <t>no</t>
        </is>
      </c>
      <c r="I25" s="86" t="inlineStr">
        <is>
          <t>dr</t>
        </is>
      </c>
      <c r="J25" s="86" t="inlineStr">
        <is>
          <t>no</t>
        </is>
      </c>
      <c r="K25" s="86" t="inlineStr">
        <is>
          <t>no</t>
        </is>
      </c>
      <c r="L25" s="86" t="inlineStr">
        <is>
          <t>desktop</t>
        </is>
      </c>
      <c r="M25" s="86" t="inlineStr">
        <is>
          <t>canon</t>
        </is>
      </c>
      <c r="N25" s="86" t="inlineStr">
        <is>
          <t>icdr</t>
        </is>
      </c>
      <c r="O25" s="86" t="inlineStr">
        <is>
          <t>ophthalmologist</t>
        </is>
      </c>
      <c r="P25" s="86" t="inlineStr">
        <is>
          <t>yes</t>
        </is>
      </c>
      <c r="Q25" s="86" t="inlineStr">
        <is>
          <t>fundus</t>
        </is>
      </c>
      <c r="R25" s="86" t="inlineStr">
        <is>
          <t>1</t>
        </is>
      </c>
      <c r="S25" s="86" t="inlineStr">
        <is>
          <t>yes</t>
        </is>
      </c>
      <c r="T25" s="86" t="inlineStr">
        <is>
          <t>yes</t>
        </is>
      </c>
      <c r="U25" s="86" t="inlineStr">
        <is>
          <t>yes</t>
        </is>
      </c>
      <c r="V25" s="86" t="inlineStr">
        <is>
          <t>inception family</t>
        </is>
      </c>
      <c r="W25" s="86" t="inlineStr">
        <is>
          <t>asia</t>
        </is>
      </c>
      <c r="X25" s="86" t="inlineStr">
        <is>
          <t>high</t>
        </is>
      </c>
      <c r="Y25" s="86" t="inlineStr">
        <is>
          <t>high</t>
        </is>
      </c>
      <c r="Z25" s="86" t="inlineStr">
        <is>
          <t>excluded</t>
        </is>
      </c>
      <c r="AA25" s="86">
        <f>AD25+AE25</f>
        <v/>
      </c>
      <c r="AB25" s="86" t="inlineStr">
        <is>
          <t>Middle</t>
        </is>
      </c>
      <c r="AC25" s="104">
        <f>AD25/AA25</f>
        <v/>
      </c>
      <c r="AD25" s="104">
        <f>AH25+AI25</f>
        <v/>
      </c>
      <c r="AE25" s="104">
        <f>AK25+AJ25</f>
        <v/>
      </c>
      <c r="AF25" s="104">
        <f>AH25/(AH25+AI25)</f>
        <v/>
      </c>
      <c r="AG25" s="104">
        <f>AJ25/(AJ25+AK25)</f>
        <v/>
      </c>
      <c r="AH25" s="86" t="n">
        <v>199</v>
      </c>
      <c r="AI25" s="86" t="n">
        <v>24</v>
      </c>
      <c r="AJ25" s="86" t="n">
        <v>1488</v>
      </c>
      <c r="AK25" s="86" t="n">
        <v>164</v>
      </c>
      <c r="AL25" s="86">
        <f>AN25+AO25</f>
        <v/>
      </c>
      <c r="AM25" s="104">
        <f>AN25/AL25</f>
        <v/>
      </c>
      <c r="AN25" s="104">
        <f>AR25+AS25</f>
        <v/>
      </c>
      <c r="AO25" s="104">
        <f>AU25+AT25</f>
        <v/>
      </c>
      <c r="AP25" s="104">
        <f>AR25/(AR25+AS25)</f>
        <v/>
      </c>
      <c r="AQ25" s="104">
        <f>AT25/(AT25+AU25)</f>
        <v/>
      </c>
      <c r="AR25" s="86" t="n">
        <v>159</v>
      </c>
      <c r="AS25" s="86" t="n">
        <v>64</v>
      </c>
      <c r="AT25" s="86" t="n">
        <v>1634</v>
      </c>
      <c r="AU25" s="86" t="n">
        <v>18</v>
      </c>
    </row>
    <row r="26" ht="16" customHeight="1" s="55">
      <c r="A26" s="88" t="inlineStr">
        <is>
          <t>Kim et al. 2021</t>
        </is>
      </c>
      <c r="B26" s="86" t="inlineStr">
        <is>
          <t>EyeArt</t>
        </is>
      </c>
      <c r="C26" s="86" t="inlineStr">
        <is>
          <t>retinaspecialist</t>
        </is>
      </c>
      <c r="D26" s="86" t="inlineStr">
        <is>
          <t>original</t>
        </is>
      </c>
      <c r="E26" s="86" t="inlineStr">
        <is>
          <t>prospective</t>
        </is>
      </c>
      <c r="F26" s="86" t="inlineStr">
        <is>
          <t>high</t>
        </is>
      </c>
      <c r="G26" s="86" t="inlineStr">
        <is>
          <t>tertiary</t>
        </is>
      </c>
      <c r="H26" s="86" t="inlineStr">
        <is>
          <t>no</t>
        </is>
      </c>
      <c r="I26" s="86" t="inlineStr">
        <is>
          <t>rdr</t>
        </is>
      </c>
      <c r="J26" s="86" t="inlineStr">
        <is>
          <t>no</t>
        </is>
      </c>
      <c r="K26" s="86" t="inlineStr">
        <is>
          <t>yes</t>
        </is>
      </c>
      <c r="L26" s="86" t="inlineStr">
        <is>
          <t>smartphone</t>
        </is>
      </c>
      <c r="M26" s="86" t="inlineStr">
        <is>
          <t>retinascope</t>
        </is>
      </c>
      <c r="N26" s="86" t="inlineStr">
        <is>
          <t>etdrs</t>
        </is>
      </c>
      <c r="O26" s="86" t="inlineStr">
        <is>
          <t>retina specialist</t>
        </is>
      </c>
      <c r="P26" s="86" t="inlineStr">
        <is>
          <t>no</t>
        </is>
      </c>
      <c r="Q26" s="86" t="inlineStr">
        <is>
          <t>clinical examination</t>
        </is>
      </c>
      <c r="R26" s="5" t="inlineStr">
        <is>
          <t>&gt;2</t>
        </is>
      </c>
      <c r="S26" s="86" t="inlineStr">
        <is>
          <t>yes</t>
        </is>
      </c>
      <c r="T26" s="86" t="inlineStr">
        <is>
          <t>yes</t>
        </is>
      </c>
      <c r="U26" s="86" t="inlineStr">
        <is>
          <t>yes</t>
        </is>
      </c>
      <c r="V26" s="86" t="inlineStr">
        <is>
          <t>cnn</t>
        </is>
      </c>
      <c r="W26" s="86" t="inlineStr">
        <is>
          <t>north america</t>
        </is>
      </c>
      <c r="X26" s="86" t="inlineStr">
        <is>
          <t>high</t>
        </is>
      </c>
      <c r="Y26" s="86" t="inlineStr">
        <is>
          <t>high</t>
        </is>
      </c>
      <c r="Z26" s="86" t="inlineStr">
        <is>
          <t>excluded</t>
        </is>
      </c>
      <c r="AA26" s="86">
        <f>AD26+AE26</f>
        <v/>
      </c>
      <c r="AB26" s="86" t="inlineStr">
        <is>
          <t>High</t>
        </is>
      </c>
      <c r="AC26" s="104">
        <f>AD26/AA26</f>
        <v/>
      </c>
      <c r="AD26" s="104">
        <f>AH26+AI26</f>
        <v/>
      </c>
      <c r="AE26" s="104">
        <f>AK26+AJ26</f>
        <v/>
      </c>
      <c r="AF26" s="104">
        <f>AH26/(AH26+AI26)</f>
        <v/>
      </c>
      <c r="AG26" s="104">
        <f>AJ26/(AJ26+AK26)</f>
        <v/>
      </c>
      <c r="AH26" s="86" t="n">
        <v>69</v>
      </c>
      <c r="AI26" s="86" t="n">
        <v>19</v>
      </c>
      <c r="AJ26" s="86" t="n">
        <v>23</v>
      </c>
      <c r="AK26" s="86" t="n">
        <v>8</v>
      </c>
      <c r="AL26" s="86">
        <f>AN26+AO26</f>
        <v/>
      </c>
      <c r="AM26" s="104">
        <f>AN26/AL26</f>
        <v/>
      </c>
      <c r="AN26" s="104">
        <f>AH26+AI26</f>
        <v/>
      </c>
      <c r="AO26" s="104">
        <f>AK26+AJ26</f>
        <v/>
      </c>
      <c r="AP26" s="104">
        <f>AR26/(AR26+AS26)</f>
        <v/>
      </c>
      <c r="AQ26" s="104">
        <f>AT26/(AT26+AU26)</f>
        <v/>
      </c>
      <c r="AR26" s="86" t="n">
        <v>83</v>
      </c>
      <c r="AS26" s="86" t="n">
        <v>5</v>
      </c>
      <c r="AT26" s="86" t="n">
        <v>17</v>
      </c>
      <c r="AU26" s="86" t="n">
        <v>14</v>
      </c>
    </row>
    <row r="27" ht="16" customHeight="1" s="55">
      <c r="A27" s="88" t="inlineStr">
        <is>
          <t>Kim et al. 2021</t>
        </is>
      </c>
      <c r="B27" s="86" t="inlineStr">
        <is>
          <t>EyeArt</t>
        </is>
      </c>
      <c r="C27" s="86" t="inlineStr">
        <is>
          <t>ophthalmologist</t>
        </is>
      </c>
      <c r="D27" s="86" t="inlineStr">
        <is>
          <t>original</t>
        </is>
      </c>
      <c r="E27" s="86" t="inlineStr">
        <is>
          <t>prospective</t>
        </is>
      </c>
      <c r="F27" s="86" t="inlineStr">
        <is>
          <t>high</t>
        </is>
      </c>
      <c r="G27" s="86" t="inlineStr">
        <is>
          <t>tertiary</t>
        </is>
      </c>
      <c r="H27" s="86" t="inlineStr">
        <is>
          <t>no</t>
        </is>
      </c>
      <c r="I27" s="86" t="inlineStr">
        <is>
          <t>rdr</t>
        </is>
      </c>
      <c r="J27" s="86" t="inlineStr">
        <is>
          <t>no</t>
        </is>
      </c>
      <c r="K27" s="86" t="inlineStr">
        <is>
          <t>yes</t>
        </is>
      </c>
      <c r="L27" s="86" t="inlineStr">
        <is>
          <t>smartphone</t>
        </is>
      </c>
      <c r="M27" s="86" t="inlineStr">
        <is>
          <t>retinascope</t>
        </is>
      </c>
      <c r="N27" s="86" t="inlineStr">
        <is>
          <t>etdrs</t>
        </is>
      </c>
      <c r="O27" s="86" t="inlineStr">
        <is>
          <t>retina specialist</t>
        </is>
      </c>
      <c r="P27" s="86" t="inlineStr">
        <is>
          <t>no</t>
        </is>
      </c>
      <c r="Q27" s="86" t="inlineStr">
        <is>
          <t>clinical examination</t>
        </is>
      </c>
      <c r="R27" s="5" t="inlineStr">
        <is>
          <t>&gt;2</t>
        </is>
      </c>
      <c r="S27" s="86" t="inlineStr">
        <is>
          <t>yes</t>
        </is>
      </c>
      <c r="T27" s="86" t="inlineStr">
        <is>
          <t>yes</t>
        </is>
      </c>
      <c r="U27" s="86" t="inlineStr">
        <is>
          <t>yes</t>
        </is>
      </c>
      <c r="V27" s="86" t="inlineStr">
        <is>
          <t>cnn</t>
        </is>
      </c>
      <c r="W27" s="86" t="inlineStr">
        <is>
          <t>north america</t>
        </is>
      </c>
      <c r="X27" s="86" t="inlineStr">
        <is>
          <t>high</t>
        </is>
      </c>
      <c r="Y27" s="86" t="inlineStr">
        <is>
          <t>high</t>
        </is>
      </c>
      <c r="Z27" s="86" t="inlineStr">
        <is>
          <t>excluded</t>
        </is>
      </c>
      <c r="AA27" s="86">
        <f>AD27+AE27</f>
        <v/>
      </c>
      <c r="AB27" s="86" t="inlineStr">
        <is>
          <t>High</t>
        </is>
      </c>
      <c r="AC27" s="104">
        <f>AD27/AA27</f>
        <v/>
      </c>
      <c r="AD27" s="104">
        <f>AH27+AI27</f>
        <v/>
      </c>
      <c r="AE27" s="104">
        <f>AK27+AJ27</f>
        <v/>
      </c>
      <c r="AF27" s="104">
        <f>AH27/(AH27+AI27)</f>
        <v/>
      </c>
      <c r="AG27" s="104">
        <f>AJ27/(AJ27+AK27)</f>
        <v/>
      </c>
      <c r="AH27" s="86" t="n">
        <v>69</v>
      </c>
      <c r="AI27" s="86" t="n">
        <v>19</v>
      </c>
      <c r="AJ27" s="86" t="n">
        <v>23</v>
      </c>
      <c r="AK27" s="86" t="n">
        <v>8</v>
      </c>
      <c r="AL27" s="86">
        <f>AN27+AO27</f>
        <v/>
      </c>
      <c r="AM27" s="104">
        <f>AN27/AL27</f>
        <v/>
      </c>
      <c r="AN27" s="104">
        <f>AH27+AI27</f>
        <v/>
      </c>
      <c r="AO27" s="104">
        <f>AK27+AJ27</f>
        <v/>
      </c>
      <c r="AP27" s="104">
        <f>AR27/(AR27+AS27)</f>
        <v/>
      </c>
      <c r="AQ27" s="104">
        <f>AT27/(AT27+AU27)</f>
        <v/>
      </c>
      <c r="AR27" s="86" t="n">
        <v>77</v>
      </c>
      <c r="AS27" s="86" t="n">
        <v>9</v>
      </c>
      <c r="AT27" s="86" t="n">
        <v>21</v>
      </c>
      <c r="AU27" s="86" t="n">
        <v>10</v>
      </c>
    </row>
    <row r="28" ht="16" customHeight="1" s="55">
      <c r="A28" s="28" t="inlineStr">
        <is>
          <t>Li et al. 2021</t>
        </is>
      </c>
      <c r="B28" s="86" t="inlineStr">
        <is>
          <t>VeriSee</t>
        </is>
      </c>
      <c r="C28" s="86" t="inlineStr">
        <is>
          <t>physician</t>
        </is>
      </c>
      <c r="D28" s="86" t="inlineStr">
        <is>
          <t>original</t>
        </is>
      </c>
      <c r="E28" s="86" t="inlineStr">
        <is>
          <t>retrospective</t>
        </is>
      </c>
      <c r="F28" s="86" t="inlineStr">
        <is>
          <t>high</t>
        </is>
      </c>
      <c r="G28" s="86" t="inlineStr">
        <is>
          <t>tertiary</t>
        </is>
      </c>
      <c r="H28" s="5" t="inlineStr">
        <is>
          <t>no</t>
        </is>
      </c>
      <c r="I28" s="86" t="inlineStr">
        <is>
          <t>rdr</t>
        </is>
      </c>
      <c r="J28" s="86" t="inlineStr">
        <is>
          <t>no</t>
        </is>
      </c>
      <c r="K28" s="86" t="inlineStr">
        <is>
          <t>no</t>
        </is>
      </c>
      <c r="L28" s="86" t="inlineStr">
        <is>
          <t>desktop</t>
        </is>
      </c>
      <c r="M28" s="86" t="inlineStr">
        <is>
          <t>canon</t>
        </is>
      </c>
      <c r="N28" s="86" t="inlineStr">
        <is>
          <t>icdr</t>
        </is>
      </c>
      <c r="O28" s="86" t="inlineStr">
        <is>
          <t>ophthalmologist</t>
        </is>
      </c>
      <c r="P28" s="86" t="inlineStr">
        <is>
          <t>yes</t>
        </is>
      </c>
      <c r="Q28" s="86" t="inlineStr">
        <is>
          <t>fundus</t>
        </is>
      </c>
      <c r="R28" s="86" t="inlineStr">
        <is>
          <t>1</t>
        </is>
      </c>
      <c r="S28" s="86" t="inlineStr">
        <is>
          <t>no</t>
        </is>
      </c>
      <c r="T28" s="86" t="inlineStr">
        <is>
          <t>yes</t>
        </is>
      </c>
      <c r="U28" s="86" t="inlineStr">
        <is>
          <t>yes</t>
        </is>
      </c>
      <c r="V28" s="86" t="inlineStr">
        <is>
          <t>inception family</t>
        </is>
      </c>
      <c r="W28" s="86" t="inlineStr">
        <is>
          <t>asia</t>
        </is>
      </c>
      <c r="X28" s="86" t="inlineStr">
        <is>
          <t>high</t>
        </is>
      </c>
      <c r="Y28" s="86" t="inlineStr">
        <is>
          <t>high</t>
        </is>
      </c>
      <c r="Z28" s="86" t="inlineStr">
        <is>
          <t>excluded</t>
        </is>
      </c>
      <c r="AA28" s="86" t="n"/>
      <c r="AB28" s="86" t="n"/>
      <c r="AC28" s="104" t="n"/>
      <c r="AD28" s="104" t="n"/>
      <c r="AE28" s="104" t="n"/>
      <c r="AF28" s="104" t="n"/>
      <c r="AG28" s="104" t="n"/>
      <c r="AH28" s="86" t="n"/>
      <c r="AI28" s="86" t="n"/>
      <c r="AJ28" s="86" t="n"/>
      <c r="AK28" s="86" t="n"/>
      <c r="AL28" s="86" t="n"/>
      <c r="AM28" s="104" t="n"/>
      <c r="AN28" s="104" t="n"/>
      <c r="AO28" s="104" t="n"/>
      <c r="AP28" s="104" t="n"/>
      <c r="AQ28" s="104" t="n"/>
      <c r="AR28" s="86" t="n"/>
      <c r="AS28" s="86" t="n"/>
      <c r="AT28" s="86" t="n"/>
      <c r="AU28" s="86" t="n"/>
    </row>
    <row r="29" ht="16" customHeight="1" s="55">
      <c r="A29" s="28" t="inlineStr">
        <is>
          <t>Noriega et al. 2021</t>
        </is>
      </c>
      <c r="B29" s="86" t="inlineStr">
        <is>
          <t>ARIA</t>
        </is>
      </c>
      <c r="C29" s="86" t="inlineStr">
        <is>
          <t>ophthalmologist</t>
        </is>
      </c>
      <c r="D29" s="86" t="inlineStr">
        <is>
          <t>original</t>
        </is>
      </c>
      <c r="E29" s="86" t="inlineStr">
        <is>
          <t>prospective</t>
        </is>
      </c>
      <c r="F29" s="86" t="inlineStr">
        <is>
          <t>middle</t>
        </is>
      </c>
      <c r="G29" s="86" t="inlineStr">
        <is>
          <t>tertiary</t>
        </is>
      </c>
      <c r="H29" s="5" t="inlineStr">
        <is>
          <t>yes</t>
        </is>
      </c>
      <c r="I29" s="86" t="inlineStr">
        <is>
          <t>rdr</t>
        </is>
      </c>
      <c r="J29" s="86" t="inlineStr">
        <is>
          <t>no</t>
        </is>
      </c>
      <c r="K29" s="86" t="inlineStr">
        <is>
          <t>no</t>
        </is>
      </c>
      <c r="L29" s="86" t="inlineStr">
        <is>
          <t>mixed</t>
        </is>
      </c>
      <c r="M29" s="86" t="inlineStr">
        <is>
          <t>mixed</t>
        </is>
      </c>
      <c r="N29" s="86" t="inlineStr">
        <is>
          <t>icdr</t>
        </is>
      </c>
      <c r="O29" s="86" t="inlineStr">
        <is>
          <t>retina specialist</t>
        </is>
      </c>
      <c r="P29" s="86" t="inlineStr">
        <is>
          <t>yes</t>
        </is>
      </c>
      <c r="Q29" s="86" t="inlineStr">
        <is>
          <t>fundus</t>
        </is>
      </c>
      <c r="R29" s="86" t="inlineStr">
        <is>
          <t>1</t>
        </is>
      </c>
      <c r="S29" s="86" t="inlineStr">
        <is>
          <t>no</t>
        </is>
      </c>
      <c r="T29" s="86" t="inlineStr">
        <is>
          <t>no</t>
        </is>
      </c>
      <c r="U29" s="86" t="inlineStr">
        <is>
          <t>no</t>
        </is>
      </c>
      <c r="V29" s="86" t="inlineStr">
        <is>
          <t>vgg family</t>
        </is>
      </c>
      <c r="W29" s="86" t="inlineStr">
        <is>
          <t>north america</t>
        </is>
      </c>
      <c r="X29" s="86" t="inlineStr">
        <is>
          <t>high</t>
        </is>
      </c>
      <c r="Y29" s="86" t="inlineStr">
        <is>
          <t>high</t>
        </is>
      </c>
      <c r="Z29" s="86" t="inlineStr">
        <is>
          <t>excluded</t>
        </is>
      </c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  <c r="AR29" s="86" t="n"/>
      <c r="AS29" s="86" t="n"/>
      <c r="AT29" s="86" t="n"/>
      <c r="AU29" s="86" t="n"/>
    </row>
    <row r="30" ht="16" customHeight="1" s="55">
      <c r="A30" s="88" t="inlineStr">
        <is>
          <t>Wintergerst et al. 2021</t>
        </is>
      </c>
      <c r="B30" s="86" t="inlineStr">
        <is>
          <t>EyeArt</t>
        </is>
      </c>
      <c r="C30" s="86" t="inlineStr">
        <is>
          <t>ophthalmologist</t>
        </is>
      </c>
      <c r="D30" s="86" t="inlineStr">
        <is>
          <t>original</t>
        </is>
      </c>
      <c r="E30" s="86" t="inlineStr">
        <is>
          <t>prospective</t>
        </is>
      </c>
      <c r="F30" s="86" t="inlineStr">
        <is>
          <t>high</t>
        </is>
      </c>
      <c r="G30" s="86" t="inlineStr">
        <is>
          <t>primary</t>
        </is>
      </c>
      <c r="H30" s="86" t="inlineStr">
        <is>
          <t>yes</t>
        </is>
      </c>
      <c r="I30" s="86" t="inlineStr">
        <is>
          <t>rdr</t>
        </is>
      </c>
      <c r="J30" s="86" t="inlineStr">
        <is>
          <t>no</t>
        </is>
      </c>
      <c r="K30" s="86" t="inlineStr">
        <is>
          <t>mixed</t>
        </is>
      </c>
      <c r="L30" s="86" t="inlineStr">
        <is>
          <t>desktop</t>
        </is>
      </c>
      <c r="M30" s="86" t="inlineStr">
        <is>
          <t>centervue</t>
        </is>
      </c>
      <c r="N30" s="86" t="inlineStr">
        <is>
          <t>icdr</t>
        </is>
      </c>
      <c r="O30" s="86" t="inlineStr">
        <is>
          <t>retina specialist</t>
        </is>
      </c>
      <c r="P30" s="86" t="inlineStr">
        <is>
          <t>yes</t>
        </is>
      </c>
      <c r="Q30" s="86" t="inlineStr">
        <is>
          <t>fundus</t>
        </is>
      </c>
      <c r="R30" s="5" t="inlineStr">
        <is>
          <t>&gt;2</t>
        </is>
      </c>
      <c r="S30" s="86" t="inlineStr">
        <is>
          <t>no</t>
        </is>
      </c>
      <c r="T30" s="86" t="inlineStr">
        <is>
          <t>yes</t>
        </is>
      </c>
      <c r="U30" s="86" t="inlineStr">
        <is>
          <t>yes</t>
        </is>
      </c>
      <c r="V30" s="86" t="inlineStr">
        <is>
          <t>cnn</t>
        </is>
      </c>
      <c r="W30" s="86" t="inlineStr">
        <is>
          <t>europe</t>
        </is>
      </c>
      <c r="X30" s="86" t="inlineStr">
        <is>
          <t>low</t>
        </is>
      </c>
      <c r="Y30" s="86" t="inlineStr">
        <is>
          <t>low</t>
        </is>
      </c>
      <c r="Z30" s="86" t="inlineStr">
        <is>
          <t>positive</t>
        </is>
      </c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  <c r="AR30" s="86" t="n"/>
      <c r="AS30" s="86" t="n"/>
      <c r="AT30" s="86" t="n"/>
      <c r="AU30" s="86" t="n"/>
    </row>
    <row r="31" ht="16" customHeight="1" s="55">
      <c r="A31" s="88" t="inlineStr">
        <is>
          <t>Wintergerst et al. 2021</t>
        </is>
      </c>
      <c r="B31" s="86" t="inlineStr">
        <is>
          <t>EyeArt</t>
        </is>
      </c>
      <c r="C31" s="86" t="inlineStr">
        <is>
          <t>ophthalmologist</t>
        </is>
      </c>
      <c r="D31" s="86" t="inlineStr">
        <is>
          <t>original</t>
        </is>
      </c>
      <c r="E31" s="86" t="inlineStr">
        <is>
          <t>prospective</t>
        </is>
      </c>
      <c r="F31" s="86" t="inlineStr">
        <is>
          <t>high</t>
        </is>
      </c>
      <c r="G31" s="86" t="inlineStr">
        <is>
          <t>primary</t>
        </is>
      </c>
      <c r="H31" s="86" t="inlineStr">
        <is>
          <t>yes</t>
        </is>
      </c>
      <c r="I31" s="86" t="inlineStr">
        <is>
          <t>dr</t>
        </is>
      </c>
      <c r="J31" s="86" t="inlineStr">
        <is>
          <t>no</t>
        </is>
      </c>
      <c r="K31" s="86" t="inlineStr">
        <is>
          <t>mixed</t>
        </is>
      </c>
      <c r="L31" s="86" t="inlineStr">
        <is>
          <t>desktop</t>
        </is>
      </c>
      <c r="M31" s="86" t="inlineStr">
        <is>
          <t>centervue</t>
        </is>
      </c>
      <c r="N31" s="86" t="inlineStr">
        <is>
          <t>icdr</t>
        </is>
      </c>
      <c r="O31" s="86" t="inlineStr">
        <is>
          <t>retina specialist</t>
        </is>
      </c>
      <c r="P31" s="86" t="inlineStr">
        <is>
          <t>yes</t>
        </is>
      </c>
      <c r="Q31" s="86" t="inlineStr">
        <is>
          <t>fundus</t>
        </is>
      </c>
      <c r="R31" s="5" t="inlineStr">
        <is>
          <t>&gt;2</t>
        </is>
      </c>
      <c r="S31" s="86" t="inlineStr">
        <is>
          <t>no</t>
        </is>
      </c>
      <c r="T31" s="86" t="inlineStr">
        <is>
          <t>yes</t>
        </is>
      </c>
      <c r="U31" s="86" t="inlineStr">
        <is>
          <t>yes</t>
        </is>
      </c>
      <c r="V31" s="86" t="inlineStr">
        <is>
          <t>cnn</t>
        </is>
      </c>
      <c r="W31" s="86" t="inlineStr">
        <is>
          <t>europe</t>
        </is>
      </c>
      <c r="X31" s="86" t="inlineStr">
        <is>
          <t>low</t>
        </is>
      </c>
      <c r="Y31" s="86" t="inlineStr">
        <is>
          <t>low</t>
        </is>
      </c>
      <c r="Z31" s="86" t="inlineStr">
        <is>
          <t>positive</t>
        </is>
      </c>
      <c r="AA31" s="86" t="n"/>
      <c r="AB31" s="86" t="n"/>
      <c r="AC31" s="86" t="n"/>
      <c r="AD31" s="86" t="n"/>
      <c r="AE31" s="86" t="n"/>
      <c r="AF31" s="86" t="n"/>
      <c r="AG31" s="86" t="n"/>
      <c r="AH31" s="86" t="n"/>
      <c r="AI31" s="86" t="n"/>
      <c r="AJ31" s="86" t="n"/>
      <c r="AK31" s="86" t="n"/>
      <c r="AL31" s="86" t="n"/>
      <c r="AM31" s="86" t="n"/>
      <c r="AN31" s="86" t="n"/>
      <c r="AO31" s="86" t="n"/>
      <c r="AP31" s="86" t="n"/>
      <c r="AQ31" s="86" t="n"/>
      <c r="AR31" s="86" t="n"/>
      <c r="AS31" s="86" t="n"/>
      <c r="AT31" s="86" t="n"/>
      <c r="AU31" s="86" t="n"/>
      <c r="AX31" s="2" t="n"/>
      <c r="AY31" s="102" t="n"/>
      <c r="AZ31" s="102" t="n"/>
      <c r="BA31" s="102" t="n"/>
      <c r="BB31" s="102" t="n"/>
      <c r="BC31" s="102" t="n"/>
      <c r="BE31" s="2" t="n"/>
      <c r="BF31" s="2" t="n"/>
      <c r="BG31" s="2" t="n"/>
      <c r="BH31" s="2" t="n"/>
    </row>
    <row r="32" ht="16" customHeight="1" s="55">
      <c r="A32" s="88" t="inlineStr">
        <is>
          <t>Gonz_x0001_alez-Gonzalo et al. 2020</t>
        </is>
      </c>
      <c r="B32" s="86" t="inlineStr">
        <is>
          <t>RetCAD</t>
        </is>
      </c>
      <c r="C32" s="86" t="inlineStr">
        <is>
          <t>ophthalmologist</t>
        </is>
      </c>
      <c r="D32" s="86" t="inlineStr">
        <is>
          <t>original</t>
        </is>
      </c>
      <c r="E32" s="86" t="inlineStr">
        <is>
          <t>retrospective</t>
        </is>
      </c>
      <c r="F32" s="86" t="inlineStr">
        <is>
          <t>high</t>
        </is>
      </c>
      <c r="G32" s="86" t="inlineStr">
        <is>
          <t>tertiary</t>
        </is>
      </c>
      <c r="H32" s="5" t="inlineStr">
        <is>
          <t>yes</t>
        </is>
      </c>
      <c r="I32" s="86" t="inlineStr">
        <is>
          <t>rdr</t>
        </is>
      </c>
      <c r="J32" s="86" t="inlineStr">
        <is>
          <t>yes</t>
        </is>
      </c>
      <c r="K32" s="86" t="inlineStr">
        <is>
          <t>no</t>
        </is>
      </c>
      <c r="L32" s="86" t="inlineStr">
        <is>
          <t>desktop</t>
        </is>
      </c>
      <c r="M32" s="86" t="inlineStr">
        <is>
          <t>canon</t>
        </is>
      </c>
      <c r="N32" s="86" t="inlineStr">
        <is>
          <t>icdr</t>
        </is>
      </c>
      <c r="O32" s="86" t="inlineStr">
        <is>
          <t>ophthalmologist</t>
        </is>
      </c>
      <c r="P32" s="86" t="inlineStr">
        <is>
          <t>no</t>
        </is>
      </c>
      <c r="Q32" s="86" t="inlineStr">
        <is>
          <t>fundus</t>
        </is>
      </c>
      <c r="R32" s="86" t="inlineStr">
        <is>
          <t>1</t>
        </is>
      </c>
      <c r="S32" s="86" t="inlineStr">
        <is>
          <t>no</t>
        </is>
      </c>
      <c r="T32" s="86" t="inlineStr">
        <is>
          <t>yes</t>
        </is>
      </c>
      <c r="U32" s="86" t="inlineStr">
        <is>
          <t>yes</t>
        </is>
      </c>
      <c r="V32" s="86" t="inlineStr">
        <is>
          <t>densenet family</t>
        </is>
      </c>
      <c r="W32" s="86" t="inlineStr">
        <is>
          <t>europe</t>
        </is>
      </c>
      <c r="X32" s="86" t="inlineStr">
        <is>
          <t>high</t>
        </is>
      </c>
      <c r="Y32" s="86" t="inlineStr">
        <is>
          <t>high</t>
        </is>
      </c>
      <c r="Z32" s="86" t="inlineStr">
        <is>
          <t>excluded</t>
        </is>
      </c>
      <c r="AA32" s="86">
        <f>AD32+AE32</f>
        <v/>
      </c>
      <c r="AB32" s="86" t="inlineStr">
        <is>
          <t>Middle</t>
        </is>
      </c>
      <c r="AC32" s="104">
        <f>AD32/AA32</f>
        <v/>
      </c>
      <c r="AD32" s="104">
        <f>AH32+AI32</f>
        <v/>
      </c>
      <c r="AE32" s="104">
        <f>AK32+AJ32</f>
        <v/>
      </c>
      <c r="AF32" s="104">
        <f>AH32/(AH32+AI32)</f>
        <v/>
      </c>
      <c r="AG32" s="104">
        <f>AJ32/(AJ32+AK32)</f>
        <v/>
      </c>
      <c r="AH32" s="104" t="n">
        <v>100</v>
      </c>
      <c r="AI32" s="104" t="n">
        <v>11</v>
      </c>
      <c r="AJ32" s="104" t="n">
        <v>443</v>
      </c>
      <c r="AK32" s="104" t="n">
        <v>46</v>
      </c>
      <c r="AL32" s="86">
        <f>AN32+AO32</f>
        <v/>
      </c>
      <c r="AM32" s="104">
        <f>AN32/AL32</f>
        <v/>
      </c>
      <c r="AN32" s="104">
        <f>AR32+AS32</f>
        <v/>
      </c>
      <c r="AO32" s="104">
        <f>AU32+AT32</f>
        <v/>
      </c>
      <c r="AP32" s="104">
        <f>AR32/(AR32+AS32)</f>
        <v/>
      </c>
      <c r="AQ32" s="104">
        <f>AT32/(AT32+AU32)</f>
        <v/>
      </c>
      <c r="AR32" s="86" t="n">
        <v>68</v>
      </c>
      <c r="AS32" s="86" t="n">
        <v>43</v>
      </c>
      <c r="AT32" s="86" t="n">
        <v>478</v>
      </c>
      <c r="AU32" s="86" t="n">
        <v>11</v>
      </c>
    </row>
    <row r="33" ht="16" customHeight="1" s="55">
      <c r="A33" s="28" t="inlineStr">
        <is>
          <t>Limwattanayingyong et al .2020</t>
        </is>
      </c>
      <c r="B33" s="86" t="inlineStr">
        <is>
          <t>ARDA</t>
        </is>
      </c>
      <c r="C33" s="86" t="inlineStr">
        <is>
          <t>trainedgrader</t>
        </is>
      </c>
      <c r="D33" s="86" t="inlineStr">
        <is>
          <t>original</t>
        </is>
      </c>
      <c r="E33" s="86" t="inlineStr">
        <is>
          <t>retrospective</t>
        </is>
      </c>
      <c r="F33" s="86" t="inlineStr">
        <is>
          <t>middle</t>
        </is>
      </c>
      <c r="G33" s="86" t="inlineStr">
        <is>
          <t>primary</t>
        </is>
      </c>
      <c r="H33" s="86" t="inlineStr">
        <is>
          <t>yes</t>
        </is>
      </c>
      <c r="I33" s="86" t="inlineStr">
        <is>
          <t>vtdr</t>
        </is>
      </c>
      <c r="J33" s="86" t="inlineStr">
        <is>
          <t>no</t>
        </is>
      </c>
      <c r="K33" s="86" t="inlineStr">
        <is>
          <t>no</t>
        </is>
      </c>
      <c r="L33" s="86" t="inlineStr">
        <is>
          <t>desktop</t>
        </is>
      </c>
      <c r="M33" s="86" t="inlineStr">
        <is>
          <t>mixed</t>
        </is>
      </c>
      <c r="N33" s="86" t="inlineStr">
        <is>
          <t>icdr</t>
        </is>
      </c>
      <c r="O33" s="86" t="inlineStr">
        <is>
          <t>retina specialist</t>
        </is>
      </c>
      <c r="P33" s="86" t="inlineStr">
        <is>
          <t>yes</t>
        </is>
      </c>
      <c r="Q33" s="86" t="inlineStr">
        <is>
          <t>fundus</t>
        </is>
      </c>
      <c r="R33" s="86" t="inlineStr">
        <is>
          <t>1</t>
        </is>
      </c>
      <c r="S33" s="86" t="inlineStr">
        <is>
          <t>yes</t>
        </is>
      </c>
      <c r="T33" s="86" t="inlineStr">
        <is>
          <t>yes</t>
        </is>
      </c>
      <c r="U33" s="86" t="inlineStr">
        <is>
          <t>yes</t>
        </is>
      </c>
      <c r="V33" s="86" t="inlineStr">
        <is>
          <t>inception family</t>
        </is>
      </c>
      <c r="W33" s="86" t="inlineStr">
        <is>
          <t>asia</t>
        </is>
      </c>
      <c r="X33" s="86" t="inlineStr">
        <is>
          <t>high</t>
        </is>
      </c>
      <c r="Y33" s="86" t="inlineStr">
        <is>
          <t>high</t>
        </is>
      </c>
      <c r="Z33" s="86" t="inlineStr">
        <is>
          <t>excluded</t>
        </is>
      </c>
      <c r="AA33" s="86" t="n"/>
      <c r="AB33" s="86" t="n"/>
      <c r="AC33" s="86" t="n"/>
      <c r="AD33" s="86" t="n"/>
      <c r="AE33" s="86" t="n"/>
      <c r="AF33" s="86" t="n"/>
      <c r="AG33" s="104" t="n"/>
      <c r="AH33" s="104" t="n"/>
      <c r="AI33" s="104" t="n"/>
      <c r="AJ33" s="104" t="n"/>
      <c r="AK33" s="104" t="n"/>
      <c r="AL33" s="86" t="n"/>
      <c r="AM33" s="86" t="n"/>
      <c r="AN33" s="86" t="n"/>
      <c r="AO33" s="86" t="n"/>
      <c r="AP33" s="86" t="n"/>
      <c r="AQ33" s="104" t="n"/>
      <c r="AR33" s="104" t="n"/>
      <c r="AS33" s="104" t="n"/>
      <c r="AT33" s="104" t="n"/>
      <c r="AU33" s="104" t="n"/>
      <c r="AV33" s="1" t="n"/>
      <c r="AW33" s="1" t="n"/>
      <c r="AX33" s="1" t="n"/>
      <c r="AY33" s="1" t="n"/>
    </row>
    <row r="34" ht="16" customHeight="1" s="55">
      <c r="A34" s="28" t="inlineStr">
        <is>
          <t>Ruamviboonsuk et al. 2019</t>
        </is>
      </c>
      <c r="B34" s="86" t="inlineStr">
        <is>
          <t>ARDA</t>
        </is>
      </c>
      <c r="C34" s="86" t="inlineStr">
        <is>
          <t>trainedgrader</t>
        </is>
      </c>
      <c r="D34" s="86" t="inlineStr">
        <is>
          <t>original</t>
        </is>
      </c>
      <c r="E34" s="86" t="inlineStr">
        <is>
          <t>retrospective</t>
        </is>
      </c>
      <c r="F34" s="86" t="inlineStr">
        <is>
          <t>middle</t>
        </is>
      </c>
      <c r="G34" s="86" t="inlineStr">
        <is>
          <t>primary</t>
        </is>
      </c>
      <c r="H34" s="86" t="inlineStr">
        <is>
          <t>yes</t>
        </is>
      </c>
      <c r="I34" s="86" t="inlineStr">
        <is>
          <t>rdr</t>
        </is>
      </c>
      <c r="J34" s="86" t="inlineStr">
        <is>
          <t>no</t>
        </is>
      </c>
      <c r="K34" s="86" t="inlineStr">
        <is>
          <t>no</t>
        </is>
      </c>
      <c r="L34" s="86" t="inlineStr">
        <is>
          <t>desktop</t>
        </is>
      </c>
      <c r="M34" s="86" t="inlineStr">
        <is>
          <t>mixed</t>
        </is>
      </c>
      <c r="N34" s="86" t="inlineStr">
        <is>
          <t>icdr</t>
        </is>
      </c>
      <c r="O34" s="86" t="inlineStr">
        <is>
          <t>retina specialist</t>
        </is>
      </c>
      <c r="P34" s="86" t="inlineStr">
        <is>
          <t>yes</t>
        </is>
      </c>
      <c r="Q34" s="86" t="inlineStr">
        <is>
          <t>fundus</t>
        </is>
      </c>
      <c r="R34" s="86" t="inlineStr">
        <is>
          <t>1</t>
        </is>
      </c>
      <c r="S34" s="86" t="inlineStr">
        <is>
          <t>yes</t>
        </is>
      </c>
      <c r="T34" s="86" t="inlineStr">
        <is>
          <t>yes</t>
        </is>
      </c>
      <c r="U34" s="86" t="inlineStr">
        <is>
          <t>yes</t>
        </is>
      </c>
      <c r="V34" s="86" t="inlineStr">
        <is>
          <t>inception family</t>
        </is>
      </c>
      <c r="W34" s="86" t="inlineStr">
        <is>
          <t>asia</t>
        </is>
      </c>
      <c r="X34" s="86" t="inlineStr">
        <is>
          <t>low</t>
        </is>
      </c>
      <c r="Y34" s="86" t="inlineStr">
        <is>
          <t>low</t>
        </is>
      </c>
      <c r="Z34" s="86" t="inlineStr">
        <is>
          <t>excluded</t>
        </is>
      </c>
      <c r="AA34" s="86">
        <f>AD34+AE34</f>
        <v/>
      </c>
      <c r="AB34" s="86" t="inlineStr">
        <is>
          <t>Middle</t>
        </is>
      </c>
      <c r="AC34" s="104">
        <f>AD34/AA34</f>
        <v/>
      </c>
      <c r="AD34" s="104">
        <f>AH34+AI34</f>
        <v/>
      </c>
      <c r="AE34" s="104">
        <f>AK34+AJ34</f>
        <v/>
      </c>
      <c r="AF34" s="104">
        <f>AH34/(AH34+AI34)</f>
        <v/>
      </c>
      <c r="AG34" s="104">
        <f>AJ34/(AJ34+AK34)</f>
        <v/>
      </c>
      <c r="AH34" s="86" t="n">
        <v>3542</v>
      </c>
      <c r="AI34" s="86" t="n">
        <v>110</v>
      </c>
      <c r="AJ34" s="86" t="n">
        <v>25280</v>
      </c>
      <c r="AK34" s="86" t="n">
        <v>1053</v>
      </c>
      <c r="AL34" s="86">
        <f>AN34+AO34</f>
        <v/>
      </c>
      <c r="AM34" s="104">
        <f>AN34/AL34</f>
        <v/>
      </c>
      <c r="AN34" s="104">
        <f>AR34+AS34</f>
        <v/>
      </c>
      <c r="AO34" s="104">
        <f>AU34+AT34</f>
        <v/>
      </c>
      <c r="AP34" s="104">
        <f>AR34/(AR34+AS34)</f>
        <v/>
      </c>
      <c r="AQ34" s="104">
        <f>AT34/(AT34+AU34)</f>
        <v/>
      </c>
      <c r="AR34" s="86" t="n">
        <v>2702</v>
      </c>
      <c r="AS34" s="86" t="n">
        <v>950</v>
      </c>
      <c r="AT34" s="86" t="n">
        <v>25806</v>
      </c>
      <c r="AU34" s="86" t="n">
        <v>527</v>
      </c>
      <c r="AV34" s="1" t="n"/>
      <c r="AW34" s="1" t="n"/>
      <c r="AX34" s="1" t="n"/>
      <c r="AY34" s="1" t="n"/>
    </row>
    <row r="35" ht="16" customHeight="1" s="55">
      <c r="A35" s="88" t="inlineStr">
        <is>
          <t>Krause et al. 2018</t>
        </is>
      </c>
      <c r="B35" s="86" t="inlineStr">
        <is>
          <t>ARDA</t>
        </is>
      </c>
      <c r="C35" s="86" t="inlineStr">
        <is>
          <t>ophthalmologist</t>
        </is>
      </c>
      <c r="D35" s="86" t="inlineStr">
        <is>
          <t>original</t>
        </is>
      </c>
      <c r="E35" s="86" t="inlineStr">
        <is>
          <t>retrospective</t>
        </is>
      </c>
      <c r="F35" s="86" t="inlineStr">
        <is>
          <t>high</t>
        </is>
      </c>
      <c r="G35" s="86" t="inlineStr">
        <is>
          <t>public dataset</t>
        </is>
      </c>
      <c r="H35" s="5" t="inlineStr">
        <is>
          <t>no</t>
        </is>
      </c>
      <c r="I35" s="86" t="inlineStr">
        <is>
          <t>rdr</t>
        </is>
      </c>
      <c r="J35" s="86" t="inlineStr">
        <is>
          <t>no</t>
        </is>
      </c>
      <c r="K35" s="86" t="inlineStr">
        <is>
          <t>mixed</t>
        </is>
      </c>
      <c r="L35" s="86" t="inlineStr">
        <is>
          <t>mixed</t>
        </is>
      </c>
      <c r="M35" s="86" t="inlineStr">
        <is>
          <t>mixed</t>
        </is>
      </c>
      <c r="N35" s="86" t="inlineStr">
        <is>
          <t>icdr</t>
        </is>
      </c>
      <c r="O35" s="86" t="inlineStr">
        <is>
          <t>retina specialist</t>
        </is>
      </c>
      <c r="P35" s="86" t="inlineStr">
        <is>
          <t>yes</t>
        </is>
      </c>
      <c r="Q35" s="86" t="inlineStr">
        <is>
          <t>fundus</t>
        </is>
      </c>
      <c r="R35" s="86" t="inlineStr">
        <is>
          <t>&gt;2</t>
        </is>
      </c>
      <c r="S35" s="86" t="inlineStr">
        <is>
          <t>yes</t>
        </is>
      </c>
      <c r="T35" s="86" t="inlineStr">
        <is>
          <t>yes</t>
        </is>
      </c>
      <c r="U35" s="86" t="inlineStr">
        <is>
          <t>yes</t>
        </is>
      </c>
      <c r="V35" s="86" t="inlineStr">
        <is>
          <t>inception family</t>
        </is>
      </c>
      <c r="W35" s="86" t="inlineStr">
        <is>
          <t>north america</t>
        </is>
      </c>
      <c r="X35" s="25" t="inlineStr">
        <is>
          <t>low</t>
        </is>
      </c>
      <c r="Y35" s="86" t="inlineStr">
        <is>
          <t>high</t>
        </is>
      </c>
      <c r="Z35" s="86" t="inlineStr">
        <is>
          <t>positive</t>
        </is>
      </c>
      <c r="AA35" s="86">
        <f>AD35+AE35</f>
        <v/>
      </c>
      <c r="AB35" s="86" t="inlineStr">
        <is>
          <t>Middle</t>
        </is>
      </c>
      <c r="AC35" s="104">
        <f>AD35/AA35</f>
        <v/>
      </c>
      <c r="AD35" s="104">
        <f>AH35+AI35</f>
        <v/>
      </c>
      <c r="AE35" s="104">
        <f>AK35+AJ35</f>
        <v/>
      </c>
      <c r="AF35" s="104">
        <f>AH35/(AH35+AI35)</f>
        <v/>
      </c>
      <c r="AG35" s="104">
        <f>AJ35/(AJ35+AK35)</f>
        <v/>
      </c>
      <c r="AH35" s="86" t="n">
        <v>204</v>
      </c>
      <c r="AI35" s="86" t="n">
        <v>6</v>
      </c>
      <c r="AJ35" s="86" t="n">
        <v>1480</v>
      </c>
      <c r="AK35" s="86" t="n">
        <v>123</v>
      </c>
      <c r="AL35" s="86">
        <f>AN35+AO35</f>
        <v/>
      </c>
      <c r="AM35" s="104">
        <f>AN35/AL35</f>
        <v/>
      </c>
      <c r="AN35" s="104">
        <f>AR35+AS35</f>
        <v/>
      </c>
      <c r="AO35" s="104">
        <f>AU35+AT35</f>
        <v/>
      </c>
      <c r="AP35" s="104">
        <f>AR35/(AR35+AS35)</f>
        <v/>
      </c>
      <c r="AQ35" s="104">
        <f>AT35/(AT35+AU35)</f>
        <v/>
      </c>
      <c r="AR35" s="86" t="n">
        <v>176</v>
      </c>
      <c r="AS35" s="86" t="n">
        <v>34</v>
      </c>
      <c r="AT35" s="86" t="n">
        <v>1573</v>
      </c>
      <c r="AU35" s="86" t="n">
        <v>30</v>
      </c>
    </row>
    <row r="36" ht="16" customHeight="1" s="55">
      <c r="A36" s="88" t="inlineStr">
        <is>
          <t>Shu et al. 2017</t>
        </is>
      </c>
      <c r="B36" s="86" t="inlineStr">
        <is>
          <t>Selena+</t>
        </is>
      </c>
      <c r="C36" s="86" t="inlineStr">
        <is>
          <t>retinaspecialist</t>
        </is>
      </c>
      <c r="D36" s="86" t="inlineStr">
        <is>
          <t>original</t>
        </is>
      </c>
      <c r="E36" s="86" t="inlineStr">
        <is>
          <t>retrospective</t>
        </is>
      </c>
      <c r="F36" s="86" t="inlineStr">
        <is>
          <t>high</t>
        </is>
      </c>
      <c r="G36" s="86" t="inlineStr">
        <is>
          <t>primary</t>
        </is>
      </c>
      <c r="H36" s="86" t="inlineStr">
        <is>
          <t>yes</t>
        </is>
      </c>
      <c r="I36" s="86" t="inlineStr">
        <is>
          <t>rdr</t>
        </is>
      </c>
      <c r="J36" s="86" t="inlineStr">
        <is>
          <t>yes</t>
        </is>
      </c>
      <c r="K36" s="86" t="inlineStr">
        <is>
          <t>mixed</t>
        </is>
      </c>
      <c r="L36" s="86" t="inlineStr">
        <is>
          <t>desktop</t>
        </is>
      </c>
      <c r="M36" s="86" t="inlineStr">
        <is>
          <t>mixed</t>
        </is>
      </c>
      <c r="N36" s="86" t="inlineStr">
        <is>
          <t>icdr</t>
        </is>
      </c>
      <c r="O36" s="86" t="inlineStr">
        <is>
          <t>retina specialist</t>
        </is>
      </c>
      <c r="P36" s="86" t="inlineStr">
        <is>
          <t>yes</t>
        </is>
      </c>
      <c r="Q36" s="86" t="inlineStr">
        <is>
          <t>fundus</t>
        </is>
      </c>
      <c r="R36" s="86" t="inlineStr">
        <is>
          <t>2</t>
        </is>
      </c>
      <c r="S36" s="86" t="inlineStr">
        <is>
          <t>no</t>
        </is>
      </c>
      <c r="T36" s="86" t="inlineStr">
        <is>
          <t>yes</t>
        </is>
      </c>
      <c r="U36" s="86" t="inlineStr">
        <is>
          <t>yes</t>
        </is>
      </c>
      <c r="V36" s="86" t="inlineStr">
        <is>
          <t>vgg family</t>
        </is>
      </c>
      <c r="W36" s="86" t="inlineStr">
        <is>
          <t>mixed</t>
        </is>
      </c>
      <c r="X36" s="86" t="inlineStr">
        <is>
          <t>high</t>
        </is>
      </c>
      <c r="Y36" s="86" t="inlineStr">
        <is>
          <t>high</t>
        </is>
      </c>
      <c r="Z36" s="86" t="inlineStr">
        <is>
          <t>positive</t>
        </is>
      </c>
      <c r="AA36" s="86">
        <f>AD36+AE36</f>
        <v/>
      </c>
      <c r="AB36" s="86" t="inlineStr">
        <is>
          <t>Middle</t>
        </is>
      </c>
      <c r="AC36" s="104">
        <f>AD36/AA36</f>
        <v/>
      </c>
      <c r="AD36" s="104">
        <f>AH36+AI36</f>
        <v/>
      </c>
      <c r="AE36" s="104">
        <f>AK36+AJ36</f>
        <v/>
      </c>
      <c r="AF36" s="104">
        <f>AH36/(AH36+AI36)</f>
        <v/>
      </c>
      <c r="AG36" s="104">
        <f>AJ36/(AJ36+AK36)</f>
        <v/>
      </c>
      <c r="AH36" s="86" t="n">
        <v>953</v>
      </c>
      <c r="AI36" s="86" t="n">
        <v>100</v>
      </c>
      <c r="AJ36" s="86" t="n">
        <v>31964</v>
      </c>
      <c r="AK36" s="86" t="n">
        <v>2931</v>
      </c>
      <c r="AL36" s="86">
        <f>AN36+AO36</f>
        <v/>
      </c>
      <c r="AM36" s="104">
        <f>AN36/AL36</f>
        <v/>
      </c>
      <c r="AN36" s="104">
        <f>AH36+AI36</f>
        <v/>
      </c>
      <c r="AO36" s="104">
        <f>AK36+AJ36</f>
        <v/>
      </c>
      <c r="AP36" s="104">
        <f>AR36/(AR36+AS36)</f>
        <v/>
      </c>
      <c r="AQ36" s="104">
        <f>AT36/(AT36+AU36)</f>
        <v/>
      </c>
      <c r="AR36" s="86" t="n">
        <v>960</v>
      </c>
      <c r="AS36" s="86" t="n">
        <v>93</v>
      </c>
      <c r="AT36" s="86" t="n">
        <v>34651</v>
      </c>
      <c r="AU36" s="86" t="n">
        <v>244</v>
      </c>
    </row>
    <row r="37" ht="16" customHeight="1" s="55">
      <c r="A37" s="88" t="inlineStr">
        <is>
          <t>Shu et al. 2017</t>
        </is>
      </c>
      <c r="B37" s="86" t="inlineStr">
        <is>
          <t>Selena+</t>
        </is>
      </c>
      <c r="C37" s="86" t="inlineStr">
        <is>
          <t>retinaspecialist</t>
        </is>
      </c>
      <c r="D37" s="86" t="inlineStr">
        <is>
          <t>original</t>
        </is>
      </c>
      <c r="E37" s="86" t="inlineStr">
        <is>
          <t>retrospective</t>
        </is>
      </c>
      <c r="F37" s="86" t="inlineStr">
        <is>
          <t>high</t>
        </is>
      </c>
      <c r="G37" s="86" t="inlineStr">
        <is>
          <t>primary</t>
        </is>
      </c>
      <c r="H37" s="86" t="inlineStr">
        <is>
          <t>yes</t>
        </is>
      </c>
      <c r="I37" s="86" t="inlineStr">
        <is>
          <t>vtdr</t>
        </is>
      </c>
      <c r="J37" s="86" t="inlineStr">
        <is>
          <t>yes</t>
        </is>
      </c>
      <c r="K37" s="86" t="inlineStr">
        <is>
          <t>mixed</t>
        </is>
      </c>
      <c r="L37" s="86" t="inlineStr">
        <is>
          <t>desktop</t>
        </is>
      </c>
      <c r="M37" s="86" t="inlineStr">
        <is>
          <t>mixed</t>
        </is>
      </c>
      <c r="N37" s="86" t="inlineStr">
        <is>
          <t>icdr</t>
        </is>
      </c>
      <c r="O37" s="86" t="inlineStr">
        <is>
          <t>retina specialist</t>
        </is>
      </c>
      <c r="P37" s="86" t="inlineStr">
        <is>
          <t>yes</t>
        </is>
      </c>
      <c r="Q37" s="86" t="inlineStr">
        <is>
          <t>fundus</t>
        </is>
      </c>
      <c r="R37" s="86" t="inlineStr">
        <is>
          <t>2</t>
        </is>
      </c>
      <c r="S37" s="86" t="inlineStr">
        <is>
          <t>no</t>
        </is>
      </c>
      <c r="T37" s="86" t="inlineStr">
        <is>
          <t>yes</t>
        </is>
      </c>
      <c r="U37" s="86" t="inlineStr">
        <is>
          <t>yes</t>
        </is>
      </c>
      <c r="V37" s="86" t="inlineStr">
        <is>
          <t>vgg family</t>
        </is>
      </c>
      <c r="W37" s="86" t="inlineStr">
        <is>
          <t>mixed</t>
        </is>
      </c>
      <c r="X37" s="86" t="inlineStr">
        <is>
          <t>high</t>
        </is>
      </c>
      <c r="Y37" s="86" t="inlineStr">
        <is>
          <t>high</t>
        </is>
      </c>
      <c r="Z37" s="86" t="inlineStr">
        <is>
          <t>positive</t>
        </is>
      </c>
      <c r="AA37" s="86">
        <f>AD37+AE37</f>
        <v/>
      </c>
      <c r="AB37" s="86" t="inlineStr">
        <is>
          <t>Middle</t>
        </is>
      </c>
      <c r="AC37" s="104">
        <f>AD37/AA37</f>
        <v/>
      </c>
      <c r="AD37" s="104">
        <f>AH37+AI37</f>
        <v/>
      </c>
      <c r="AE37" s="104">
        <f>AK37+AJ37</f>
        <v/>
      </c>
      <c r="AF37" s="104">
        <f>AH37/(AH37+AI37)</f>
        <v/>
      </c>
      <c r="AG37" s="104">
        <f>AJ37/(AJ37+AK37)</f>
        <v/>
      </c>
      <c r="AH37" s="86" t="n">
        <v>598</v>
      </c>
      <c r="AI37" s="86" t="n">
        <v>0</v>
      </c>
      <c r="AJ37" s="86" t="n">
        <v>32204</v>
      </c>
      <c r="AK37" s="86" t="n">
        <v>3146</v>
      </c>
      <c r="AL37" s="86">
        <f>AN37+AO37</f>
        <v/>
      </c>
      <c r="AM37" s="104">
        <f>AN37/AL37</f>
        <v/>
      </c>
      <c r="AN37" s="104">
        <f>AH37+AI37</f>
        <v/>
      </c>
      <c r="AO37" s="104">
        <f>AK37+AJ37</f>
        <v/>
      </c>
      <c r="AP37" s="104">
        <f>AR37/(AR37+AS37)</f>
        <v/>
      </c>
      <c r="AQ37" s="104">
        <f>AT37/(AT37+AU37)</f>
        <v/>
      </c>
      <c r="AR37" s="86" t="n">
        <v>529</v>
      </c>
      <c r="AS37" s="86" t="n">
        <v>69</v>
      </c>
      <c r="AT37" s="86" t="n">
        <v>35209</v>
      </c>
      <c r="AU37" s="86" t="n">
        <v>141</v>
      </c>
      <c r="AX37" s="83" t="n"/>
      <c r="BE37" s="83" t="n"/>
    </row>
    <row r="38" ht="16" customHeight="1" s="55">
      <c r="A38" s="88" t="n"/>
      <c r="AF38" s="1" t="n"/>
      <c r="AG38" s="107" t="n"/>
      <c r="AH38" s="107" t="n"/>
      <c r="AI38" s="107" t="n"/>
      <c r="AJ38" s="107" t="n"/>
      <c r="AK38" s="107" t="n"/>
      <c r="AL38" s="1" t="n"/>
      <c r="AM38" s="1" t="n"/>
      <c r="AN38" s="1" t="n"/>
      <c r="AO38" s="1" t="n"/>
      <c r="AP38" s="1" t="n"/>
      <c r="AQ38" s="107" t="n"/>
      <c r="AW38" s="1" t="n"/>
      <c r="AX38" s="1" t="n"/>
      <c r="AY38" s="1" t="n"/>
    </row>
    <row r="39" ht="16" customHeight="1" s="55"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</row>
    <row r="41" ht="16" customHeight="1" s="55">
      <c r="AF41" s="1" t="n"/>
      <c r="AG41" s="107" t="n"/>
      <c r="AH41" s="107" t="n"/>
      <c r="AI41" s="107" t="n"/>
      <c r="AJ41" s="107" t="n"/>
      <c r="AK41" s="107" t="n"/>
      <c r="AP41" s="1" t="n"/>
      <c r="AQ41" s="107" t="n"/>
      <c r="AR41" s="107" t="n"/>
      <c r="AS41" s="107" t="n"/>
      <c r="AT41" s="107" t="n"/>
      <c r="AU41" s="107" t="n"/>
    </row>
    <row r="42" ht="16" customHeight="1" s="55">
      <c r="AF42" s="1" t="n"/>
      <c r="AG42" s="107" t="n"/>
      <c r="AH42" s="107" t="n"/>
      <c r="AI42" s="107" t="n"/>
      <c r="AJ42" s="107" t="n"/>
      <c r="AK42" s="107" t="n"/>
      <c r="AP42" s="1" t="n"/>
      <c r="AQ42" s="107" t="n"/>
      <c r="AR42" s="107" t="n"/>
      <c r="AS42" s="107" t="n"/>
      <c r="AT42" s="107" t="n"/>
      <c r="AU42" s="107" t="n"/>
    </row>
    <row r="43" ht="16" customHeight="1" s="55">
      <c r="AF43" s="1" t="n"/>
      <c r="AG43" s="107" t="n"/>
      <c r="AH43" s="107" t="n"/>
      <c r="AI43" s="107" t="n"/>
      <c r="AJ43" s="107" t="n"/>
      <c r="AK43" s="107" t="n"/>
      <c r="AP43" s="1" t="n"/>
      <c r="AQ43" s="107" t="n"/>
      <c r="AR43" s="107" t="n"/>
      <c r="AS43" s="107" t="n"/>
      <c r="AT43" s="107" t="n"/>
      <c r="AU43" s="107" t="n"/>
    </row>
    <row r="52" ht="16" customHeight="1" s="55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6" t="n"/>
      <c r="P52" s="88" t="n"/>
      <c r="Q52" s="86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</row>
  </sheetData>
  <mergeCells count="2">
    <mergeCell ref="BE37:BH37"/>
    <mergeCell ref="AX37:BC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6"/>
  <sheetViews>
    <sheetView zoomScaleNormal="100" workbookViewId="0">
      <selection activeCell="K25" sqref="K25"/>
    </sheetView>
  </sheetViews>
  <sheetFormatPr baseColWidth="10" defaultRowHeight="15"/>
  <cols>
    <col width="27.5" customWidth="1" style="55" min="1" max="1"/>
  </cols>
  <sheetData>
    <row r="1" ht="16" customHeight="1" s="55">
      <c r="A1" s="88" t="inlineStr">
        <is>
          <t>authoryr</t>
        </is>
      </c>
      <c r="B1" s="88" t="inlineStr">
        <is>
          <t>index</t>
        </is>
      </c>
      <c r="C1" s="88" t="inlineStr">
        <is>
          <t>idx</t>
        </is>
      </c>
      <c r="D1" s="88" t="inlineStr">
        <is>
          <t>test</t>
        </is>
      </c>
      <c r="E1" s="88" t="inlineStr">
        <is>
          <t>readerexpertise</t>
        </is>
      </c>
      <c r="F1" s="88" t="inlineStr">
        <is>
          <t>article</t>
        </is>
      </c>
      <c r="G1" s="88" t="inlineStr">
        <is>
          <t>study</t>
        </is>
      </c>
      <c r="H1" s="88" t="inlineStr">
        <is>
          <t>economic</t>
        </is>
      </c>
      <c r="I1" s="88" t="inlineStr">
        <is>
          <t>healthcare</t>
        </is>
      </c>
      <c r="J1" s="88" t="inlineStr">
        <is>
          <t>external</t>
        </is>
      </c>
      <c r="K1" s="88" t="inlineStr">
        <is>
          <t>dr</t>
        </is>
      </c>
      <c r="L1" s="88" t="inlineStr">
        <is>
          <t>othereyetarget</t>
        </is>
      </c>
      <c r="M1" s="88" t="inlineStr">
        <is>
          <t>pupil</t>
        </is>
      </c>
      <c r="N1" s="88" t="inlineStr">
        <is>
          <t>ctype</t>
        </is>
      </c>
      <c r="O1" s="88" t="inlineStr">
        <is>
          <t>camera</t>
        </is>
      </c>
      <c r="P1" s="88" t="inlineStr">
        <is>
          <t>criteria</t>
        </is>
      </c>
      <c r="Q1" s="88" t="inlineStr">
        <is>
          <t>rstandard</t>
        </is>
      </c>
      <c r="R1" s="88" t="inlineStr">
        <is>
          <t>disagree</t>
        </is>
      </c>
      <c r="S1" s="88" t="inlineStr">
        <is>
          <t>rimage</t>
        </is>
      </c>
      <c r="T1" s="51" t="inlineStr">
        <is>
          <t>field</t>
        </is>
      </c>
      <c r="U1" s="88" t="inlineStr">
        <is>
          <t>vendor</t>
        </is>
      </c>
      <c r="V1" s="88" t="inlineStr">
        <is>
          <t>commercial</t>
        </is>
      </c>
      <c r="W1" s="88" t="inlineStr">
        <is>
          <t>certified</t>
        </is>
      </c>
      <c r="X1" s="88" t="inlineStr">
        <is>
          <t>architecture</t>
        </is>
      </c>
      <c r="Y1" s="88" t="inlineStr">
        <is>
          <t>region</t>
        </is>
      </c>
      <c r="Z1" s="88" t="inlineStr">
        <is>
          <t>aigradable</t>
        </is>
      </c>
      <c r="AA1" s="88" t="inlineStr">
        <is>
          <t>hgradable</t>
        </is>
      </c>
      <c r="AB1" s="88" t="inlineStr">
        <is>
          <t>ungradable</t>
        </is>
      </c>
      <c r="AC1" s="88" t="inlineStr">
        <is>
          <t>prevalance</t>
        </is>
      </c>
      <c r="AD1" s="88" t="inlineStr">
        <is>
          <t>Total_ai1</t>
        </is>
      </c>
      <c r="AE1" s="103" t="inlineStr">
        <is>
          <t>Prevalence1</t>
        </is>
      </c>
      <c r="AF1" s="103" t="inlineStr">
        <is>
          <t>Positive1</t>
        </is>
      </c>
      <c r="AG1" s="103" t="inlineStr">
        <is>
          <t>Negative1</t>
        </is>
      </c>
      <c r="AH1" s="103" t="inlineStr">
        <is>
          <t>Sensitivity1</t>
        </is>
      </c>
      <c r="AI1" s="103" t="inlineStr">
        <is>
          <t>Specificity1</t>
        </is>
      </c>
      <c r="AJ1" s="88" t="inlineStr">
        <is>
          <t>tp1</t>
        </is>
      </c>
      <c r="AK1" s="88" t="inlineStr">
        <is>
          <t>fn1</t>
        </is>
      </c>
      <c r="AL1" s="88" t="inlineStr">
        <is>
          <t>tn1</t>
        </is>
      </c>
      <c r="AM1" s="88" t="inlineStr">
        <is>
          <t>fp1</t>
        </is>
      </c>
      <c r="AN1" s="88" t="inlineStr">
        <is>
          <t>fp1</t>
        </is>
      </c>
    </row>
    <row r="2" ht="17" customHeight="1" s="55">
      <c r="A2" s="88" t="inlineStr">
        <is>
          <t>Šín et al. 2025</t>
        </is>
      </c>
      <c r="B2" s="88" t="n">
        <v>1</v>
      </c>
      <c r="C2" s="86" t="inlineStr">
        <is>
          <t>DL</t>
        </is>
      </c>
      <c r="D2" s="86" t="inlineStr">
        <is>
          <t>Aireen</t>
        </is>
      </c>
      <c r="E2" s="86" t="inlineStr">
        <is>
          <t>ophthalmologist</t>
        </is>
      </c>
      <c r="F2" s="86" t="inlineStr">
        <is>
          <t>original</t>
        </is>
      </c>
      <c r="G2" s="86" t="inlineStr">
        <is>
          <t>prospective</t>
        </is>
      </c>
      <c r="H2" s="86" t="inlineStr">
        <is>
          <t>high</t>
        </is>
      </c>
      <c r="I2" s="86" t="inlineStr">
        <is>
          <t>primary</t>
        </is>
      </c>
      <c r="J2" s="86" t="inlineStr">
        <is>
          <t>no</t>
        </is>
      </c>
      <c r="K2" s="86" t="inlineStr">
        <is>
          <t>dr</t>
        </is>
      </c>
      <c r="L2" s="86" t="inlineStr">
        <is>
          <t>no</t>
        </is>
      </c>
      <c r="M2" s="86" t="inlineStr">
        <is>
          <t>no</t>
        </is>
      </c>
      <c r="N2" s="86" t="inlineStr">
        <is>
          <t>desktop</t>
        </is>
      </c>
      <c r="O2" s="86" t="inlineStr">
        <is>
          <t>canon</t>
        </is>
      </c>
      <c r="P2" s="86" t="inlineStr">
        <is>
          <t>other</t>
        </is>
      </c>
      <c r="Q2" s="86" t="inlineStr">
        <is>
          <t>retina specialist</t>
        </is>
      </c>
      <c r="R2" s="86" t="inlineStr">
        <is>
          <t>yes</t>
        </is>
      </c>
      <c r="S2" s="86" t="inlineStr">
        <is>
          <t>fundus</t>
        </is>
      </c>
      <c r="T2" s="32" t="inlineStr">
        <is>
          <t>1</t>
        </is>
      </c>
      <c r="U2" s="86" t="inlineStr">
        <is>
          <t>yes</t>
        </is>
      </c>
      <c r="V2" s="86" t="inlineStr">
        <is>
          <t>yes</t>
        </is>
      </c>
      <c r="W2" s="86" t="inlineStr">
        <is>
          <t>yes</t>
        </is>
      </c>
      <c r="X2" s="86" t="inlineStr">
        <is>
          <t>efficientnet family</t>
        </is>
      </c>
      <c r="Y2" s="86" t="inlineStr">
        <is>
          <t>europe</t>
        </is>
      </c>
      <c r="Z2" s="86" t="inlineStr">
        <is>
          <t>low</t>
        </is>
      </c>
      <c r="AA2" s="86" t="inlineStr">
        <is>
          <t>low</t>
        </is>
      </c>
      <c r="AB2" s="86" t="inlineStr">
        <is>
          <t>positive</t>
        </is>
      </c>
      <c r="AC2" s="86" t="inlineStr">
        <is>
          <t>high</t>
        </is>
      </c>
      <c r="AD2" s="86" t="n">
        <v>1154</v>
      </c>
      <c r="AE2" s="104" t="n">
        <v>0.3188908145580589</v>
      </c>
      <c r="AF2" s="104" t="n">
        <v>368</v>
      </c>
      <c r="AG2" s="104" t="n">
        <v>786</v>
      </c>
      <c r="AH2" s="104" t="n">
        <v>0.9211956521739131</v>
      </c>
      <c r="AI2" s="104" t="n">
        <v>0.9071246819338422</v>
      </c>
      <c r="AJ2" s="86" t="n">
        <v>339</v>
      </c>
      <c r="AK2" s="86" t="n">
        <v>29</v>
      </c>
      <c r="AL2" s="86" t="n">
        <v>713</v>
      </c>
      <c r="AM2" s="86" t="n">
        <v>73</v>
      </c>
      <c r="AN2" s="86" t="n">
        <v>73</v>
      </c>
    </row>
    <row r="3" ht="16" customHeight="1" s="55">
      <c r="A3" s="88" t="inlineStr">
        <is>
          <t>Pandey et al. 2024</t>
        </is>
      </c>
      <c r="B3" s="88" t="n">
        <v>2</v>
      </c>
      <c r="C3" s="86" t="inlineStr">
        <is>
          <t>DL</t>
        </is>
      </c>
      <c r="D3" s="86" t="inlineStr">
        <is>
          <t>DCE</t>
        </is>
      </c>
      <c r="E3" s="86" t="inlineStr">
        <is>
          <t>ophthalmologist</t>
        </is>
      </c>
      <c r="F3" s="86" t="inlineStr">
        <is>
          <t>original</t>
        </is>
      </c>
      <c r="G3" s="86" t="inlineStr">
        <is>
          <t>retrospective</t>
        </is>
      </c>
      <c r="H3" s="86" t="inlineStr">
        <is>
          <t>mixed</t>
        </is>
      </c>
      <c r="I3" s="86" t="inlineStr">
        <is>
          <t>public dataset</t>
        </is>
      </c>
      <c r="J3" s="86" t="inlineStr">
        <is>
          <t>no</t>
        </is>
      </c>
      <c r="K3" s="86" t="inlineStr">
        <is>
          <t>dr</t>
        </is>
      </c>
      <c r="L3" s="86" t="inlineStr">
        <is>
          <t>yes</t>
        </is>
      </c>
      <c r="M3" s="86" t="inlineStr">
        <is>
          <t>mixed</t>
        </is>
      </c>
      <c r="N3" s="86" t="inlineStr">
        <is>
          <t>mixed</t>
        </is>
      </c>
      <c r="O3" s="86" t="inlineStr">
        <is>
          <t>mixed</t>
        </is>
      </c>
      <c r="P3" s="86" t="inlineStr">
        <is>
          <t>multiple</t>
        </is>
      </c>
      <c r="Q3" s="86" t="inlineStr">
        <is>
          <t>retina specialist</t>
        </is>
      </c>
      <c r="R3" s="86" t="inlineStr">
        <is>
          <t>no</t>
        </is>
      </c>
      <c r="S3" s="86" t="inlineStr">
        <is>
          <t>fundus</t>
        </is>
      </c>
      <c r="T3" s="32" t="inlineStr">
        <is>
          <t>1</t>
        </is>
      </c>
      <c r="U3" s="86" t="inlineStr">
        <is>
          <t>no</t>
        </is>
      </c>
      <c r="V3" s="86" t="inlineStr">
        <is>
          <t>no</t>
        </is>
      </c>
      <c r="W3" s="86" t="inlineStr">
        <is>
          <t>no</t>
        </is>
      </c>
      <c r="X3" s="86" t="inlineStr">
        <is>
          <t>inception family</t>
        </is>
      </c>
      <c r="Y3" s="86" t="inlineStr">
        <is>
          <t>mixed</t>
        </is>
      </c>
      <c r="Z3" s="86" t="inlineStr">
        <is>
          <t>high</t>
        </is>
      </c>
      <c r="AA3" s="86" t="inlineStr">
        <is>
          <t>high</t>
        </is>
      </c>
      <c r="AB3" s="86" t="inlineStr">
        <is>
          <t>excluded</t>
        </is>
      </c>
      <c r="AC3" s="86" t="inlineStr">
        <is>
          <t>middle</t>
        </is>
      </c>
      <c r="AD3" s="86" t="n">
        <v>100</v>
      </c>
      <c r="AE3" s="104" t="n">
        <v>0.25</v>
      </c>
      <c r="AF3" s="104" t="n">
        <v>25</v>
      </c>
      <c r="AG3" s="104" t="n">
        <v>75</v>
      </c>
      <c r="AH3" s="104" t="n">
        <v>0.72</v>
      </c>
      <c r="AI3" s="104" t="n">
        <v>0.9466666666666667</v>
      </c>
      <c r="AJ3" s="86" t="n">
        <v>18</v>
      </c>
      <c r="AK3" s="86" t="n">
        <v>7</v>
      </c>
      <c r="AL3" s="86" t="n">
        <v>71</v>
      </c>
      <c r="AM3" s="86" t="n">
        <v>4</v>
      </c>
      <c r="AN3" s="86" t="n">
        <v>23</v>
      </c>
    </row>
    <row r="4" ht="16" customHeight="1" s="55">
      <c r="A4" s="88" t="inlineStr">
        <is>
          <t>Dow et al. 2023</t>
        </is>
      </c>
      <c r="B4" s="88" t="n">
        <v>3</v>
      </c>
      <c r="C4" s="86" t="inlineStr">
        <is>
          <t>DL</t>
        </is>
      </c>
      <c r="D4" s="86" t="inlineStr">
        <is>
          <t>IDx-DR</t>
        </is>
      </c>
      <c r="E4" s="86" t="inlineStr">
        <is>
          <t>retinaspecialist</t>
        </is>
      </c>
      <c r="F4" s="86" t="inlineStr">
        <is>
          <t>original</t>
        </is>
      </c>
      <c r="G4" s="86" t="inlineStr">
        <is>
          <t>retrospective</t>
        </is>
      </c>
      <c r="H4" s="86" t="inlineStr">
        <is>
          <t>high</t>
        </is>
      </c>
      <c r="I4" s="86" t="inlineStr">
        <is>
          <t>primary</t>
        </is>
      </c>
      <c r="J4" s="86" t="inlineStr">
        <is>
          <t>no</t>
        </is>
      </c>
      <c r="K4" s="86" t="inlineStr">
        <is>
          <t>rdr</t>
        </is>
      </c>
      <c r="L4" s="86" t="inlineStr">
        <is>
          <t>no</t>
        </is>
      </c>
      <c r="M4" s="86" t="inlineStr">
        <is>
          <t>no</t>
        </is>
      </c>
      <c r="N4" s="86" t="inlineStr">
        <is>
          <t>desktop</t>
        </is>
      </c>
      <c r="O4" s="86" t="inlineStr">
        <is>
          <t>other</t>
        </is>
      </c>
      <c r="P4" s="86" t="inlineStr">
        <is>
          <t>multiple</t>
        </is>
      </c>
      <c r="Q4" s="86" t="inlineStr">
        <is>
          <t>retina specialist</t>
        </is>
      </c>
      <c r="R4" s="86" t="inlineStr">
        <is>
          <t>yes</t>
        </is>
      </c>
      <c r="S4" s="86" t="inlineStr">
        <is>
          <t>with advanced image</t>
        </is>
      </c>
      <c r="T4" s="32" t="inlineStr">
        <is>
          <t>2</t>
        </is>
      </c>
      <c r="U4" s="86" t="inlineStr">
        <is>
          <t>no</t>
        </is>
      </c>
      <c r="V4" s="86" t="inlineStr">
        <is>
          <t>yes</t>
        </is>
      </c>
      <c r="W4" s="86" t="inlineStr">
        <is>
          <t>yes</t>
        </is>
      </c>
      <c r="X4" s="86" t="inlineStr">
        <is>
          <t>inception family</t>
        </is>
      </c>
      <c r="Y4" s="86" t="inlineStr">
        <is>
          <t>north america</t>
        </is>
      </c>
      <c r="Z4" s="86" t="inlineStr">
        <is>
          <t>low</t>
        </is>
      </c>
      <c r="AA4" s="86" t="inlineStr">
        <is>
          <t>high</t>
        </is>
      </c>
      <c r="AB4" s="86" t="inlineStr">
        <is>
          <t>positive</t>
        </is>
      </c>
      <c r="AC4" s="86" t="inlineStr">
        <is>
          <t>middle</t>
        </is>
      </c>
      <c r="AD4" s="86" t="n">
        <v>80</v>
      </c>
      <c r="AE4" s="104" t="n">
        <v>0.275</v>
      </c>
      <c r="AF4" s="104" t="n">
        <v>22</v>
      </c>
      <c r="AG4" s="104" t="n">
        <v>58</v>
      </c>
      <c r="AH4" s="104" t="n">
        <v>0.9545454545454546</v>
      </c>
      <c r="AI4" s="104" t="n">
        <v>0.603448275862069</v>
      </c>
      <c r="AJ4" s="86" t="n">
        <v>21</v>
      </c>
      <c r="AK4" s="86" t="n">
        <v>1</v>
      </c>
      <c r="AL4" s="86" t="n">
        <v>35</v>
      </c>
      <c r="AM4" s="86" t="n">
        <v>23</v>
      </c>
      <c r="AN4" s="86" t="n">
        <v>22</v>
      </c>
    </row>
    <row r="5" ht="16" customHeight="1" s="55">
      <c r="A5" s="88" t="inlineStr">
        <is>
          <t>Lim et al. 2023</t>
        </is>
      </c>
      <c r="B5" s="88" t="n">
        <v>4</v>
      </c>
      <c r="C5" s="86" t="inlineStr">
        <is>
          <t>DL</t>
        </is>
      </c>
      <c r="D5" s="86" t="inlineStr">
        <is>
          <t>EyeArt</t>
        </is>
      </c>
      <c r="E5" s="86" t="inlineStr">
        <is>
          <t>retinaspecialist</t>
        </is>
      </c>
      <c r="F5" s="86" t="inlineStr">
        <is>
          <t>original</t>
        </is>
      </c>
      <c r="G5" s="86" t="inlineStr">
        <is>
          <t>prospective</t>
        </is>
      </c>
      <c r="H5" s="86" t="inlineStr">
        <is>
          <t>high</t>
        </is>
      </c>
      <c r="I5" s="86" t="inlineStr">
        <is>
          <t>tertiary</t>
        </is>
      </c>
      <c r="J5" s="86" t="inlineStr">
        <is>
          <t>no</t>
        </is>
      </c>
      <c r="K5" s="86" t="inlineStr">
        <is>
          <t>rdr</t>
        </is>
      </c>
      <c r="L5" s="86" t="inlineStr">
        <is>
          <t>no</t>
        </is>
      </c>
      <c r="M5" s="86" t="inlineStr">
        <is>
          <t>mixed</t>
        </is>
      </c>
      <c r="N5" s="86" t="inlineStr">
        <is>
          <t>desktop</t>
        </is>
      </c>
      <c r="O5" s="86" t="inlineStr">
        <is>
          <t>canon</t>
        </is>
      </c>
      <c r="P5" s="86" t="inlineStr">
        <is>
          <t>other</t>
        </is>
      </c>
      <c r="Q5" s="86" t="inlineStr">
        <is>
          <t>certified graders</t>
        </is>
      </c>
      <c r="R5" s="86" t="inlineStr">
        <is>
          <t>yes</t>
        </is>
      </c>
      <c r="S5" s="86" t="inlineStr">
        <is>
          <t>with advanced image</t>
        </is>
      </c>
      <c r="T5" s="32" t="inlineStr">
        <is>
          <t>2</t>
        </is>
      </c>
      <c r="U5" s="86" t="inlineStr">
        <is>
          <t>yes</t>
        </is>
      </c>
      <c r="V5" s="86" t="inlineStr">
        <is>
          <t>yes</t>
        </is>
      </c>
      <c r="W5" s="86" t="inlineStr">
        <is>
          <t>yes</t>
        </is>
      </c>
      <c r="X5" s="86" t="inlineStr">
        <is>
          <t>cnn</t>
        </is>
      </c>
      <c r="Y5" s="86" t="inlineStr">
        <is>
          <t>north america</t>
        </is>
      </c>
      <c r="Z5" s="86" t="inlineStr">
        <is>
          <t>high</t>
        </is>
      </c>
      <c r="AA5" s="86" t="inlineStr">
        <is>
          <t>high</t>
        </is>
      </c>
      <c r="AB5" s="86" t="inlineStr">
        <is>
          <t>positive</t>
        </is>
      </c>
      <c r="AC5" s="86" t="inlineStr">
        <is>
          <t>middle</t>
        </is>
      </c>
      <c r="AD5" s="86" t="n">
        <v>221</v>
      </c>
      <c r="AE5" s="104" t="n">
        <v>0.167420814479638</v>
      </c>
      <c r="AF5" s="104" t="n">
        <v>37</v>
      </c>
      <c r="AG5" s="104" t="n">
        <v>184</v>
      </c>
      <c r="AH5" s="104" t="n">
        <v>0.972972972972973</v>
      </c>
      <c r="AI5" s="104" t="n">
        <v>0.8804347826086957</v>
      </c>
      <c r="AJ5" s="86" t="n">
        <v>36</v>
      </c>
      <c r="AK5" s="86" t="n">
        <v>1</v>
      </c>
      <c r="AL5" s="86" t="n">
        <v>162</v>
      </c>
      <c r="AM5" s="86" t="n">
        <v>22</v>
      </c>
      <c r="AN5" s="86" t="n">
        <v>57</v>
      </c>
    </row>
    <row r="6" ht="16" customHeight="1" s="55">
      <c r="A6" s="28" t="inlineStr">
        <is>
          <t>Li et al. 2022</t>
        </is>
      </c>
      <c r="B6" s="28" t="n">
        <v>5</v>
      </c>
      <c r="C6" s="86" t="inlineStr">
        <is>
          <t>DL</t>
        </is>
      </c>
      <c r="D6" s="86" t="inlineStr">
        <is>
          <t>AI-100</t>
        </is>
      </c>
      <c r="E6" s="86" t="inlineStr">
        <is>
          <t>ophthalmologist</t>
        </is>
      </c>
      <c r="F6" s="86" t="inlineStr">
        <is>
          <t>original</t>
        </is>
      </c>
      <c r="G6" s="86" t="inlineStr">
        <is>
          <t>prospective</t>
        </is>
      </c>
      <c r="H6" s="86" t="inlineStr">
        <is>
          <t>middle</t>
        </is>
      </c>
      <c r="I6" s="86" t="inlineStr">
        <is>
          <t>tertiary</t>
        </is>
      </c>
      <c r="J6" s="86" t="inlineStr">
        <is>
          <t>no</t>
        </is>
      </c>
      <c r="K6" s="86" t="inlineStr">
        <is>
          <t>rdr</t>
        </is>
      </c>
      <c r="L6" s="86" t="inlineStr">
        <is>
          <t>yes</t>
        </is>
      </c>
      <c r="M6" s="86" t="inlineStr">
        <is>
          <t>no</t>
        </is>
      </c>
      <c r="N6" s="86" t="inlineStr">
        <is>
          <t>desktop</t>
        </is>
      </c>
      <c r="O6" s="86" t="inlineStr">
        <is>
          <t>mixed</t>
        </is>
      </c>
      <c r="P6" s="86" t="inlineStr">
        <is>
          <t>icdr</t>
        </is>
      </c>
      <c r="Q6" s="86" t="inlineStr">
        <is>
          <t>ophthalmologist</t>
        </is>
      </c>
      <c r="R6" s="86" t="inlineStr">
        <is>
          <t>yes</t>
        </is>
      </c>
      <c r="S6" s="86" t="inlineStr">
        <is>
          <t>fundus</t>
        </is>
      </c>
      <c r="T6" s="32" t="inlineStr">
        <is>
          <t>1</t>
        </is>
      </c>
      <c r="U6" s="86" t="inlineStr">
        <is>
          <t>yes</t>
        </is>
      </c>
      <c r="V6" s="86" t="inlineStr">
        <is>
          <t>yes</t>
        </is>
      </c>
      <c r="W6" s="86" t="inlineStr">
        <is>
          <t>yes</t>
        </is>
      </c>
      <c r="X6" s="86" t="inlineStr">
        <is>
          <t>densenet family</t>
        </is>
      </c>
      <c r="Y6" s="86" t="inlineStr">
        <is>
          <t>asia</t>
        </is>
      </c>
      <c r="Z6" s="86" t="inlineStr">
        <is>
          <t>high</t>
        </is>
      </c>
      <c r="AA6" s="86" t="inlineStr">
        <is>
          <t>high</t>
        </is>
      </c>
      <c r="AB6" s="86" t="inlineStr">
        <is>
          <t>excluded</t>
        </is>
      </c>
      <c r="AC6" s="86" t="inlineStr">
        <is>
          <t>middle</t>
        </is>
      </c>
      <c r="AD6" s="86" t="n">
        <v>1585</v>
      </c>
      <c r="AE6" s="104" t="n">
        <v>0.2044164037854889</v>
      </c>
      <c r="AF6" s="104" t="n">
        <v>324</v>
      </c>
      <c r="AG6" s="104" t="n">
        <v>1261</v>
      </c>
      <c r="AH6" s="104" t="n">
        <v>0.9475308641975309</v>
      </c>
      <c r="AI6" s="104" t="n">
        <v>0.9547977795400476</v>
      </c>
      <c r="AJ6" s="86" t="n">
        <v>307</v>
      </c>
      <c r="AK6" s="86" t="n">
        <v>17</v>
      </c>
      <c r="AL6" s="86" t="n">
        <v>1204</v>
      </c>
      <c r="AM6" s="86" t="n">
        <v>57</v>
      </c>
      <c r="AN6" s="86" t="n">
        <v>3</v>
      </c>
    </row>
    <row r="7" ht="16" customHeight="1" s="55">
      <c r="A7" s="88" t="inlineStr">
        <is>
          <t>Ruamviboonsuk et al. 2022</t>
        </is>
      </c>
      <c r="B7" s="88" t="n">
        <v>6</v>
      </c>
      <c r="C7" s="86" t="inlineStr">
        <is>
          <t>DL</t>
        </is>
      </c>
      <c r="D7" s="86" t="inlineStr">
        <is>
          <t>ARDA</t>
        </is>
      </c>
      <c r="E7" s="86" t="inlineStr">
        <is>
          <t>retinaspecialist</t>
        </is>
      </c>
      <c r="F7" s="86" t="inlineStr">
        <is>
          <t>original</t>
        </is>
      </c>
      <c r="G7" s="86" t="inlineStr">
        <is>
          <t>prospective</t>
        </is>
      </c>
      <c r="H7" s="86" t="inlineStr">
        <is>
          <t>middle</t>
        </is>
      </c>
      <c r="I7" s="86" t="inlineStr">
        <is>
          <t>primary</t>
        </is>
      </c>
      <c r="J7" s="86" t="inlineStr">
        <is>
          <t>yes</t>
        </is>
      </c>
      <c r="K7" s="86" t="inlineStr">
        <is>
          <t>vtdr</t>
        </is>
      </c>
      <c r="L7" s="86" t="inlineStr">
        <is>
          <t>no</t>
        </is>
      </c>
      <c r="M7" s="86" t="inlineStr">
        <is>
          <t>no</t>
        </is>
      </c>
      <c r="N7" s="86" t="inlineStr">
        <is>
          <t>desktop</t>
        </is>
      </c>
      <c r="O7" s="86" t="inlineStr">
        <is>
          <t>mixed</t>
        </is>
      </c>
      <c r="P7" s="86" t="inlineStr">
        <is>
          <t>icdr</t>
        </is>
      </c>
      <c r="Q7" s="86" t="inlineStr">
        <is>
          <t>retina specialist</t>
        </is>
      </c>
      <c r="R7" s="86" t="inlineStr">
        <is>
          <t>yes</t>
        </is>
      </c>
      <c r="S7" s="86" t="inlineStr">
        <is>
          <t>fundus</t>
        </is>
      </c>
      <c r="T7" s="32" t="inlineStr">
        <is>
          <t>1</t>
        </is>
      </c>
      <c r="U7" s="86" t="inlineStr">
        <is>
          <t>yes</t>
        </is>
      </c>
      <c r="V7" s="86" t="inlineStr">
        <is>
          <t>yes</t>
        </is>
      </c>
      <c r="W7" s="86" t="inlineStr">
        <is>
          <t>yes</t>
        </is>
      </c>
      <c r="X7" s="86" t="inlineStr">
        <is>
          <t>inception family</t>
        </is>
      </c>
      <c r="Y7" s="86" t="inlineStr">
        <is>
          <t>asia</t>
        </is>
      </c>
      <c r="Z7" s="86" t="inlineStr">
        <is>
          <t>high</t>
        </is>
      </c>
      <c r="AA7" s="86" t="inlineStr">
        <is>
          <t>low</t>
        </is>
      </c>
      <c r="AB7" s="86" t="inlineStr">
        <is>
          <t>positive</t>
        </is>
      </c>
      <c r="AC7" s="86" t="inlineStr">
        <is>
          <t>middle</t>
        </is>
      </c>
      <c r="AD7" s="86" t="n">
        <v>926</v>
      </c>
      <c r="AE7" s="104" t="n">
        <v>0.275377969762419</v>
      </c>
      <c r="AF7" s="104" t="n">
        <v>255</v>
      </c>
      <c r="AG7" s="104" t="n">
        <v>671</v>
      </c>
      <c r="AH7" s="104" t="n">
        <v>0.9137254901960784</v>
      </c>
      <c r="AI7" s="104" t="n">
        <v>0.9538002980625931</v>
      </c>
      <c r="AJ7" s="86" t="n">
        <v>233</v>
      </c>
      <c r="AK7" s="86" t="n">
        <v>22</v>
      </c>
      <c r="AL7" s="86" t="n">
        <v>640</v>
      </c>
      <c r="AM7" s="86" t="n">
        <v>31</v>
      </c>
      <c r="AN7" s="86" t="n">
        <v>5</v>
      </c>
    </row>
    <row r="8" ht="16" customHeight="1" s="55">
      <c r="A8" s="88" t="inlineStr">
        <is>
          <t>Kim et al. 2021</t>
        </is>
      </c>
      <c r="B8" s="88" t="n">
        <v>7</v>
      </c>
      <c r="C8" s="86" t="inlineStr">
        <is>
          <t>DL</t>
        </is>
      </c>
      <c r="D8" s="86" t="inlineStr">
        <is>
          <t>EyeArt</t>
        </is>
      </c>
      <c r="E8" s="86" t="inlineStr">
        <is>
          <t>retinaspecialist</t>
        </is>
      </c>
      <c r="F8" s="86" t="inlineStr">
        <is>
          <t>original</t>
        </is>
      </c>
      <c r="G8" s="86" t="inlineStr">
        <is>
          <t>prospective</t>
        </is>
      </c>
      <c r="H8" s="86" t="inlineStr">
        <is>
          <t>high</t>
        </is>
      </c>
      <c r="I8" s="86" t="inlineStr">
        <is>
          <t>tertiary</t>
        </is>
      </c>
      <c r="J8" s="86" t="inlineStr">
        <is>
          <t>no</t>
        </is>
      </c>
      <c r="K8" s="86" t="inlineStr">
        <is>
          <t>rdr</t>
        </is>
      </c>
      <c r="L8" s="86" t="inlineStr">
        <is>
          <t>no</t>
        </is>
      </c>
      <c r="M8" s="86" t="inlineStr">
        <is>
          <t>yes</t>
        </is>
      </c>
      <c r="N8" s="86" t="inlineStr">
        <is>
          <t>smartphone</t>
        </is>
      </c>
      <c r="O8" s="86" t="inlineStr">
        <is>
          <t>other</t>
        </is>
      </c>
      <c r="P8" s="86" t="inlineStr">
        <is>
          <t>etdrs</t>
        </is>
      </c>
      <c r="Q8" s="86" t="inlineStr">
        <is>
          <t>retina specialist</t>
        </is>
      </c>
      <c r="R8" s="86" t="inlineStr">
        <is>
          <t>no</t>
        </is>
      </c>
      <c r="S8" s="86" t="inlineStr">
        <is>
          <t>clinical examination</t>
        </is>
      </c>
      <c r="T8" s="32" t="inlineStr">
        <is>
          <t>&gt;2</t>
        </is>
      </c>
      <c r="U8" s="86" t="inlineStr">
        <is>
          <t>yes</t>
        </is>
      </c>
      <c r="V8" s="86" t="inlineStr">
        <is>
          <t>yes</t>
        </is>
      </c>
      <c r="W8" s="86" t="inlineStr">
        <is>
          <t>yes</t>
        </is>
      </c>
      <c r="X8" s="86" t="inlineStr">
        <is>
          <t>cnn</t>
        </is>
      </c>
      <c r="Y8" s="86" t="inlineStr">
        <is>
          <t>north america</t>
        </is>
      </c>
      <c r="Z8" s="86" t="inlineStr">
        <is>
          <t>high</t>
        </is>
      </c>
      <c r="AA8" s="86" t="inlineStr">
        <is>
          <t>high</t>
        </is>
      </c>
      <c r="AB8" s="86" t="inlineStr">
        <is>
          <t>excluded</t>
        </is>
      </c>
      <c r="AC8" s="86" t="inlineStr">
        <is>
          <t>high</t>
        </is>
      </c>
      <c r="AD8" s="86" t="n">
        <v>68</v>
      </c>
      <c r="AE8" s="104" t="n">
        <v>0.7941176470588235</v>
      </c>
      <c r="AF8" s="104" t="n">
        <v>54</v>
      </c>
      <c r="AG8" s="104" t="n">
        <v>14</v>
      </c>
      <c r="AH8" s="104" t="n">
        <v>0.8703703703703703</v>
      </c>
      <c r="AI8" s="104" t="n">
        <v>0.7857142857142857</v>
      </c>
      <c r="AJ8" s="86" t="n">
        <v>47</v>
      </c>
      <c r="AK8" s="86" t="n">
        <v>7</v>
      </c>
      <c r="AL8" s="86" t="n">
        <v>11</v>
      </c>
      <c r="AM8" s="86" t="n">
        <v>3</v>
      </c>
      <c r="AN8" s="86" t="n">
        <v>1</v>
      </c>
    </row>
    <row r="9" ht="16" customHeight="1" s="55">
      <c r="A9" s="28" t="inlineStr">
        <is>
          <t>Li et al. 2021</t>
        </is>
      </c>
      <c r="B9" s="28" t="n">
        <v>8</v>
      </c>
      <c r="C9" s="86" t="inlineStr">
        <is>
          <t>DL</t>
        </is>
      </c>
      <c r="D9" s="86" t="inlineStr">
        <is>
          <t>VeriSee</t>
        </is>
      </c>
      <c r="E9" s="86" t="inlineStr">
        <is>
          <t>physician</t>
        </is>
      </c>
      <c r="F9" s="86" t="inlineStr">
        <is>
          <t>original</t>
        </is>
      </c>
      <c r="G9" s="86" t="inlineStr">
        <is>
          <t>retrospective</t>
        </is>
      </c>
      <c r="H9" s="86" t="inlineStr">
        <is>
          <t>high</t>
        </is>
      </c>
      <c r="I9" s="86" t="inlineStr">
        <is>
          <t>tertiary</t>
        </is>
      </c>
      <c r="J9" s="86" t="inlineStr">
        <is>
          <t>no</t>
        </is>
      </c>
      <c r="K9" s="86" t="inlineStr">
        <is>
          <t>rdr</t>
        </is>
      </c>
      <c r="L9" s="86" t="inlineStr">
        <is>
          <t>no</t>
        </is>
      </c>
      <c r="M9" s="86" t="inlineStr">
        <is>
          <t>no</t>
        </is>
      </c>
      <c r="N9" s="86" t="inlineStr">
        <is>
          <t>desktop</t>
        </is>
      </c>
      <c r="O9" s="86" t="inlineStr">
        <is>
          <t>canon</t>
        </is>
      </c>
      <c r="P9" s="86" t="inlineStr">
        <is>
          <t>icdr</t>
        </is>
      </c>
      <c r="Q9" s="86" t="inlineStr">
        <is>
          <t>ophthalmologist</t>
        </is>
      </c>
      <c r="R9" s="86" t="inlineStr">
        <is>
          <t>yes</t>
        </is>
      </c>
      <c r="S9" s="86" t="inlineStr">
        <is>
          <t>fundus</t>
        </is>
      </c>
      <c r="T9" s="32" t="inlineStr">
        <is>
          <t>1</t>
        </is>
      </c>
      <c r="U9" s="86" t="inlineStr">
        <is>
          <t>no</t>
        </is>
      </c>
      <c r="V9" s="86" t="inlineStr">
        <is>
          <t>yes</t>
        </is>
      </c>
      <c r="W9" s="86" t="inlineStr">
        <is>
          <t>yes</t>
        </is>
      </c>
      <c r="X9" s="86" t="inlineStr">
        <is>
          <t>inception family</t>
        </is>
      </c>
      <c r="Y9" s="86" t="inlineStr">
        <is>
          <t>asia</t>
        </is>
      </c>
      <c r="Z9" s="86" t="inlineStr">
        <is>
          <t>high</t>
        </is>
      </c>
      <c r="AA9" s="86" t="inlineStr">
        <is>
          <t>high</t>
        </is>
      </c>
      <c r="AB9" s="86" t="inlineStr">
        <is>
          <t>excluded</t>
        </is>
      </c>
      <c r="AC9" s="86" t="inlineStr">
        <is>
          <t>middle</t>
        </is>
      </c>
      <c r="AD9" s="86" t="n">
        <v>468</v>
      </c>
      <c r="AE9" s="104" t="n">
        <v>0.1217948717948718</v>
      </c>
      <c r="AF9" s="104" t="n">
        <v>57</v>
      </c>
      <c r="AG9" s="104" t="n">
        <v>411</v>
      </c>
      <c r="AH9" s="104" t="n">
        <v>0.9122807017543859</v>
      </c>
      <c r="AI9" s="104" t="n">
        <v>0.8394160583941606</v>
      </c>
      <c r="AJ9" s="86" t="n">
        <v>52</v>
      </c>
      <c r="AK9" s="86" t="n">
        <v>5</v>
      </c>
      <c r="AL9" s="86" t="n">
        <v>345</v>
      </c>
      <c r="AM9" s="86" t="n">
        <v>66</v>
      </c>
      <c r="AN9" s="86" t="n">
        <v>185</v>
      </c>
    </row>
    <row r="10" ht="16" customHeight="1" s="55">
      <c r="A10" s="28" t="inlineStr">
        <is>
          <t>Noriega et al. 2021</t>
        </is>
      </c>
      <c r="B10" s="28" t="n">
        <v>9</v>
      </c>
      <c r="C10" s="86" t="inlineStr">
        <is>
          <t>DL</t>
        </is>
      </c>
      <c r="D10" s="86" t="inlineStr">
        <is>
          <t>ARIA</t>
        </is>
      </c>
      <c r="E10" s="86" t="inlineStr">
        <is>
          <t>ophthalmologist</t>
        </is>
      </c>
      <c r="F10" s="86" t="inlineStr">
        <is>
          <t>original</t>
        </is>
      </c>
      <c r="G10" s="86" t="inlineStr">
        <is>
          <t>prospective</t>
        </is>
      </c>
      <c r="H10" s="86" t="inlineStr">
        <is>
          <t>middle</t>
        </is>
      </c>
      <c r="I10" s="86" t="inlineStr">
        <is>
          <t>tertiary</t>
        </is>
      </c>
      <c r="J10" s="86" t="inlineStr">
        <is>
          <t>yes</t>
        </is>
      </c>
      <c r="K10" s="86" t="inlineStr">
        <is>
          <t>rdr</t>
        </is>
      </c>
      <c r="L10" s="86" t="inlineStr">
        <is>
          <t>no</t>
        </is>
      </c>
      <c r="M10" s="86" t="inlineStr">
        <is>
          <t>no</t>
        </is>
      </c>
      <c r="N10" s="86" t="inlineStr">
        <is>
          <t>mixed</t>
        </is>
      </c>
      <c r="O10" s="86" t="inlineStr">
        <is>
          <t>mixed</t>
        </is>
      </c>
      <c r="P10" s="86" t="inlineStr">
        <is>
          <t>icdr</t>
        </is>
      </c>
      <c r="Q10" s="86" t="inlineStr">
        <is>
          <t>retina specialist</t>
        </is>
      </c>
      <c r="R10" s="86" t="inlineStr">
        <is>
          <t>no</t>
        </is>
      </c>
      <c r="S10" s="86" t="inlineStr">
        <is>
          <t>fundus</t>
        </is>
      </c>
      <c r="T10" s="32" t="inlineStr">
        <is>
          <t>1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vgg family</t>
        </is>
      </c>
      <c r="Y10" s="86" t="inlineStr">
        <is>
          <t>north america</t>
        </is>
      </c>
      <c r="Z10" s="86" t="inlineStr">
        <is>
          <t>high</t>
        </is>
      </c>
      <c r="AA10" s="86" t="inlineStr">
        <is>
          <t>high</t>
        </is>
      </c>
      <c r="AB10" s="86" t="inlineStr">
        <is>
          <t>excluded</t>
        </is>
      </c>
      <c r="AC10" s="86" t="inlineStr">
        <is>
          <t>high</t>
        </is>
      </c>
      <c r="AD10" s="86" t="n">
        <v>100</v>
      </c>
      <c r="AE10" s="104" t="n">
        <v>0.5</v>
      </c>
      <c r="AF10" s="104" t="n">
        <v>50</v>
      </c>
      <c r="AG10" s="104" t="n">
        <v>50</v>
      </c>
      <c r="AH10" s="104" t="n">
        <v>0.96</v>
      </c>
      <c r="AI10" s="104" t="n">
        <v>0.9</v>
      </c>
      <c r="AJ10" s="86" t="n">
        <v>48</v>
      </c>
      <c r="AK10" s="86" t="n">
        <v>2</v>
      </c>
      <c r="AL10" s="86" t="n">
        <v>45</v>
      </c>
      <c r="AM10" s="86" t="n">
        <v>5</v>
      </c>
      <c r="AN10" s="86" t="n">
        <v>5</v>
      </c>
    </row>
    <row r="11" ht="16" customHeight="1" s="55">
      <c r="A11" s="88" t="inlineStr">
        <is>
          <t>Wintergerst et al. 2021</t>
        </is>
      </c>
      <c r="B11" s="88" t="n">
        <v>10</v>
      </c>
      <c r="C11" s="86" t="inlineStr">
        <is>
          <t>DL</t>
        </is>
      </c>
      <c r="D11" s="86" t="inlineStr">
        <is>
          <t>EyeArt</t>
        </is>
      </c>
      <c r="E11" s="86" t="inlineStr">
        <is>
          <t>ophthalmologist</t>
        </is>
      </c>
      <c r="F11" s="86" t="inlineStr">
        <is>
          <t>original</t>
        </is>
      </c>
      <c r="G11" s="86" t="inlineStr">
        <is>
          <t>prospective</t>
        </is>
      </c>
      <c r="H11" s="86" t="inlineStr">
        <is>
          <t>high</t>
        </is>
      </c>
      <c r="I11" s="86" t="inlineStr">
        <is>
          <t>primary</t>
        </is>
      </c>
      <c r="J11" s="86" t="inlineStr">
        <is>
          <t>yes</t>
        </is>
      </c>
      <c r="K11" s="86" t="inlineStr">
        <is>
          <t>rdr</t>
        </is>
      </c>
      <c r="L11" s="86" t="inlineStr">
        <is>
          <t>no</t>
        </is>
      </c>
      <c r="M11" s="86" t="inlineStr">
        <is>
          <t>mixed</t>
        </is>
      </c>
      <c r="N11" s="86" t="inlineStr">
        <is>
          <t>desktop</t>
        </is>
      </c>
      <c r="O11" s="86" t="inlineStr">
        <is>
          <t>other</t>
        </is>
      </c>
      <c r="P11" s="86" t="inlineStr">
        <is>
          <t>icdr</t>
        </is>
      </c>
      <c r="Q11" s="86" t="inlineStr">
        <is>
          <t>retina specialist</t>
        </is>
      </c>
      <c r="R11" s="86" t="inlineStr">
        <is>
          <t>yes</t>
        </is>
      </c>
      <c r="S11" s="86" t="inlineStr">
        <is>
          <t>fundus</t>
        </is>
      </c>
      <c r="T11" s="32" t="inlineStr">
        <is>
          <t>&gt;2</t>
        </is>
      </c>
      <c r="U11" s="86" t="inlineStr">
        <is>
          <t>no</t>
        </is>
      </c>
      <c r="V11" s="86" t="inlineStr">
        <is>
          <t>yes</t>
        </is>
      </c>
      <c r="W11" s="86" t="inlineStr">
        <is>
          <t>yes</t>
        </is>
      </c>
      <c r="X11" s="86" t="inlineStr">
        <is>
          <t>cnn</t>
        </is>
      </c>
      <c r="Y11" s="86" t="inlineStr">
        <is>
          <t>europe</t>
        </is>
      </c>
      <c r="Z11" s="86" t="inlineStr">
        <is>
          <t>low</t>
        </is>
      </c>
      <c r="AA11" s="86" t="inlineStr">
        <is>
          <t>low</t>
        </is>
      </c>
      <c r="AB11" s="86" t="inlineStr">
        <is>
          <t>positive</t>
        </is>
      </c>
      <c r="AC11" s="86" t="inlineStr">
        <is>
          <t>low</t>
        </is>
      </c>
      <c r="AD11" s="86" t="n">
        <v>48</v>
      </c>
      <c r="AE11" s="104" t="n">
        <v>0.08333333333333333</v>
      </c>
      <c r="AF11" s="104" t="n">
        <v>4</v>
      </c>
      <c r="AG11" s="104" t="n">
        <v>44</v>
      </c>
      <c r="AH11" s="104" t="n">
        <v>0.75</v>
      </c>
      <c r="AI11" s="104" t="n">
        <v>0.9772727272727273</v>
      </c>
      <c r="AJ11" s="86" t="n">
        <v>3</v>
      </c>
      <c r="AK11" s="86" t="n">
        <v>1</v>
      </c>
      <c r="AL11" s="86" t="n">
        <v>43</v>
      </c>
      <c r="AM11" s="86" t="n">
        <v>1</v>
      </c>
      <c r="AN11" s="86" t="n">
        <v>3</v>
      </c>
    </row>
    <row r="12" ht="16" customHeight="1" s="55">
      <c r="A12" s="28" t="inlineStr">
        <is>
          <t>Limwattanayingyong et al .2020</t>
        </is>
      </c>
      <c r="B12" s="28" t="n">
        <v>11</v>
      </c>
      <c r="C12" s="86" t="inlineStr">
        <is>
          <t>DL</t>
        </is>
      </c>
      <c r="D12" s="86" t="inlineStr">
        <is>
          <t>ARDA</t>
        </is>
      </c>
      <c r="E12" s="86" t="inlineStr">
        <is>
          <t>trainedgrader</t>
        </is>
      </c>
      <c r="F12" s="86" t="inlineStr">
        <is>
          <t>original</t>
        </is>
      </c>
      <c r="G12" s="86" t="inlineStr">
        <is>
          <t>retrospective</t>
        </is>
      </c>
      <c r="H12" s="86" t="inlineStr">
        <is>
          <t>middle</t>
        </is>
      </c>
      <c r="I12" s="86" t="inlineStr">
        <is>
          <t>primary</t>
        </is>
      </c>
      <c r="J12" s="86" t="inlineStr">
        <is>
          <t>yes</t>
        </is>
      </c>
      <c r="K12" s="86" t="inlineStr">
        <is>
          <t>vtdr</t>
        </is>
      </c>
      <c r="L12" s="86" t="inlineStr">
        <is>
          <t>no</t>
        </is>
      </c>
      <c r="M12" s="86" t="inlineStr">
        <is>
          <t>no</t>
        </is>
      </c>
      <c r="N12" s="86" t="inlineStr">
        <is>
          <t>desktop</t>
        </is>
      </c>
      <c r="O12" s="86" t="inlineStr">
        <is>
          <t>mixed</t>
        </is>
      </c>
      <c r="P12" s="86" t="inlineStr">
        <is>
          <t>icdr</t>
        </is>
      </c>
      <c r="Q12" s="86" t="inlineStr">
        <is>
          <t>retina specialist</t>
        </is>
      </c>
      <c r="R12" s="86" t="inlineStr">
        <is>
          <t>yes</t>
        </is>
      </c>
      <c r="S12" s="86" t="inlineStr">
        <is>
          <t>fundus</t>
        </is>
      </c>
      <c r="T12" s="32" t="inlineStr">
        <is>
          <t>1</t>
        </is>
      </c>
      <c r="U12" s="86" t="inlineStr">
        <is>
          <t>yes</t>
        </is>
      </c>
      <c r="V12" s="86" t="inlineStr">
        <is>
          <t>yes</t>
        </is>
      </c>
      <c r="W12" s="86" t="inlineStr">
        <is>
          <t>yes</t>
        </is>
      </c>
      <c r="X12" s="86" t="inlineStr">
        <is>
          <t>inception family</t>
        </is>
      </c>
      <c r="Y12" s="86" t="inlineStr">
        <is>
          <t>asia</t>
        </is>
      </c>
      <c r="Z12" s="86" t="inlineStr">
        <is>
          <t>high</t>
        </is>
      </c>
      <c r="AA12" s="86" t="inlineStr">
        <is>
          <t>high</t>
        </is>
      </c>
      <c r="AB12" s="86" t="inlineStr">
        <is>
          <t>excluded</t>
        </is>
      </c>
      <c r="AC12" s="86" t="inlineStr">
        <is>
          <t>middle</t>
        </is>
      </c>
      <c r="AD12" s="86" t="n">
        <v>5738</v>
      </c>
      <c r="AE12" s="104" t="n">
        <v>0.1343673753921227</v>
      </c>
      <c r="AF12" s="104" t="n">
        <v>771</v>
      </c>
      <c r="AG12" s="104" t="n">
        <v>4967</v>
      </c>
      <c r="AH12" s="104" t="n">
        <v>0.867704280155642</v>
      </c>
      <c r="AI12" s="104" t="n">
        <v>0.9929534930541575</v>
      </c>
      <c r="AJ12" s="86" t="n">
        <v>669</v>
      </c>
      <c r="AK12" s="86" t="n">
        <v>102</v>
      </c>
      <c r="AL12" s="86" t="n">
        <v>4932</v>
      </c>
      <c r="AM12" s="86" t="n">
        <v>35</v>
      </c>
      <c r="AN12" s="86" t="n">
        <v>14</v>
      </c>
    </row>
    <row r="13" ht="16" customHeight="1" s="55">
      <c r="A13" s="88" t="inlineStr">
        <is>
          <t>Šín et al. 2025</t>
        </is>
      </c>
      <c r="B13" s="88" t="n">
        <v>1</v>
      </c>
      <c r="C13" s="86" t="inlineStr">
        <is>
          <t>ophthalmologist</t>
        </is>
      </c>
      <c r="D13" s="86" t="inlineStr">
        <is>
          <t>Aireen</t>
        </is>
      </c>
      <c r="E13" s="86" t="inlineStr">
        <is>
          <t>ophthalmologist</t>
        </is>
      </c>
      <c r="F13" s="86" t="inlineStr">
        <is>
          <t>original</t>
        </is>
      </c>
      <c r="G13" s="86" t="inlineStr">
        <is>
          <t>prospective</t>
        </is>
      </c>
      <c r="H13" s="86" t="inlineStr">
        <is>
          <t>high</t>
        </is>
      </c>
      <c r="I13" s="86" t="inlineStr">
        <is>
          <t>primary</t>
        </is>
      </c>
      <c r="J13" s="86" t="inlineStr">
        <is>
          <t>no</t>
        </is>
      </c>
      <c r="K13" s="86" t="inlineStr">
        <is>
          <t>dr</t>
        </is>
      </c>
      <c r="L13" s="86" t="inlineStr">
        <is>
          <t>no</t>
        </is>
      </c>
      <c r="M13" s="86" t="inlineStr">
        <is>
          <t>no</t>
        </is>
      </c>
      <c r="N13" s="86" t="inlineStr">
        <is>
          <t>desktop</t>
        </is>
      </c>
      <c r="O13" s="86" t="inlineStr">
        <is>
          <t>canon</t>
        </is>
      </c>
      <c r="P13" s="86" t="inlineStr">
        <is>
          <t>other</t>
        </is>
      </c>
      <c r="Q13" s="86" t="inlineStr">
        <is>
          <t>retina specialist</t>
        </is>
      </c>
      <c r="R13" s="86" t="inlineStr">
        <is>
          <t>yes</t>
        </is>
      </c>
      <c r="S13" s="86" t="inlineStr">
        <is>
          <t>fundus</t>
        </is>
      </c>
      <c r="T13" s="32" t="inlineStr">
        <is>
          <t>1</t>
        </is>
      </c>
      <c r="U13" s="86" t="inlineStr">
        <is>
          <t>yes</t>
        </is>
      </c>
      <c r="V13" s="86" t="inlineStr">
        <is>
          <t>yes</t>
        </is>
      </c>
      <c r="W13" s="86" t="inlineStr">
        <is>
          <t>yes</t>
        </is>
      </c>
      <c r="X13" s="86" t="inlineStr">
        <is>
          <t>efficientnet family</t>
        </is>
      </c>
      <c r="Y13" s="86" t="inlineStr">
        <is>
          <t>europe</t>
        </is>
      </c>
      <c r="Z13" s="86" t="inlineStr">
        <is>
          <t>low</t>
        </is>
      </c>
      <c r="AA13" s="86" t="inlineStr">
        <is>
          <t>low</t>
        </is>
      </c>
      <c r="AB13" s="86" t="inlineStr">
        <is>
          <t>positive</t>
        </is>
      </c>
      <c r="AC13" s="86" t="inlineStr">
        <is>
          <t>high</t>
        </is>
      </c>
      <c r="AD13" s="86" t="n">
        <v>1154</v>
      </c>
      <c r="AE13" s="104" t="n">
        <v>0.3188908145580589</v>
      </c>
      <c r="AF13" s="104" t="n">
        <v>368</v>
      </c>
      <c r="AG13" s="104" t="n">
        <v>786</v>
      </c>
      <c r="AH13" s="104" t="n">
        <v>0.8695652173913043</v>
      </c>
      <c r="AI13" s="104" t="n">
        <v>0.7646310432569975</v>
      </c>
      <c r="AJ13" s="86" t="n">
        <v>320</v>
      </c>
      <c r="AK13" s="86" t="n">
        <v>48</v>
      </c>
      <c r="AL13" s="86" t="n">
        <v>601</v>
      </c>
      <c r="AM13" s="86" t="n">
        <v>185</v>
      </c>
      <c r="AN13" s="86" t="n">
        <v>30</v>
      </c>
    </row>
    <row r="14" ht="16" customHeight="1" s="55">
      <c r="A14" s="88" t="inlineStr">
        <is>
          <t>Šín et al. 2025</t>
        </is>
      </c>
      <c r="B14" s="88" t="n">
        <v>1</v>
      </c>
      <c r="C14" s="86" t="inlineStr">
        <is>
          <t>retinaspecialist</t>
        </is>
      </c>
      <c r="D14" s="86" t="inlineStr">
        <is>
          <t>Aireen</t>
        </is>
      </c>
      <c r="E14" s="86" t="inlineStr">
        <is>
          <t>retinaspecialist</t>
        </is>
      </c>
      <c r="F14" s="86" t="inlineStr">
        <is>
          <t>original</t>
        </is>
      </c>
      <c r="G14" s="86" t="inlineStr">
        <is>
          <t>prospective</t>
        </is>
      </c>
      <c r="H14" s="86" t="inlineStr">
        <is>
          <t>high</t>
        </is>
      </c>
      <c r="I14" s="86" t="inlineStr">
        <is>
          <t>primary</t>
        </is>
      </c>
      <c r="J14" s="86" t="inlineStr">
        <is>
          <t>no</t>
        </is>
      </c>
      <c r="K14" s="86" t="inlineStr">
        <is>
          <t>dr</t>
        </is>
      </c>
      <c r="L14" s="86" t="inlineStr">
        <is>
          <t>no</t>
        </is>
      </c>
      <c r="M14" s="86" t="inlineStr">
        <is>
          <t>no</t>
        </is>
      </c>
      <c r="N14" s="86" t="inlineStr">
        <is>
          <t>desktop</t>
        </is>
      </c>
      <c r="O14" s="86" t="inlineStr">
        <is>
          <t>canon</t>
        </is>
      </c>
      <c r="P14" s="86" t="inlineStr">
        <is>
          <t>other</t>
        </is>
      </c>
      <c r="Q14" s="86" t="inlineStr">
        <is>
          <t>retina specialist</t>
        </is>
      </c>
      <c r="R14" s="86" t="inlineStr">
        <is>
          <t>yes</t>
        </is>
      </c>
      <c r="S14" s="86" t="inlineStr">
        <is>
          <t>fundus</t>
        </is>
      </c>
      <c r="T14" s="32" t="inlineStr">
        <is>
          <t>1</t>
        </is>
      </c>
      <c r="U14" s="86" t="inlineStr">
        <is>
          <t>yes</t>
        </is>
      </c>
      <c r="V14" s="86" t="inlineStr">
        <is>
          <t>yes</t>
        </is>
      </c>
      <c r="W14" s="86" t="inlineStr">
        <is>
          <t>yes</t>
        </is>
      </c>
      <c r="X14" s="86" t="inlineStr">
        <is>
          <t>efficientnet family</t>
        </is>
      </c>
      <c r="Y14" s="86" t="inlineStr">
        <is>
          <t>europe</t>
        </is>
      </c>
      <c r="Z14" s="86" t="inlineStr">
        <is>
          <t>low</t>
        </is>
      </c>
      <c r="AA14" s="86" t="inlineStr">
        <is>
          <t>low</t>
        </is>
      </c>
      <c r="AB14" s="86" t="inlineStr">
        <is>
          <t>positive</t>
        </is>
      </c>
      <c r="AC14" s="86" t="inlineStr">
        <is>
          <t>high</t>
        </is>
      </c>
      <c r="AD14" s="86" t="n">
        <v>1154</v>
      </c>
      <c r="AE14" s="104" t="n">
        <v>0.3188908145580589</v>
      </c>
      <c r="AF14" s="104" t="n">
        <v>368</v>
      </c>
      <c r="AG14" s="104" t="n">
        <v>786</v>
      </c>
      <c r="AH14" s="104" t="n">
        <v>0.8288043478260869</v>
      </c>
      <c r="AI14" s="104" t="n">
        <v>0.8117048346055979</v>
      </c>
      <c r="AJ14" s="86" t="n">
        <v>305</v>
      </c>
      <c r="AK14" s="86" t="n">
        <v>63</v>
      </c>
      <c r="AL14" s="86" t="n">
        <v>638</v>
      </c>
      <c r="AM14" s="86" t="n">
        <v>148</v>
      </c>
      <c r="AN14" s="86" t="n">
        <v>8</v>
      </c>
    </row>
    <row r="15" ht="16" customHeight="1" s="55">
      <c r="A15" s="88" t="inlineStr">
        <is>
          <t>Pandey et al. 2024</t>
        </is>
      </c>
      <c r="B15" s="88" t="n">
        <v>2</v>
      </c>
      <c r="C15" s="86" t="inlineStr">
        <is>
          <t>ophthalmologist</t>
        </is>
      </c>
      <c r="D15" s="86" t="inlineStr">
        <is>
          <t>DCE</t>
        </is>
      </c>
      <c r="E15" s="86" t="inlineStr">
        <is>
          <t>ophthalmologist</t>
        </is>
      </c>
      <c r="F15" s="86" t="inlineStr">
        <is>
          <t>original</t>
        </is>
      </c>
      <c r="G15" s="86" t="inlineStr">
        <is>
          <t>retrospective</t>
        </is>
      </c>
      <c r="H15" s="86" t="inlineStr">
        <is>
          <t>mixed</t>
        </is>
      </c>
      <c r="I15" s="86" t="inlineStr">
        <is>
          <t>public dataset</t>
        </is>
      </c>
      <c r="J15" s="86" t="inlineStr">
        <is>
          <t>no</t>
        </is>
      </c>
      <c r="K15" s="86" t="inlineStr">
        <is>
          <t>dr</t>
        </is>
      </c>
      <c r="L15" s="86" t="inlineStr">
        <is>
          <t>yes</t>
        </is>
      </c>
      <c r="M15" s="86" t="inlineStr">
        <is>
          <t>mixed</t>
        </is>
      </c>
      <c r="N15" s="86" t="inlineStr">
        <is>
          <t>mixed</t>
        </is>
      </c>
      <c r="O15" s="86" t="inlineStr">
        <is>
          <t>mixed</t>
        </is>
      </c>
      <c r="P15" s="86" t="inlineStr">
        <is>
          <t>multiple</t>
        </is>
      </c>
      <c r="Q15" s="86" t="inlineStr">
        <is>
          <t>retina specialist</t>
        </is>
      </c>
      <c r="R15" s="86" t="inlineStr">
        <is>
          <t>no</t>
        </is>
      </c>
      <c r="S15" s="86" t="inlineStr">
        <is>
          <t>fundus</t>
        </is>
      </c>
      <c r="T15" s="32" t="inlineStr">
        <is>
          <t>1</t>
        </is>
      </c>
      <c r="U15" s="86" t="inlineStr">
        <is>
          <t>no</t>
        </is>
      </c>
      <c r="V15" s="86" t="inlineStr">
        <is>
          <t>no</t>
        </is>
      </c>
      <c r="W15" s="86" t="inlineStr">
        <is>
          <t>no</t>
        </is>
      </c>
      <c r="X15" s="86" t="inlineStr">
        <is>
          <t>inception family</t>
        </is>
      </c>
      <c r="Y15" s="86" t="inlineStr">
        <is>
          <t>mixed</t>
        </is>
      </c>
      <c r="Z15" s="86" t="inlineStr">
        <is>
          <t>high</t>
        </is>
      </c>
      <c r="AA15" s="86" t="inlineStr">
        <is>
          <t>high</t>
        </is>
      </c>
      <c r="AB15" s="86" t="inlineStr">
        <is>
          <t>excluded</t>
        </is>
      </c>
      <c r="AC15" s="86" t="inlineStr">
        <is>
          <t>middle</t>
        </is>
      </c>
      <c r="AD15" s="86" t="n">
        <v>100</v>
      </c>
      <c r="AE15" s="104" t="n">
        <v>0.25</v>
      </c>
      <c r="AF15" s="104" t="n">
        <v>25</v>
      </c>
      <c r="AG15" s="104" t="n">
        <v>75</v>
      </c>
      <c r="AH15" s="104" t="n">
        <v>0.48</v>
      </c>
      <c r="AI15" s="104" t="n">
        <v>0.9333333333333333</v>
      </c>
      <c r="AJ15" s="86" t="n">
        <v>12</v>
      </c>
      <c r="AK15" s="86" t="n">
        <v>13</v>
      </c>
      <c r="AL15" s="86" t="n">
        <v>70</v>
      </c>
      <c r="AM15" s="86" t="n">
        <v>5</v>
      </c>
      <c r="AN15" s="86" t="n">
        <v>206</v>
      </c>
    </row>
    <row r="16" ht="16" customHeight="1" s="55">
      <c r="A16" s="88" t="inlineStr">
        <is>
          <t>Dow et al. 2023</t>
        </is>
      </c>
      <c r="B16" s="88" t="n">
        <v>3</v>
      </c>
      <c r="C16" s="86" t="inlineStr">
        <is>
          <t>retinaspecialist</t>
        </is>
      </c>
      <c r="D16" s="86" t="inlineStr">
        <is>
          <t>IDx-DR</t>
        </is>
      </c>
      <c r="E16" s="86" t="inlineStr">
        <is>
          <t>retinaspecialist</t>
        </is>
      </c>
      <c r="F16" s="86" t="inlineStr">
        <is>
          <t>original</t>
        </is>
      </c>
      <c r="G16" s="86" t="inlineStr">
        <is>
          <t>retrospective</t>
        </is>
      </c>
      <c r="H16" s="86" t="inlineStr">
        <is>
          <t>high</t>
        </is>
      </c>
      <c r="I16" s="86" t="inlineStr">
        <is>
          <t>primary</t>
        </is>
      </c>
      <c r="J16" s="86" t="inlineStr">
        <is>
          <t>no</t>
        </is>
      </c>
      <c r="K16" s="86" t="inlineStr">
        <is>
          <t>rdr</t>
        </is>
      </c>
      <c r="L16" s="86" t="inlineStr">
        <is>
          <t>no</t>
        </is>
      </c>
      <c r="M16" s="86" t="inlineStr">
        <is>
          <t>no</t>
        </is>
      </c>
      <c r="N16" s="86" t="inlineStr">
        <is>
          <t>desktop</t>
        </is>
      </c>
      <c r="O16" s="86" t="inlineStr">
        <is>
          <t>other</t>
        </is>
      </c>
      <c r="P16" s="86" t="inlineStr">
        <is>
          <t>multiple</t>
        </is>
      </c>
      <c r="Q16" s="86" t="inlineStr">
        <is>
          <t>retina specialist</t>
        </is>
      </c>
      <c r="R16" s="86" t="inlineStr">
        <is>
          <t>yes</t>
        </is>
      </c>
      <c r="S16" s="86" t="inlineStr">
        <is>
          <t>with advanced image</t>
        </is>
      </c>
      <c r="T16" s="32" t="inlineStr">
        <is>
          <t>2</t>
        </is>
      </c>
      <c r="U16" s="86" t="inlineStr">
        <is>
          <t>no</t>
        </is>
      </c>
      <c r="V16" s="86" t="inlineStr">
        <is>
          <t>yes</t>
        </is>
      </c>
      <c r="W16" s="86" t="inlineStr">
        <is>
          <t>yes</t>
        </is>
      </c>
      <c r="X16" s="86" t="inlineStr">
        <is>
          <t>inception family</t>
        </is>
      </c>
      <c r="Y16" s="86" t="inlineStr">
        <is>
          <t>north america</t>
        </is>
      </c>
      <c r="Z16" s="86" t="inlineStr">
        <is>
          <t>low</t>
        </is>
      </c>
      <c r="AA16" s="86" t="inlineStr">
        <is>
          <t>high</t>
        </is>
      </c>
      <c r="AB16" s="86" t="inlineStr">
        <is>
          <t>positive</t>
        </is>
      </c>
      <c r="AC16" s="86" t="inlineStr">
        <is>
          <t>middle</t>
        </is>
      </c>
      <c r="AD16" s="86" t="n">
        <v>122</v>
      </c>
      <c r="AE16" s="104" t="n">
        <v>0.1885245901639344</v>
      </c>
      <c r="AF16" s="104" t="n">
        <v>23</v>
      </c>
      <c r="AG16" s="104" t="n">
        <v>99</v>
      </c>
      <c r="AH16" s="104" t="n">
        <v>0.6956521739130435</v>
      </c>
      <c r="AI16" s="104" t="n">
        <v>0.9696969696969697</v>
      </c>
      <c r="AJ16" s="86" t="n">
        <v>16</v>
      </c>
      <c r="AK16" s="86" t="n">
        <v>7</v>
      </c>
      <c r="AL16" s="86" t="n">
        <v>96</v>
      </c>
      <c r="AM16" s="86" t="n">
        <v>3</v>
      </c>
      <c r="AN16" s="86" t="n">
        <v>7</v>
      </c>
    </row>
    <row r="17" ht="16" customHeight="1" s="55">
      <c r="A17" s="88" t="inlineStr">
        <is>
          <t>Lim et al. 2023</t>
        </is>
      </c>
      <c r="B17" s="88" t="n">
        <v>4</v>
      </c>
      <c r="C17" s="86" t="inlineStr">
        <is>
          <t>retinaspecialist</t>
        </is>
      </c>
      <c r="D17" s="86" t="inlineStr">
        <is>
          <t>EyeArt</t>
        </is>
      </c>
      <c r="E17" s="86" t="inlineStr">
        <is>
          <t>retinaspecialist</t>
        </is>
      </c>
      <c r="F17" s="86" t="inlineStr">
        <is>
          <t>original</t>
        </is>
      </c>
      <c r="G17" s="86" t="inlineStr">
        <is>
          <t>prospective</t>
        </is>
      </c>
      <c r="H17" s="86" t="inlineStr">
        <is>
          <t>high</t>
        </is>
      </c>
      <c r="I17" s="86" t="inlineStr">
        <is>
          <t>tertiary</t>
        </is>
      </c>
      <c r="J17" s="86" t="inlineStr">
        <is>
          <t>no</t>
        </is>
      </c>
      <c r="K17" s="86" t="inlineStr">
        <is>
          <t>rdr</t>
        </is>
      </c>
      <c r="L17" s="86" t="inlineStr">
        <is>
          <t>no</t>
        </is>
      </c>
      <c r="M17" s="86" t="inlineStr">
        <is>
          <t>mixed</t>
        </is>
      </c>
      <c r="N17" s="86" t="inlineStr">
        <is>
          <t>desktop</t>
        </is>
      </c>
      <c r="O17" s="86" t="inlineStr">
        <is>
          <t>canon</t>
        </is>
      </c>
      <c r="P17" s="86" t="inlineStr">
        <is>
          <t>other</t>
        </is>
      </c>
      <c r="Q17" s="86" t="inlineStr">
        <is>
          <t>certified graders</t>
        </is>
      </c>
      <c r="R17" s="86" t="inlineStr">
        <is>
          <t>yes</t>
        </is>
      </c>
      <c r="S17" s="86" t="inlineStr">
        <is>
          <t>with advanced image</t>
        </is>
      </c>
      <c r="T17" s="32" t="inlineStr">
        <is>
          <t>2</t>
        </is>
      </c>
      <c r="U17" s="86" t="inlineStr">
        <is>
          <t>yes</t>
        </is>
      </c>
      <c r="V17" s="86" t="inlineStr">
        <is>
          <t>yes</t>
        </is>
      </c>
      <c r="W17" s="86" t="inlineStr">
        <is>
          <t>yes</t>
        </is>
      </c>
      <c r="X17" s="86" t="inlineStr">
        <is>
          <t>cnn</t>
        </is>
      </c>
      <c r="Y17" s="86" t="inlineStr">
        <is>
          <t>north america</t>
        </is>
      </c>
      <c r="Z17" s="86" t="inlineStr">
        <is>
          <t>high</t>
        </is>
      </c>
      <c r="AA17" s="86" t="inlineStr">
        <is>
          <t>high</t>
        </is>
      </c>
      <c r="AB17" s="86" t="inlineStr">
        <is>
          <t>positive</t>
        </is>
      </c>
      <c r="AC17" s="86" t="inlineStr">
        <is>
          <t>middle</t>
        </is>
      </c>
      <c r="AD17" s="86" t="n">
        <v>221</v>
      </c>
      <c r="AE17" s="104" t="n">
        <v>0.167420814479638</v>
      </c>
      <c r="AF17" s="104" t="n">
        <v>37</v>
      </c>
      <c r="AG17" s="104" t="n">
        <v>184</v>
      </c>
      <c r="AH17" s="104" t="n">
        <v>0.5945945945945946</v>
      </c>
      <c r="AI17" s="104" t="n">
        <v>0.9891304347826086</v>
      </c>
      <c r="AJ17" s="86" t="n">
        <v>22</v>
      </c>
      <c r="AK17" s="86" t="n">
        <v>15</v>
      </c>
      <c r="AL17" s="86" t="n">
        <v>182</v>
      </c>
      <c r="AM17" s="86" t="n">
        <v>2</v>
      </c>
      <c r="AN17" s="86" t="n">
        <v>15</v>
      </c>
    </row>
    <row r="18" ht="16" customHeight="1" s="55">
      <c r="A18" s="88" t="inlineStr">
        <is>
          <t>Lim et al. 2023</t>
        </is>
      </c>
      <c r="B18" s="88" t="n">
        <v>4</v>
      </c>
      <c r="C18" s="86" t="inlineStr">
        <is>
          <t>ophthalmologist</t>
        </is>
      </c>
      <c r="D18" s="86" t="inlineStr">
        <is>
          <t>EyeArt</t>
        </is>
      </c>
      <c r="E18" s="86" t="inlineStr">
        <is>
          <t>ophthalmologist</t>
        </is>
      </c>
      <c r="F18" s="86" t="inlineStr">
        <is>
          <t>original</t>
        </is>
      </c>
      <c r="G18" s="86" t="inlineStr">
        <is>
          <t>prospective</t>
        </is>
      </c>
      <c r="H18" s="86" t="inlineStr">
        <is>
          <t>high</t>
        </is>
      </c>
      <c r="I18" s="86" t="inlineStr">
        <is>
          <t>tertiary</t>
        </is>
      </c>
      <c r="J18" s="86" t="inlineStr">
        <is>
          <t>no</t>
        </is>
      </c>
      <c r="K18" s="86" t="inlineStr">
        <is>
          <t>rdr</t>
        </is>
      </c>
      <c r="L18" s="86" t="inlineStr">
        <is>
          <t>no</t>
        </is>
      </c>
      <c r="M18" s="86" t="inlineStr">
        <is>
          <t>mixed</t>
        </is>
      </c>
      <c r="N18" s="86" t="inlineStr">
        <is>
          <t>desktop</t>
        </is>
      </c>
      <c r="O18" s="86" t="inlineStr">
        <is>
          <t>canon</t>
        </is>
      </c>
      <c r="P18" s="86" t="inlineStr">
        <is>
          <t>other</t>
        </is>
      </c>
      <c r="Q18" s="86" t="inlineStr">
        <is>
          <t>certified graders</t>
        </is>
      </c>
      <c r="R18" s="86" t="inlineStr">
        <is>
          <t>yes</t>
        </is>
      </c>
      <c r="S18" s="86" t="inlineStr">
        <is>
          <t>with advanced image</t>
        </is>
      </c>
      <c r="T18" s="32" t="inlineStr">
        <is>
          <t>2</t>
        </is>
      </c>
      <c r="U18" s="86" t="inlineStr">
        <is>
          <t>yes</t>
        </is>
      </c>
      <c r="V18" s="86" t="inlineStr">
        <is>
          <t>yes</t>
        </is>
      </c>
      <c r="W18" s="86" t="inlineStr">
        <is>
          <t>yes</t>
        </is>
      </c>
      <c r="X18" s="86" t="inlineStr">
        <is>
          <t>cnn</t>
        </is>
      </c>
      <c r="Y18" s="86" t="inlineStr">
        <is>
          <t>north america</t>
        </is>
      </c>
      <c r="Z18" s="86" t="inlineStr">
        <is>
          <t>high</t>
        </is>
      </c>
      <c r="AA18" s="86" t="inlineStr">
        <is>
          <t>high</t>
        </is>
      </c>
      <c r="AB18" s="86" t="inlineStr">
        <is>
          <t>positive</t>
        </is>
      </c>
      <c r="AC18" s="86" t="inlineStr">
        <is>
          <t>middle</t>
        </is>
      </c>
      <c r="AD18" s="86" t="n">
        <v>778</v>
      </c>
      <c r="AE18" s="104" t="n">
        <v>0.2185089974293059</v>
      </c>
      <c r="AF18" s="104" t="n">
        <v>170</v>
      </c>
      <c r="AG18" s="104" t="n">
        <v>608</v>
      </c>
      <c r="AH18" s="104" t="n">
        <v>0.2058823529411765</v>
      </c>
      <c r="AI18" s="104" t="n">
        <v>0.9983552631578947</v>
      </c>
      <c r="AJ18" s="86" t="n">
        <v>35</v>
      </c>
      <c r="AK18" s="86" t="n">
        <v>135</v>
      </c>
      <c r="AL18" s="86" t="n">
        <v>607</v>
      </c>
      <c r="AM18" s="86" t="n">
        <v>1</v>
      </c>
      <c r="AN18" s="86" t="n">
        <v>185</v>
      </c>
    </row>
    <row r="19" ht="16" customHeight="1" s="55">
      <c r="A19" s="28" t="inlineStr">
        <is>
          <t>Li et al. 2022</t>
        </is>
      </c>
      <c r="B19" s="28" t="n">
        <v>5</v>
      </c>
      <c r="C19" s="86" t="inlineStr">
        <is>
          <t>ophthalmologist</t>
        </is>
      </c>
      <c r="D19" s="86" t="inlineStr">
        <is>
          <t>AI-100</t>
        </is>
      </c>
      <c r="E19" s="86" t="inlineStr">
        <is>
          <t>ophthalmologist</t>
        </is>
      </c>
      <c r="F19" s="86" t="inlineStr">
        <is>
          <t>original</t>
        </is>
      </c>
      <c r="G19" s="86" t="inlineStr">
        <is>
          <t>prospective</t>
        </is>
      </c>
      <c r="H19" s="86" t="inlineStr">
        <is>
          <t>middle</t>
        </is>
      </c>
      <c r="I19" s="86" t="inlineStr">
        <is>
          <t>tertiary</t>
        </is>
      </c>
      <c r="J19" s="86" t="inlineStr">
        <is>
          <t>no</t>
        </is>
      </c>
      <c r="K19" s="86" t="inlineStr">
        <is>
          <t>rdr</t>
        </is>
      </c>
      <c r="L19" s="86" t="inlineStr">
        <is>
          <t>yes</t>
        </is>
      </c>
      <c r="M19" s="86" t="inlineStr">
        <is>
          <t>no</t>
        </is>
      </c>
      <c r="N19" s="86" t="inlineStr">
        <is>
          <t>desktop</t>
        </is>
      </c>
      <c r="O19" s="86" t="inlineStr">
        <is>
          <t>mixed</t>
        </is>
      </c>
      <c r="P19" s="86" t="inlineStr">
        <is>
          <t>icdr</t>
        </is>
      </c>
      <c r="Q19" s="86" t="inlineStr">
        <is>
          <t>ophthalmologist</t>
        </is>
      </c>
      <c r="R19" s="86" t="inlineStr">
        <is>
          <t>yes</t>
        </is>
      </c>
      <c r="S19" s="86" t="inlineStr">
        <is>
          <t>fundus</t>
        </is>
      </c>
      <c r="T19" s="32" t="inlineStr">
        <is>
          <t>1</t>
        </is>
      </c>
      <c r="U19" s="86" t="inlineStr">
        <is>
          <t>yes</t>
        </is>
      </c>
      <c r="V19" s="86" t="inlineStr">
        <is>
          <t>yes</t>
        </is>
      </c>
      <c r="W19" s="86" t="inlineStr">
        <is>
          <t>yes</t>
        </is>
      </c>
      <c r="X19" s="86" t="inlineStr">
        <is>
          <t>densenet family</t>
        </is>
      </c>
      <c r="Y19" s="86" t="inlineStr">
        <is>
          <t>asia</t>
        </is>
      </c>
      <c r="Z19" s="86" t="inlineStr">
        <is>
          <t>high</t>
        </is>
      </c>
      <c r="AA19" s="86" t="inlineStr">
        <is>
          <t>high</t>
        </is>
      </c>
      <c r="AB19" s="86" t="inlineStr">
        <is>
          <t>excluded</t>
        </is>
      </c>
      <c r="AC19" s="86" t="inlineStr">
        <is>
          <t>middle</t>
        </is>
      </c>
      <c r="AD19" s="86" t="n">
        <v>1585</v>
      </c>
      <c r="AE19" s="104" t="n">
        <v>0.2044164037854889</v>
      </c>
      <c r="AF19" s="104" t="n">
        <v>324</v>
      </c>
      <c r="AG19" s="104" t="n">
        <v>1261</v>
      </c>
      <c r="AH19" s="104" t="n">
        <v>0.9629629629629629</v>
      </c>
      <c r="AI19" s="104" t="n">
        <v>0.9888977002379065</v>
      </c>
      <c r="AJ19" s="86" t="n">
        <v>312</v>
      </c>
      <c r="AK19" s="86" t="n">
        <v>12</v>
      </c>
      <c r="AL19" s="86" t="n">
        <v>1247</v>
      </c>
      <c r="AM19" s="86" t="n">
        <v>14</v>
      </c>
    </row>
    <row r="20" ht="16" customHeight="1" s="55">
      <c r="A20" s="88" t="inlineStr">
        <is>
          <t>Ruamviboonsuk et al. 2022</t>
        </is>
      </c>
      <c r="B20" s="88" t="n">
        <v>6</v>
      </c>
      <c r="C20" s="86" t="inlineStr">
        <is>
          <t>retinaspecialist</t>
        </is>
      </c>
      <c r="D20" s="86" t="inlineStr">
        <is>
          <t>ARDA</t>
        </is>
      </c>
      <c r="E20" s="86" t="inlineStr">
        <is>
          <t>retinaspecialist</t>
        </is>
      </c>
      <c r="F20" s="86" t="inlineStr">
        <is>
          <t>original</t>
        </is>
      </c>
      <c r="G20" s="86" t="inlineStr">
        <is>
          <t>prospective</t>
        </is>
      </c>
      <c r="H20" s="86" t="inlineStr">
        <is>
          <t>middle</t>
        </is>
      </c>
      <c r="I20" s="86" t="inlineStr">
        <is>
          <t>primary</t>
        </is>
      </c>
      <c r="J20" s="86" t="inlineStr">
        <is>
          <t>yes</t>
        </is>
      </c>
      <c r="K20" s="86" t="inlineStr">
        <is>
          <t>vtdr</t>
        </is>
      </c>
      <c r="L20" s="86" t="inlineStr">
        <is>
          <t>no</t>
        </is>
      </c>
      <c r="M20" s="86" t="inlineStr">
        <is>
          <t>no</t>
        </is>
      </c>
      <c r="N20" s="86" t="inlineStr">
        <is>
          <t>desktop</t>
        </is>
      </c>
      <c r="O20" s="86" t="inlineStr">
        <is>
          <t>mixed</t>
        </is>
      </c>
      <c r="P20" s="86" t="inlineStr">
        <is>
          <t>icdr</t>
        </is>
      </c>
      <c r="Q20" s="86" t="inlineStr">
        <is>
          <t>retina specialist</t>
        </is>
      </c>
      <c r="R20" s="86" t="inlineStr">
        <is>
          <t>yes</t>
        </is>
      </c>
      <c r="S20" s="86" t="inlineStr">
        <is>
          <t>fundus</t>
        </is>
      </c>
      <c r="T20" s="32" t="inlineStr">
        <is>
          <t>1</t>
        </is>
      </c>
      <c r="U20" s="86" t="inlineStr">
        <is>
          <t>yes</t>
        </is>
      </c>
      <c r="V20" s="86" t="inlineStr">
        <is>
          <t>yes</t>
        </is>
      </c>
      <c r="W20" s="86" t="inlineStr">
        <is>
          <t>yes</t>
        </is>
      </c>
      <c r="X20" s="86" t="inlineStr">
        <is>
          <t>inception family</t>
        </is>
      </c>
      <c r="Y20" s="86" t="inlineStr">
        <is>
          <t>asia</t>
        </is>
      </c>
      <c r="Z20" s="86" t="inlineStr">
        <is>
          <t>high</t>
        </is>
      </c>
      <c r="AA20" s="86" t="inlineStr">
        <is>
          <t>low</t>
        </is>
      </c>
      <c r="AB20" s="86" t="inlineStr">
        <is>
          <t>positive</t>
        </is>
      </c>
      <c r="AC20" s="86" t="inlineStr">
        <is>
          <t>middle</t>
        </is>
      </c>
      <c r="AD20" s="86" t="n">
        <v>926</v>
      </c>
      <c r="AE20" s="104" t="n">
        <v>0.275377969762419</v>
      </c>
      <c r="AF20" s="104" t="n">
        <v>255</v>
      </c>
      <c r="AG20" s="104" t="n">
        <v>671</v>
      </c>
      <c r="AH20" s="104" t="n">
        <v>0.8470588235294118</v>
      </c>
      <c r="AI20" s="104" t="n">
        <v>0.9552906110283159</v>
      </c>
      <c r="AJ20" s="86" t="n">
        <v>216</v>
      </c>
      <c r="AK20" s="86" t="n">
        <v>39</v>
      </c>
      <c r="AL20" s="86" t="n">
        <v>641</v>
      </c>
      <c r="AM20" s="86" t="n">
        <v>30</v>
      </c>
    </row>
    <row r="21" ht="16" customHeight="1" s="55">
      <c r="A21" s="88" t="inlineStr">
        <is>
          <t>Kim et al. 2021</t>
        </is>
      </c>
      <c r="B21" s="88" t="n">
        <v>7</v>
      </c>
      <c r="C21" s="86" t="inlineStr">
        <is>
          <t>retinaspecialist</t>
        </is>
      </c>
      <c r="D21" s="86" t="inlineStr">
        <is>
          <t>EyeArt</t>
        </is>
      </c>
      <c r="E21" s="86" t="inlineStr">
        <is>
          <t>retinaspecialist</t>
        </is>
      </c>
      <c r="F21" s="86" t="inlineStr">
        <is>
          <t>original</t>
        </is>
      </c>
      <c r="G21" s="86" t="inlineStr">
        <is>
          <t>prospective</t>
        </is>
      </c>
      <c r="H21" s="86" t="inlineStr">
        <is>
          <t>high</t>
        </is>
      </c>
      <c r="I21" s="86" t="inlineStr">
        <is>
          <t>tertiary</t>
        </is>
      </c>
      <c r="J21" s="86" t="inlineStr">
        <is>
          <t>no</t>
        </is>
      </c>
      <c r="K21" s="86" t="inlineStr">
        <is>
          <t>rdr</t>
        </is>
      </c>
      <c r="L21" s="86" t="inlineStr">
        <is>
          <t>no</t>
        </is>
      </c>
      <c r="M21" s="86" t="inlineStr">
        <is>
          <t>yes</t>
        </is>
      </c>
      <c r="N21" s="86" t="inlineStr">
        <is>
          <t>smartphone</t>
        </is>
      </c>
      <c r="O21" s="86" t="inlineStr">
        <is>
          <t>other</t>
        </is>
      </c>
      <c r="P21" s="86" t="inlineStr">
        <is>
          <t>etdrs</t>
        </is>
      </c>
      <c r="Q21" s="86" t="inlineStr">
        <is>
          <t>retina specialist</t>
        </is>
      </c>
      <c r="R21" s="86" t="inlineStr">
        <is>
          <t>no</t>
        </is>
      </c>
      <c r="S21" s="86" t="inlineStr">
        <is>
          <t>clinical examination</t>
        </is>
      </c>
      <c r="T21" s="32" t="inlineStr">
        <is>
          <t>&gt;2</t>
        </is>
      </c>
      <c r="U21" s="86" t="inlineStr">
        <is>
          <t>yes</t>
        </is>
      </c>
      <c r="V21" s="86" t="inlineStr">
        <is>
          <t>yes</t>
        </is>
      </c>
      <c r="W21" s="86" t="inlineStr">
        <is>
          <t>yes</t>
        </is>
      </c>
      <c r="X21" s="86" t="inlineStr">
        <is>
          <t>cnn</t>
        </is>
      </c>
      <c r="Y21" s="86" t="inlineStr">
        <is>
          <t>north america</t>
        </is>
      </c>
      <c r="Z21" s="86" t="inlineStr">
        <is>
          <t>high</t>
        </is>
      </c>
      <c r="AA21" s="86" t="inlineStr">
        <is>
          <t>high</t>
        </is>
      </c>
      <c r="AB21" s="86" t="inlineStr">
        <is>
          <t>excluded</t>
        </is>
      </c>
      <c r="AC21" s="86" t="inlineStr">
        <is>
          <t>high</t>
        </is>
      </c>
      <c r="AD21" s="86" t="n">
        <v>68</v>
      </c>
      <c r="AE21" s="104" t="n">
        <v>0.7941176470588235</v>
      </c>
      <c r="AF21" s="104" t="n">
        <v>54</v>
      </c>
      <c r="AG21" s="104" t="n">
        <v>14</v>
      </c>
      <c r="AH21" s="104" t="n">
        <v>0.9629629629629629</v>
      </c>
      <c r="AI21" s="104" t="n">
        <v>0.4285714285714285</v>
      </c>
      <c r="AJ21" s="86" t="n">
        <v>52</v>
      </c>
      <c r="AK21" s="86" t="n">
        <v>2</v>
      </c>
      <c r="AL21" s="86" t="n">
        <v>6</v>
      </c>
      <c r="AM21" s="86" t="n">
        <v>8</v>
      </c>
    </row>
    <row r="22" ht="16" customHeight="1" s="55">
      <c r="A22" s="88" t="inlineStr">
        <is>
          <t>Kim et al. 2021</t>
        </is>
      </c>
      <c r="B22" s="88" t="n">
        <v>7</v>
      </c>
      <c r="C22" s="86" t="inlineStr">
        <is>
          <t>ophthalmologist</t>
        </is>
      </c>
      <c r="D22" s="86" t="inlineStr">
        <is>
          <t>EyeArt</t>
        </is>
      </c>
      <c r="E22" s="86" t="inlineStr">
        <is>
          <t>ophthalmologist</t>
        </is>
      </c>
      <c r="F22" s="86" t="inlineStr">
        <is>
          <t>original</t>
        </is>
      </c>
      <c r="G22" s="86" t="inlineStr">
        <is>
          <t>prospective</t>
        </is>
      </c>
      <c r="H22" s="86" t="inlineStr">
        <is>
          <t>high</t>
        </is>
      </c>
      <c r="I22" s="86" t="inlineStr">
        <is>
          <t>tertiary</t>
        </is>
      </c>
      <c r="J22" s="86" t="inlineStr">
        <is>
          <t>no</t>
        </is>
      </c>
      <c r="K22" s="86" t="inlineStr">
        <is>
          <t>rdr</t>
        </is>
      </c>
      <c r="L22" s="86" t="inlineStr">
        <is>
          <t>no</t>
        </is>
      </c>
      <c r="M22" s="86" t="inlineStr">
        <is>
          <t>yes</t>
        </is>
      </c>
      <c r="N22" s="86" t="inlineStr">
        <is>
          <t>smartphone</t>
        </is>
      </c>
      <c r="O22" s="86" t="inlineStr">
        <is>
          <t>other</t>
        </is>
      </c>
      <c r="P22" s="86" t="inlineStr">
        <is>
          <t>etdrs</t>
        </is>
      </c>
      <c r="Q22" s="86" t="inlineStr">
        <is>
          <t>retina specialist</t>
        </is>
      </c>
      <c r="R22" s="86" t="inlineStr">
        <is>
          <t>no</t>
        </is>
      </c>
      <c r="S22" s="86" t="inlineStr">
        <is>
          <t>clinical examination</t>
        </is>
      </c>
      <c r="T22" s="32" t="inlineStr">
        <is>
          <t>&gt;2</t>
        </is>
      </c>
      <c r="U22" s="86" t="inlineStr">
        <is>
          <t>yes</t>
        </is>
      </c>
      <c r="V22" s="86" t="inlineStr">
        <is>
          <t>yes</t>
        </is>
      </c>
      <c r="W22" s="86" t="inlineStr">
        <is>
          <t>yes</t>
        </is>
      </c>
      <c r="X22" s="86" t="inlineStr">
        <is>
          <t>cnn</t>
        </is>
      </c>
      <c r="Y22" s="86" t="inlineStr">
        <is>
          <t>north america</t>
        </is>
      </c>
      <c r="Z22" s="86" t="inlineStr">
        <is>
          <t>high</t>
        </is>
      </c>
      <c r="AA22" s="86" t="inlineStr">
        <is>
          <t>high</t>
        </is>
      </c>
      <c r="AB22" s="86" t="inlineStr">
        <is>
          <t>excluded</t>
        </is>
      </c>
      <c r="AC22" s="86" t="inlineStr">
        <is>
          <t>high</t>
        </is>
      </c>
      <c r="AD22" s="86" t="n">
        <v>67</v>
      </c>
      <c r="AE22" s="104" t="n">
        <v>0.7910447761194029</v>
      </c>
      <c r="AF22" s="104" t="n">
        <v>53</v>
      </c>
      <c r="AG22" s="104" t="n">
        <v>14</v>
      </c>
      <c r="AH22" s="104" t="n">
        <v>0.9245283018867925</v>
      </c>
      <c r="AI22" s="104" t="n">
        <v>0.5</v>
      </c>
      <c r="AJ22" s="86" t="n">
        <v>49</v>
      </c>
      <c r="AK22" s="86" t="n">
        <v>4</v>
      </c>
      <c r="AL22" s="86" t="n">
        <v>7</v>
      </c>
      <c r="AM22" s="86" t="n">
        <v>7</v>
      </c>
    </row>
    <row r="23" ht="16" customHeight="1" s="55">
      <c r="A23" s="28" t="inlineStr">
        <is>
          <t>Li et al. 2021</t>
        </is>
      </c>
      <c r="B23" s="28" t="n">
        <v>8</v>
      </c>
      <c r="C23" s="86" t="inlineStr">
        <is>
          <t>physician</t>
        </is>
      </c>
      <c r="D23" s="86" t="inlineStr">
        <is>
          <t>VeriSee</t>
        </is>
      </c>
      <c r="E23" s="86" t="inlineStr">
        <is>
          <t>physician</t>
        </is>
      </c>
      <c r="F23" s="86" t="inlineStr">
        <is>
          <t>original</t>
        </is>
      </c>
      <c r="G23" s="86" t="inlineStr">
        <is>
          <t>retrospective</t>
        </is>
      </c>
      <c r="H23" s="86" t="inlineStr">
        <is>
          <t>high</t>
        </is>
      </c>
      <c r="I23" s="86" t="inlineStr">
        <is>
          <t>tertiary</t>
        </is>
      </c>
      <c r="J23" s="86" t="inlineStr">
        <is>
          <t>no</t>
        </is>
      </c>
      <c r="K23" s="86" t="inlineStr">
        <is>
          <t>rdr</t>
        </is>
      </c>
      <c r="L23" s="86" t="inlineStr">
        <is>
          <t>no</t>
        </is>
      </c>
      <c r="M23" s="86" t="inlineStr">
        <is>
          <t>no</t>
        </is>
      </c>
      <c r="N23" s="86" t="inlineStr">
        <is>
          <t>desktop</t>
        </is>
      </c>
      <c r="O23" s="86" t="inlineStr">
        <is>
          <t>canon</t>
        </is>
      </c>
      <c r="P23" s="86" t="inlineStr">
        <is>
          <t>icdr</t>
        </is>
      </c>
      <c r="Q23" s="86" t="inlineStr">
        <is>
          <t>ophthalmologist</t>
        </is>
      </c>
      <c r="R23" s="86" t="inlineStr">
        <is>
          <t>yes</t>
        </is>
      </c>
      <c r="S23" s="86" t="inlineStr">
        <is>
          <t>fundus</t>
        </is>
      </c>
      <c r="T23" s="32" t="inlineStr">
        <is>
          <t>1</t>
        </is>
      </c>
      <c r="U23" s="86" t="inlineStr">
        <is>
          <t>no</t>
        </is>
      </c>
      <c r="V23" s="86" t="inlineStr">
        <is>
          <t>yes</t>
        </is>
      </c>
      <c r="W23" s="86" t="inlineStr">
        <is>
          <t>yes</t>
        </is>
      </c>
      <c r="X23" s="86" t="inlineStr">
        <is>
          <t>inception family</t>
        </is>
      </c>
      <c r="Y23" s="86" t="inlineStr">
        <is>
          <t>asia</t>
        </is>
      </c>
      <c r="Z23" s="86" t="inlineStr">
        <is>
          <t>high</t>
        </is>
      </c>
      <c r="AA23" s="86" t="inlineStr">
        <is>
          <t>high</t>
        </is>
      </c>
      <c r="AB23" s="86" t="inlineStr">
        <is>
          <t>excluded</t>
        </is>
      </c>
      <c r="AC23" s="86" t="inlineStr">
        <is>
          <t>middle</t>
        </is>
      </c>
      <c r="AD23" s="86" t="n">
        <v>469</v>
      </c>
      <c r="AE23" s="104" t="n">
        <v>0.1215351812366738</v>
      </c>
      <c r="AF23" s="104" t="n">
        <v>57</v>
      </c>
      <c r="AG23" s="104" t="n">
        <v>412</v>
      </c>
      <c r="AH23" s="104" t="n">
        <v>0.9122807017543859</v>
      </c>
      <c r="AI23" s="104" t="n">
        <v>0.5</v>
      </c>
      <c r="AJ23" s="86" t="n">
        <v>52</v>
      </c>
      <c r="AK23" s="86" t="n">
        <v>5</v>
      </c>
      <c r="AL23" s="86" t="n">
        <v>206</v>
      </c>
      <c r="AM23" s="86" t="n">
        <v>206</v>
      </c>
    </row>
    <row r="24" ht="16" customHeight="1" s="55">
      <c r="A24" s="28" t="inlineStr">
        <is>
          <t>Noriega et al. 2021</t>
        </is>
      </c>
      <c r="B24" s="28" t="n">
        <v>9</v>
      </c>
      <c r="C24" s="86" t="inlineStr">
        <is>
          <t>ophthalmologist</t>
        </is>
      </c>
      <c r="D24" s="86" t="inlineStr">
        <is>
          <t>ARIA</t>
        </is>
      </c>
      <c r="E24" s="86" t="inlineStr">
        <is>
          <t>ophthalmologist</t>
        </is>
      </c>
      <c r="F24" s="86" t="inlineStr">
        <is>
          <t>original</t>
        </is>
      </c>
      <c r="G24" s="86" t="inlineStr">
        <is>
          <t>prospective</t>
        </is>
      </c>
      <c r="H24" s="86" t="inlineStr">
        <is>
          <t>middle</t>
        </is>
      </c>
      <c r="I24" s="86" t="inlineStr">
        <is>
          <t>tertiary</t>
        </is>
      </c>
      <c r="J24" s="86" t="inlineStr">
        <is>
          <t>yes</t>
        </is>
      </c>
      <c r="K24" s="86" t="inlineStr">
        <is>
          <t>rdr</t>
        </is>
      </c>
      <c r="L24" s="86" t="inlineStr">
        <is>
          <t>no</t>
        </is>
      </c>
      <c r="M24" s="86" t="inlineStr">
        <is>
          <t>no</t>
        </is>
      </c>
      <c r="N24" s="86" t="inlineStr">
        <is>
          <t>mixed</t>
        </is>
      </c>
      <c r="O24" s="86" t="inlineStr">
        <is>
          <t>mixed</t>
        </is>
      </c>
      <c r="P24" s="86" t="inlineStr">
        <is>
          <t>icdr</t>
        </is>
      </c>
      <c r="Q24" s="86" t="inlineStr">
        <is>
          <t>retina specialist</t>
        </is>
      </c>
      <c r="R24" s="86" t="inlineStr">
        <is>
          <t>no</t>
        </is>
      </c>
      <c r="S24" s="86" t="inlineStr">
        <is>
          <t>fundus</t>
        </is>
      </c>
      <c r="T24" s="32" t="inlineStr">
        <is>
          <t>1</t>
        </is>
      </c>
      <c r="U24" s="86" t="inlineStr">
        <is>
          <t>no</t>
        </is>
      </c>
      <c r="V24" s="86" t="inlineStr">
        <is>
          <t>no</t>
        </is>
      </c>
      <c r="W24" s="86" t="inlineStr">
        <is>
          <t>no</t>
        </is>
      </c>
      <c r="X24" s="86" t="inlineStr">
        <is>
          <t>vgg family</t>
        </is>
      </c>
      <c r="Y24" s="86" t="inlineStr">
        <is>
          <t>north america</t>
        </is>
      </c>
      <c r="Z24" s="86" t="inlineStr">
        <is>
          <t>high</t>
        </is>
      </c>
      <c r="AA24" s="86" t="inlineStr">
        <is>
          <t>high</t>
        </is>
      </c>
      <c r="AB24" s="86" t="inlineStr">
        <is>
          <t>excluded</t>
        </is>
      </c>
      <c r="AC24" s="86" t="inlineStr">
        <is>
          <t>high</t>
        </is>
      </c>
      <c r="AD24" s="86" t="n">
        <v>100</v>
      </c>
      <c r="AE24" s="104" t="n">
        <v>0.5</v>
      </c>
      <c r="AF24" s="104" t="n">
        <v>50</v>
      </c>
      <c r="AG24" s="104" t="n">
        <v>50</v>
      </c>
      <c r="AH24" s="104" t="n">
        <v>0.88</v>
      </c>
      <c r="AI24" s="104" t="n">
        <v>0.86</v>
      </c>
      <c r="AJ24" s="86" t="n">
        <v>44</v>
      </c>
      <c r="AK24" s="86" t="n">
        <v>6</v>
      </c>
      <c r="AL24" s="86" t="n">
        <v>43</v>
      </c>
      <c r="AM24" s="86" t="n">
        <v>7</v>
      </c>
    </row>
    <row r="25" ht="16" customHeight="1" s="55">
      <c r="A25" s="88" t="inlineStr">
        <is>
          <t>Wintergerst et al. 2021</t>
        </is>
      </c>
      <c r="B25" s="88" t="n">
        <v>10</v>
      </c>
      <c r="C25" s="86" t="inlineStr">
        <is>
          <t>ophthalmologist</t>
        </is>
      </c>
      <c r="D25" s="86" t="inlineStr">
        <is>
          <t>EyeArt</t>
        </is>
      </c>
      <c r="E25" s="86" t="inlineStr">
        <is>
          <t>ophthalmologist</t>
        </is>
      </c>
      <c r="F25" s="86" t="inlineStr">
        <is>
          <t>original</t>
        </is>
      </c>
      <c r="G25" s="86" t="inlineStr">
        <is>
          <t>prospective</t>
        </is>
      </c>
      <c r="H25" s="86" t="inlineStr">
        <is>
          <t>high</t>
        </is>
      </c>
      <c r="I25" s="86" t="inlineStr">
        <is>
          <t>primary</t>
        </is>
      </c>
      <c r="J25" s="86" t="inlineStr">
        <is>
          <t>yes</t>
        </is>
      </c>
      <c r="K25" s="86" t="inlineStr">
        <is>
          <t>rdr</t>
        </is>
      </c>
      <c r="L25" s="86" t="inlineStr">
        <is>
          <t>no</t>
        </is>
      </c>
      <c r="M25" s="86" t="inlineStr">
        <is>
          <t>mixed</t>
        </is>
      </c>
      <c r="N25" s="86" t="inlineStr">
        <is>
          <t>desktop</t>
        </is>
      </c>
      <c r="O25" s="86" t="inlineStr">
        <is>
          <t>other</t>
        </is>
      </c>
      <c r="P25" s="86" t="inlineStr">
        <is>
          <t>icdr</t>
        </is>
      </c>
      <c r="Q25" s="86" t="inlineStr">
        <is>
          <t>retina specialist</t>
        </is>
      </c>
      <c r="R25" s="86" t="inlineStr">
        <is>
          <t>yes</t>
        </is>
      </c>
      <c r="S25" s="86" t="inlineStr">
        <is>
          <t>fundus</t>
        </is>
      </c>
      <c r="T25" s="32" t="inlineStr">
        <is>
          <t>&gt;2</t>
        </is>
      </c>
      <c r="U25" s="86" t="inlineStr">
        <is>
          <t>no</t>
        </is>
      </c>
      <c r="V25" s="86" t="inlineStr">
        <is>
          <t>yes</t>
        </is>
      </c>
      <c r="W25" s="86" t="inlineStr">
        <is>
          <t>yes</t>
        </is>
      </c>
      <c r="X25" s="86" t="inlineStr">
        <is>
          <t>cnn</t>
        </is>
      </c>
      <c r="Y25" s="86" t="inlineStr">
        <is>
          <t>europe</t>
        </is>
      </c>
      <c r="Z25" s="86" t="inlineStr">
        <is>
          <t>low</t>
        </is>
      </c>
      <c r="AA25" s="86" t="inlineStr">
        <is>
          <t>low</t>
        </is>
      </c>
      <c r="AB25" s="86" t="inlineStr">
        <is>
          <t>positive</t>
        </is>
      </c>
      <c r="AC25" s="86" t="inlineStr">
        <is>
          <t>low</t>
        </is>
      </c>
      <c r="AD25" s="86" t="n">
        <v>63</v>
      </c>
      <c r="AE25" s="104" t="n">
        <v>0.09523809523809523</v>
      </c>
      <c r="AF25" s="104" t="n">
        <v>6</v>
      </c>
      <c r="AG25" s="104" t="n">
        <v>57</v>
      </c>
      <c r="AH25" s="104" t="n">
        <v>0.5</v>
      </c>
      <c r="AI25" s="104" t="n">
        <v>0.7368421052631579</v>
      </c>
      <c r="AJ25" s="86" t="n">
        <v>3</v>
      </c>
      <c r="AK25" s="86" t="n">
        <v>3</v>
      </c>
      <c r="AL25" s="86" t="n">
        <v>42</v>
      </c>
      <c r="AM25" s="86" t="n">
        <v>15</v>
      </c>
    </row>
    <row r="26" ht="16" customHeight="1" s="55">
      <c r="A26" s="28" t="inlineStr">
        <is>
          <t>Limwattanayingyong et al .2020</t>
        </is>
      </c>
      <c r="B26" s="28" t="n">
        <v>11</v>
      </c>
      <c r="C26" s="86" t="inlineStr">
        <is>
          <t>trainedgrader</t>
        </is>
      </c>
      <c r="D26" s="86" t="inlineStr">
        <is>
          <t>ARDA</t>
        </is>
      </c>
      <c r="E26" s="86" t="inlineStr">
        <is>
          <t>trainedgrader</t>
        </is>
      </c>
      <c r="F26" s="86" t="inlineStr">
        <is>
          <t>original</t>
        </is>
      </c>
      <c r="G26" s="86" t="inlineStr">
        <is>
          <t>retrospective</t>
        </is>
      </c>
      <c r="H26" s="86" t="inlineStr">
        <is>
          <t>middle</t>
        </is>
      </c>
      <c r="I26" s="86" t="inlineStr">
        <is>
          <t>primary</t>
        </is>
      </c>
      <c r="J26" s="86" t="inlineStr">
        <is>
          <t>yes</t>
        </is>
      </c>
      <c r="K26" s="86" t="inlineStr">
        <is>
          <t>vtdr</t>
        </is>
      </c>
      <c r="L26" s="86" t="inlineStr">
        <is>
          <t>no</t>
        </is>
      </c>
      <c r="M26" s="86" t="inlineStr">
        <is>
          <t>no</t>
        </is>
      </c>
      <c r="N26" s="86" t="inlineStr">
        <is>
          <t>desktop</t>
        </is>
      </c>
      <c r="O26" s="86" t="inlineStr">
        <is>
          <t>mixed</t>
        </is>
      </c>
      <c r="P26" s="86" t="inlineStr">
        <is>
          <t>icdr</t>
        </is>
      </c>
      <c r="Q26" s="86" t="inlineStr">
        <is>
          <t>retina specialist</t>
        </is>
      </c>
      <c r="R26" s="86" t="inlineStr">
        <is>
          <t>yes</t>
        </is>
      </c>
      <c r="S26" s="86" t="inlineStr">
        <is>
          <t>fundus</t>
        </is>
      </c>
      <c r="T26" s="32" t="inlineStr">
        <is>
          <t>1</t>
        </is>
      </c>
      <c r="U26" s="86" t="inlineStr">
        <is>
          <t>yes</t>
        </is>
      </c>
      <c r="V26" s="86" t="inlineStr">
        <is>
          <t>yes</t>
        </is>
      </c>
      <c r="W26" s="86" t="inlineStr">
        <is>
          <t>yes</t>
        </is>
      </c>
      <c r="X26" s="86" t="inlineStr">
        <is>
          <t>inception family</t>
        </is>
      </c>
      <c r="Y26" s="86" t="inlineStr">
        <is>
          <t>asia</t>
        </is>
      </c>
      <c r="Z26" s="86" t="inlineStr">
        <is>
          <t>high</t>
        </is>
      </c>
      <c r="AA26" s="86" t="inlineStr">
        <is>
          <t>high</t>
        </is>
      </c>
      <c r="AB26" s="86" t="inlineStr">
        <is>
          <t>excluded</t>
        </is>
      </c>
      <c r="AC26" s="86" t="inlineStr">
        <is>
          <t>middle</t>
        </is>
      </c>
      <c r="AD26" s="86" t="n">
        <v>5738</v>
      </c>
      <c r="AE26" s="104" t="n">
        <v>0.1028232833739979</v>
      </c>
      <c r="AF26" s="104" t="n">
        <v>590</v>
      </c>
      <c r="AG26" s="104" t="n">
        <v>5148</v>
      </c>
      <c r="AH26" s="104" t="n">
        <v>0.8796610169491526</v>
      </c>
      <c r="AI26" s="104" t="n">
        <v>0.9640637140637141</v>
      </c>
      <c r="AJ26" s="86" t="n">
        <v>519</v>
      </c>
      <c r="AK26" s="86" t="n">
        <v>71</v>
      </c>
      <c r="AL26" s="86" t="n">
        <v>4963</v>
      </c>
      <c r="AM26" s="86" t="n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F20" sqref="F20:F21"/>
    </sheetView>
  </sheetViews>
  <sheetFormatPr baseColWidth="10" defaultRowHeight="15"/>
  <cols>
    <col width="26" customWidth="1" style="20" min="1" max="1"/>
    <col width="5.83203125" customWidth="1" style="20" min="2" max="2"/>
    <col width="9.5" customWidth="1" style="55" min="3" max="3"/>
    <col width="16.5" customWidth="1" style="55" min="5" max="5"/>
  </cols>
  <sheetData>
    <row r="1" ht="16" customFormat="1" customHeight="1" s="20">
      <c r="A1" s="88" t="inlineStr">
        <is>
          <t>authoryr</t>
        </is>
      </c>
      <c r="B1" s="88" t="inlineStr">
        <is>
          <t>index</t>
        </is>
      </c>
      <c r="C1" s="88" t="inlineStr">
        <is>
          <t>idx</t>
        </is>
      </c>
      <c r="D1" s="88" t="inlineStr">
        <is>
          <t>test</t>
        </is>
      </c>
      <c r="E1" s="88" t="inlineStr">
        <is>
          <t>readerexpertise</t>
        </is>
      </c>
      <c r="F1" s="88" t="inlineStr">
        <is>
          <t>article</t>
        </is>
      </c>
      <c r="G1" s="88" t="inlineStr">
        <is>
          <t>study</t>
        </is>
      </c>
      <c r="H1" s="88" t="inlineStr">
        <is>
          <t>economic</t>
        </is>
      </c>
      <c r="I1" s="88" t="inlineStr">
        <is>
          <t>healthcare</t>
        </is>
      </c>
      <c r="J1" s="88" t="inlineStr">
        <is>
          <t>external</t>
        </is>
      </c>
      <c r="K1" s="88" t="inlineStr">
        <is>
          <t>dr</t>
        </is>
      </c>
      <c r="L1" s="88" t="inlineStr">
        <is>
          <t>othereyetarget</t>
        </is>
      </c>
      <c r="M1" s="88" t="inlineStr">
        <is>
          <t>pupil</t>
        </is>
      </c>
      <c r="N1" s="88" t="inlineStr">
        <is>
          <t>ctype</t>
        </is>
      </c>
      <c r="O1" s="88" t="inlineStr">
        <is>
          <t>camera</t>
        </is>
      </c>
      <c r="P1" s="88" t="inlineStr">
        <is>
          <t>criteria</t>
        </is>
      </c>
      <c r="Q1" s="88" t="inlineStr">
        <is>
          <t>rstandard</t>
        </is>
      </c>
      <c r="R1" s="88" t="inlineStr">
        <is>
          <t>disagree</t>
        </is>
      </c>
      <c r="S1" s="88" t="inlineStr">
        <is>
          <t>rimage</t>
        </is>
      </c>
      <c r="T1" s="88" t="inlineStr">
        <is>
          <t>field</t>
        </is>
      </c>
      <c r="U1" s="88" t="inlineStr">
        <is>
          <t>vendor</t>
        </is>
      </c>
      <c r="V1" s="88" t="inlineStr">
        <is>
          <t>commercial</t>
        </is>
      </c>
      <c r="W1" s="88" t="inlineStr">
        <is>
          <t>certified</t>
        </is>
      </c>
      <c r="X1" s="88" t="inlineStr">
        <is>
          <t>architecture</t>
        </is>
      </c>
      <c r="Y1" s="88" t="inlineStr">
        <is>
          <t>region</t>
        </is>
      </c>
      <c r="Z1" s="88" t="inlineStr">
        <is>
          <t>aigradable</t>
        </is>
      </c>
      <c r="AA1" s="88" t="inlineStr">
        <is>
          <t>hgradable</t>
        </is>
      </c>
      <c r="AB1" s="88" t="inlineStr">
        <is>
          <t>ungradable</t>
        </is>
      </c>
      <c r="AC1" s="88" t="inlineStr">
        <is>
          <t>prevalance</t>
        </is>
      </c>
      <c r="AD1" s="88" t="inlineStr">
        <is>
          <t>Total_eye1</t>
        </is>
      </c>
      <c r="AE1" s="103" t="inlineStr">
        <is>
          <t>Prevalence1</t>
        </is>
      </c>
      <c r="AF1" s="103" t="inlineStr">
        <is>
          <t>Positive1</t>
        </is>
      </c>
      <c r="AG1" s="103" t="inlineStr">
        <is>
          <t>Negative1</t>
        </is>
      </c>
      <c r="AH1" s="103" t="inlineStr">
        <is>
          <t>Sensitivity1</t>
        </is>
      </c>
      <c r="AI1" s="103" t="inlineStr">
        <is>
          <t>Specificity1</t>
        </is>
      </c>
      <c r="AJ1" s="88" t="inlineStr">
        <is>
          <t>tp1</t>
        </is>
      </c>
      <c r="AK1" s="88" t="inlineStr">
        <is>
          <t>fn1</t>
        </is>
      </c>
      <c r="AL1" s="88" t="inlineStr">
        <is>
          <t>tn1</t>
        </is>
      </c>
      <c r="AM1" s="88" t="inlineStr">
        <is>
          <t>fp1</t>
        </is>
      </c>
      <c r="AN1" s="2" t="n"/>
      <c r="AO1" s="102" t="n"/>
      <c r="AP1" s="102" t="n"/>
      <c r="AQ1" s="102" t="n"/>
      <c r="AR1" s="102" t="n"/>
      <c r="AS1" s="102" t="n"/>
      <c r="AT1" s="2" t="n"/>
      <c r="AU1" s="2" t="n"/>
      <c r="AV1" s="2" t="n"/>
      <c r="AW1" s="2" t="n"/>
    </row>
    <row r="2" ht="16" customFormat="1" customHeight="1" s="20">
      <c r="A2" s="88" t="inlineStr">
        <is>
          <t>Similié et al. 2025</t>
        </is>
      </c>
      <c r="B2" s="88" t="n">
        <v>1</v>
      </c>
      <c r="C2" s="86" t="inlineStr">
        <is>
          <t>DL</t>
        </is>
      </c>
      <c r="D2" s="88" t="inlineStr">
        <is>
          <t>DL classifier</t>
        </is>
      </c>
      <c r="E2" s="88" t="inlineStr">
        <is>
          <t>trainedgrader</t>
        </is>
      </c>
      <c r="F2" s="88" t="inlineStr">
        <is>
          <t>original</t>
        </is>
      </c>
      <c r="G2" s="88" t="inlineStr">
        <is>
          <t>retrospective</t>
        </is>
      </c>
      <c r="H2" s="88" t="inlineStr">
        <is>
          <t>high</t>
        </is>
      </c>
      <c r="I2" s="88" t="inlineStr">
        <is>
          <t>tertiary</t>
        </is>
      </c>
      <c r="J2" s="88" t="inlineStr">
        <is>
          <t>no</t>
        </is>
      </c>
      <c r="K2" s="88" t="inlineStr">
        <is>
          <t>dr</t>
        </is>
      </c>
      <c r="L2" s="88" t="inlineStr">
        <is>
          <t>no</t>
        </is>
      </c>
      <c r="M2" s="88" t="inlineStr">
        <is>
          <t>no</t>
        </is>
      </c>
      <c r="N2" s="88" t="inlineStr">
        <is>
          <t>desktop</t>
        </is>
      </c>
      <c r="O2" s="86" t="inlineStr">
        <is>
          <t>other</t>
        </is>
      </c>
      <c r="P2" s="88" t="inlineStr">
        <is>
          <t>icdr</t>
        </is>
      </c>
      <c r="Q2" s="86" t="inlineStr">
        <is>
          <t>retina specialist</t>
        </is>
      </c>
      <c r="R2" s="88" t="inlineStr">
        <is>
          <t>no</t>
        </is>
      </c>
      <c r="S2" s="88" t="inlineStr">
        <is>
          <t>fundus</t>
        </is>
      </c>
      <c r="T2" s="88" t="inlineStr">
        <is>
          <t>&gt;2</t>
        </is>
      </c>
      <c r="U2" s="88" t="inlineStr">
        <is>
          <t>no</t>
        </is>
      </c>
      <c r="V2" s="88" t="inlineStr">
        <is>
          <t>no</t>
        </is>
      </c>
      <c r="W2" s="88" t="inlineStr">
        <is>
          <t>no</t>
        </is>
      </c>
      <c r="X2" s="88" t="inlineStr">
        <is>
          <t>inception family</t>
        </is>
      </c>
      <c r="Y2" s="88" t="inlineStr">
        <is>
          <t>europe</t>
        </is>
      </c>
      <c r="Z2" s="88" t="inlineStr">
        <is>
          <t>high</t>
        </is>
      </c>
      <c r="AA2" s="88" t="inlineStr">
        <is>
          <t>high</t>
        </is>
      </c>
      <c r="AB2" s="88" t="inlineStr">
        <is>
          <t>excluded</t>
        </is>
      </c>
      <c r="AC2" s="86" t="inlineStr">
        <is>
          <t>high</t>
        </is>
      </c>
      <c r="AD2" s="86">
        <f>AF2+AG2</f>
        <v/>
      </c>
      <c r="AE2" s="104">
        <f>AF2/AD2</f>
        <v/>
      </c>
      <c r="AF2" s="104">
        <f>AJ2+AK2</f>
        <v/>
      </c>
      <c r="AG2" s="104">
        <f>AM2+AL2</f>
        <v/>
      </c>
      <c r="AH2" s="104">
        <f>AJ2/(AJ2+AK2)</f>
        <v/>
      </c>
      <c r="AI2" s="104">
        <f>AL2/(AL2+AM2)</f>
        <v/>
      </c>
      <c r="AJ2" s="88" t="n">
        <v>316</v>
      </c>
      <c r="AK2" s="88" t="n">
        <v>87</v>
      </c>
      <c r="AL2" s="88" t="n">
        <v>79</v>
      </c>
      <c r="AM2" s="88" t="n">
        <v>18</v>
      </c>
      <c r="AO2" s="102" t="n"/>
      <c r="AP2" s="102" t="n"/>
      <c r="AQ2" s="102" t="n"/>
      <c r="AR2" s="102" t="n"/>
      <c r="AS2" s="102" t="n"/>
      <c r="AT2" s="2" t="n"/>
      <c r="AU2" s="2" t="n"/>
      <c r="AV2" s="2" t="n"/>
      <c r="AW2" s="2" t="n"/>
    </row>
    <row r="3" ht="16" customFormat="1" customHeight="1" s="20">
      <c r="A3" s="88" t="inlineStr">
        <is>
          <t>Zhao et al. 2025</t>
        </is>
      </c>
      <c r="B3" s="88" t="n">
        <v>2</v>
      </c>
      <c r="C3" s="86" t="inlineStr">
        <is>
          <t>DL</t>
        </is>
      </c>
      <c r="D3" s="88" t="inlineStr">
        <is>
          <t xml:space="preserve">WARM model </t>
        </is>
      </c>
      <c r="E3" s="88" t="inlineStr">
        <is>
          <t>ophthalmologist</t>
        </is>
      </c>
      <c r="F3" s="88" t="inlineStr">
        <is>
          <t>original</t>
        </is>
      </c>
      <c r="G3" s="88" t="inlineStr">
        <is>
          <t>retrospective</t>
        </is>
      </c>
      <c r="H3" s="88" t="inlineStr">
        <is>
          <t>middle</t>
        </is>
      </c>
      <c r="I3" s="88" t="inlineStr">
        <is>
          <t>tertiary</t>
        </is>
      </c>
      <c r="J3" s="88" t="inlineStr">
        <is>
          <t>no</t>
        </is>
      </c>
      <c r="K3" s="88" t="inlineStr">
        <is>
          <t>vtdr</t>
        </is>
      </c>
      <c r="L3" s="88" t="inlineStr">
        <is>
          <t>yes</t>
        </is>
      </c>
      <c r="M3" s="88" t="inlineStr">
        <is>
          <t>no</t>
        </is>
      </c>
      <c r="N3" s="88" t="inlineStr">
        <is>
          <t>desktop</t>
        </is>
      </c>
      <c r="O3" s="86" t="inlineStr">
        <is>
          <t>other</t>
        </is>
      </c>
      <c r="P3" s="88" t="inlineStr">
        <is>
          <t>icdr</t>
        </is>
      </c>
      <c r="Q3" s="86" t="inlineStr">
        <is>
          <t>ophthalmologist</t>
        </is>
      </c>
      <c r="R3" s="88" t="inlineStr">
        <is>
          <t>yes</t>
        </is>
      </c>
      <c r="S3" s="86" t="inlineStr">
        <is>
          <t>with advanced image</t>
        </is>
      </c>
      <c r="T3" s="88" t="n">
        <v>1</v>
      </c>
      <c r="U3" s="88" t="inlineStr">
        <is>
          <t>yes</t>
        </is>
      </c>
      <c r="V3" s="88" t="inlineStr">
        <is>
          <t>no</t>
        </is>
      </c>
      <c r="W3" s="88" t="inlineStr">
        <is>
          <t>no</t>
        </is>
      </c>
      <c r="X3" s="88" t="inlineStr">
        <is>
          <t>transformer family</t>
        </is>
      </c>
      <c r="Y3" s="88" t="inlineStr">
        <is>
          <t>asia</t>
        </is>
      </c>
      <c r="Z3" s="88" t="inlineStr">
        <is>
          <t>high</t>
        </is>
      </c>
      <c r="AA3" s="88" t="inlineStr">
        <is>
          <t>high</t>
        </is>
      </c>
      <c r="AB3" s="88" t="inlineStr">
        <is>
          <t>excluded</t>
        </is>
      </c>
      <c r="AC3" s="86" t="inlineStr">
        <is>
          <t>Low</t>
        </is>
      </c>
      <c r="AD3" s="86">
        <f>AF3+AG3</f>
        <v/>
      </c>
      <c r="AE3" s="104">
        <f>AF3/AD3</f>
        <v/>
      </c>
      <c r="AF3" s="104">
        <f>AJ3+AK3</f>
        <v/>
      </c>
      <c r="AG3" s="104">
        <f>AM3+AL3</f>
        <v/>
      </c>
      <c r="AH3" s="104">
        <f>AJ3/(AJ3+AK3)</f>
        <v/>
      </c>
      <c r="AI3" s="104">
        <f>AL3/(AL3+AM3)</f>
        <v/>
      </c>
      <c r="AJ3" s="88" t="n">
        <v>603</v>
      </c>
      <c r="AK3" s="88" t="n">
        <v>28</v>
      </c>
      <c r="AL3" s="88" t="n">
        <v>7865</v>
      </c>
      <c r="AM3" s="88" t="n">
        <v>312</v>
      </c>
      <c r="AO3" s="102" t="n"/>
      <c r="AP3" s="102" t="n"/>
      <c r="AQ3" s="102" t="n"/>
      <c r="AR3" s="102" t="n"/>
      <c r="AS3" s="102" t="n"/>
      <c r="AT3" s="2" t="n"/>
      <c r="AU3" s="2" t="n"/>
      <c r="AV3" s="2" t="n"/>
      <c r="AW3" s="2" t="n"/>
    </row>
    <row r="4" ht="16" customHeight="1" s="55">
      <c r="A4" s="88" t="inlineStr">
        <is>
          <t>Chia et al. 2024</t>
        </is>
      </c>
      <c r="B4" s="88" t="n">
        <v>3</v>
      </c>
      <c r="C4" s="86" t="inlineStr">
        <is>
          <t>DL</t>
        </is>
      </c>
      <c r="D4" s="86" t="inlineStr">
        <is>
          <t>ARDA</t>
        </is>
      </c>
      <c r="E4" s="86" t="inlineStr">
        <is>
          <t>retinaspecialist</t>
        </is>
      </c>
      <c r="F4" s="86" t="inlineStr">
        <is>
          <t>original</t>
        </is>
      </c>
      <c r="G4" s="86" t="inlineStr">
        <is>
          <t>retrospective</t>
        </is>
      </c>
      <c r="H4" s="86" t="inlineStr">
        <is>
          <t>high</t>
        </is>
      </c>
      <c r="I4" s="86" t="inlineStr">
        <is>
          <t>primary</t>
        </is>
      </c>
      <c r="J4" s="86" t="inlineStr">
        <is>
          <t>yes</t>
        </is>
      </c>
      <c r="K4" s="86" t="inlineStr">
        <is>
          <t>rdr</t>
        </is>
      </c>
      <c r="L4" s="86" t="inlineStr">
        <is>
          <t>no</t>
        </is>
      </c>
      <c r="M4" s="86" t="inlineStr">
        <is>
          <t>no</t>
        </is>
      </c>
      <c r="N4" s="86" t="inlineStr">
        <is>
          <t>desktop</t>
        </is>
      </c>
      <c r="O4" s="86" t="inlineStr">
        <is>
          <t>other</t>
        </is>
      </c>
      <c r="P4" s="86" t="inlineStr">
        <is>
          <t>icdr</t>
        </is>
      </c>
      <c r="Q4" s="86" t="inlineStr">
        <is>
          <t>retina specialist</t>
        </is>
      </c>
      <c r="R4" s="86" t="inlineStr">
        <is>
          <t>yes</t>
        </is>
      </c>
      <c r="S4" s="86" t="inlineStr">
        <is>
          <t>fundus</t>
        </is>
      </c>
      <c r="T4" s="32" t="inlineStr">
        <is>
          <t>1</t>
        </is>
      </c>
      <c r="U4" s="86" t="inlineStr">
        <is>
          <t>yes</t>
        </is>
      </c>
      <c r="V4" s="86" t="inlineStr">
        <is>
          <t>yes</t>
        </is>
      </c>
      <c r="W4" s="86" t="inlineStr">
        <is>
          <t>yes</t>
        </is>
      </c>
      <c r="X4" s="86" t="inlineStr">
        <is>
          <t>inception family</t>
        </is>
      </c>
      <c r="Y4" s="86" t="inlineStr">
        <is>
          <t>asia</t>
        </is>
      </c>
      <c r="Z4" s="86" t="inlineStr">
        <is>
          <t>low</t>
        </is>
      </c>
      <c r="AA4" s="86" t="inlineStr">
        <is>
          <t>low</t>
        </is>
      </c>
      <c r="AB4" s="86" t="inlineStr">
        <is>
          <t>excluded</t>
        </is>
      </c>
      <c r="AC4" s="86" t="inlineStr">
        <is>
          <t>middle</t>
        </is>
      </c>
      <c r="AD4" s="86" t="n">
        <v>1483</v>
      </c>
      <c r="AE4" s="104" t="n">
        <v>0.2380310182063385</v>
      </c>
      <c r="AF4" s="104" t="n">
        <v>353</v>
      </c>
      <c r="AG4" s="104" t="n">
        <v>1130</v>
      </c>
      <c r="AH4" s="104" t="n">
        <v>0.9801699716713881</v>
      </c>
      <c r="AI4" s="104" t="n">
        <v>0.9513274336283186</v>
      </c>
      <c r="AJ4" s="86" t="n">
        <v>346</v>
      </c>
      <c r="AK4" s="86" t="n">
        <v>7</v>
      </c>
      <c r="AL4" s="86" t="n">
        <v>1075</v>
      </c>
      <c r="AM4" s="86" t="n">
        <v>55</v>
      </c>
      <c r="AN4" s="1" t="n"/>
      <c r="AO4" s="107" t="n"/>
      <c r="AP4" s="107" t="n"/>
      <c r="AQ4" s="107" t="n"/>
      <c r="AR4" s="107" t="n"/>
      <c r="AS4" s="107" t="n"/>
    </row>
    <row r="5" ht="16" customHeight="1" s="55">
      <c r="A5" s="88" t="inlineStr">
        <is>
          <t>Hu et al. 2024</t>
        </is>
      </c>
      <c r="B5" s="88" t="n">
        <v>4</v>
      </c>
      <c r="C5" s="86" t="inlineStr">
        <is>
          <t>DL</t>
        </is>
      </c>
      <c r="D5" s="86" t="inlineStr">
        <is>
          <t>AutoEye</t>
        </is>
      </c>
      <c r="E5" s="86" t="inlineStr">
        <is>
          <t>ophthalmologist</t>
        </is>
      </c>
      <c r="F5" s="86" t="inlineStr">
        <is>
          <t>original</t>
        </is>
      </c>
      <c r="G5" s="86" t="inlineStr">
        <is>
          <t>prospective</t>
        </is>
      </c>
      <c r="H5" s="86" t="inlineStr">
        <is>
          <t>middle</t>
        </is>
      </c>
      <c r="I5" s="86" t="inlineStr">
        <is>
          <t>tertiary</t>
        </is>
      </c>
      <c r="J5" s="86" t="inlineStr">
        <is>
          <t>no</t>
        </is>
      </c>
      <c r="K5" s="86" t="inlineStr">
        <is>
          <t>dr</t>
        </is>
      </c>
      <c r="L5" s="86" t="inlineStr">
        <is>
          <t>no</t>
        </is>
      </c>
      <c r="M5" s="86" t="inlineStr">
        <is>
          <t>no</t>
        </is>
      </c>
      <c r="N5" s="86" t="inlineStr">
        <is>
          <t>desktop</t>
        </is>
      </c>
      <c r="O5" s="86" t="inlineStr">
        <is>
          <t>other</t>
        </is>
      </c>
      <c r="P5" s="86" t="inlineStr">
        <is>
          <t>icdr</t>
        </is>
      </c>
      <c r="Q5" s="86" t="inlineStr">
        <is>
          <t>other</t>
        </is>
      </c>
      <c r="R5" s="86" t="inlineStr">
        <is>
          <t>no</t>
        </is>
      </c>
      <c r="S5" s="86" t="inlineStr">
        <is>
          <t>with advanced image</t>
        </is>
      </c>
      <c r="T5" s="32" t="inlineStr">
        <is>
          <t>1</t>
        </is>
      </c>
      <c r="U5" s="86" t="inlineStr">
        <is>
          <t>no</t>
        </is>
      </c>
      <c r="V5" s="86" t="inlineStr">
        <is>
          <t>no</t>
        </is>
      </c>
      <c r="W5" s="86" t="inlineStr">
        <is>
          <t>no</t>
        </is>
      </c>
      <c r="X5" s="86" t="inlineStr">
        <is>
          <t>cnn</t>
        </is>
      </c>
      <c r="Y5" s="86" t="inlineStr">
        <is>
          <t>asia</t>
        </is>
      </c>
      <c r="Z5" s="86" t="inlineStr">
        <is>
          <t>high</t>
        </is>
      </c>
      <c r="AA5" s="86" t="inlineStr">
        <is>
          <t>high</t>
        </is>
      </c>
      <c r="AB5" s="86" t="inlineStr">
        <is>
          <t>excluded</t>
        </is>
      </c>
      <c r="AC5" s="86" t="inlineStr">
        <is>
          <t>high</t>
        </is>
      </c>
      <c r="AD5" s="86" t="n">
        <v>234</v>
      </c>
      <c r="AE5" s="104" t="n">
        <v>0.6837606837606838</v>
      </c>
      <c r="AF5" s="104" t="n">
        <v>160</v>
      </c>
      <c r="AG5" s="104" t="n">
        <v>74</v>
      </c>
      <c r="AH5" s="104" t="n">
        <v>0.975</v>
      </c>
      <c r="AI5" s="104" t="n">
        <v>0.972972972972973</v>
      </c>
      <c r="AJ5" s="86" t="n">
        <v>156</v>
      </c>
      <c r="AK5" s="86" t="n">
        <v>4</v>
      </c>
      <c r="AL5" s="86" t="n">
        <v>72</v>
      </c>
      <c r="AM5" s="86" t="n">
        <v>2</v>
      </c>
      <c r="AN5" s="1" t="n"/>
      <c r="AO5" s="107" t="n"/>
      <c r="AP5" s="107" t="n"/>
      <c r="AQ5" s="107" t="n"/>
      <c r="AR5" s="107" t="n"/>
      <c r="AS5" s="107" t="n"/>
    </row>
    <row r="6" ht="16" customHeight="1" s="55">
      <c r="A6" s="88" t="inlineStr">
        <is>
          <t>Li et al. 2024</t>
        </is>
      </c>
      <c r="B6" s="88" t="n">
        <v>5</v>
      </c>
      <c r="C6" s="86" t="inlineStr">
        <is>
          <t>DL</t>
        </is>
      </c>
      <c r="D6" s="86" t="inlineStr">
        <is>
          <t>DLS</t>
        </is>
      </c>
      <c r="E6" s="86" t="inlineStr">
        <is>
          <t>ophthalmologist</t>
        </is>
      </c>
      <c r="F6" s="86" t="inlineStr">
        <is>
          <t>original</t>
        </is>
      </c>
      <c r="G6" s="86" t="inlineStr">
        <is>
          <t>prospective</t>
        </is>
      </c>
      <c r="H6" s="86" t="inlineStr">
        <is>
          <t>middle</t>
        </is>
      </c>
      <c r="I6" s="86" t="inlineStr">
        <is>
          <t>tertiary</t>
        </is>
      </c>
      <c r="J6" s="86" t="inlineStr">
        <is>
          <t>no</t>
        </is>
      </c>
      <c r="K6" s="86" t="inlineStr">
        <is>
          <t>rdr</t>
        </is>
      </c>
      <c r="L6" s="86" t="inlineStr">
        <is>
          <t>yes</t>
        </is>
      </c>
      <c r="M6" s="86" t="inlineStr">
        <is>
          <t>mixed</t>
        </is>
      </c>
      <c r="N6" s="86" t="inlineStr">
        <is>
          <t>desktop</t>
        </is>
      </c>
      <c r="O6" s="86" t="inlineStr">
        <is>
          <t>mixed</t>
        </is>
      </c>
      <c r="P6" s="86" t="inlineStr">
        <is>
          <t>icdr</t>
        </is>
      </c>
      <c r="Q6" s="86" t="inlineStr">
        <is>
          <t>retina specialist</t>
        </is>
      </c>
      <c r="R6" s="86" t="inlineStr">
        <is>
          <t>yes</t>
        </is>
      </c>
      <c r="S6" s="86" t="inlineStr">
        <is>
          <t>fundus</t>
        </is>
      </c>
      <c r="T6" s="32" t="inlineStr">
        <is>
          <t>1</t>
        </is>
      </c>
      <c r="U6" s="86" t="inlineStr">
        <is>
          <t>yes</t>
        </is>
      </c>
      <c r="V6" s="86" t="inlineStr">
        <is>
          <t>no</t>
        </is>
      </c>
      <c r="W6" s="86" t="inlineStr">
        <is>
          <t>no</t>
        </is>
      </c>
      <c r="X6" s="86" t="inlineStr">
        <is>
          <t>resnet family</t>
        </is>
      </c>
      <c r="Y6" s="86" t="inlineStr">
        <is>
          <t>asia</t>
        </is>
      </c>
      <c r="Z6" s="86" t="inlineStr">
        <is>
          <t>high</t>
        </is>
      </c>
      <c r="AA6" s="86" t="inlineStr">
        <is>
          <t>high</t>
        </is>
      </c>
      <c r="AB6" s="86" t="inlineStr">
        <is>
          <t>excluded</t>
        </is>
      </c>
      <c r="AC6" s="86" t="inlineStr">
        <is>
          <t>middle</t>
        </is>
      </c>
      <c r="AD6" s="86" t="n">
        <v>1493</v>
      </c>
      <c r="AE6" s="104" t="n">
        <v>0.1105157401205626</v>
      </c>
      <c r="AF6" s="104" t="n">
        <v>165</v>
      </c>
      <c r="AG6" s="104" t="n">
        <v>1328</v>
      </c>
      <c r="AH6" s="104" t="n">
        <v>0.9636363636363636</v>
      </c>
      <c r="AI6" s="104" t="n">
        <v>0.8832831325301205</v>
      </c>
      <c r="AJ6" s="86" t="n">
        <v>159</v>
      </c>
      <c r="AK6" s="86" t="n">
        <v>6</v>
      </c>
      <c r="AL6" s="86" t="n">
        <v>1173</v>
      </c>
      <c r="AM6" s="86" t="n">
        <v>155</v>
      </c>
      <c r="AN6" s="1" t="n"/>
      <c r="AO6" s="107" t="n"/>
      <c r="AP6" s="107" t="n"/>
      <c r="AQ6" s="107" t="n"/>
      <c r="AR6" s="107" t="n"/>
      <c r="AS6" s="107" t="n"/>
    </row>
    <row r="7" ht="16" customHeight="1" s="55">
      <c r="A7" s="28" t="inlineStr">
        <is>
          <t>Núñez do Rio et al. 2023</t>
        </is>
      </c>
      <c r="B7" s="28" t="n">
        <v>6</v>
      </c>
      <c r="C7" s="86" t="inlineStr">
        <is>
          <t>DL</t>
        </is>
      </c>
      <c r="D7" s="86" t="inlineStr">
        <is>
          <t>SMART-India DLS</t>
        </is>
      </c>
      <c r="E7" s="86" t="inlineStr">
        <is>
          <t>trainedgrader</t>
        </is>
      </c>
      <c r="F7" s="86" t="inlineStr">
        <is>
          <t>original</t>
        </is>
      </c>
      <c r="G7" s="86" t="inlineStr">
        <is>
          <t>prospective</t>
        </is>
      </c>
      <c r="H7" s="86" t="inlineStr">
        <is>
          <t>middle</t>
        </is>
      </c>
      <c r="I7" s="86" t="inlineStr">
        <is>
          <t>primary</t>
        </is>
      </c>
      <c r="J7" s="86" t="inlineStr">
        <is>
          <t>no</t>
        </is>
      </c>
      <c r="K7" s="86" t="inlineStr">
        <is>
          <t>rdr</t>
        </is>
      </c>
      <c r="L7" s="86" t="inlineStr">
        <is>
          <t>no</t>
        </is>
      </c>
      <c r="M7" s="86" t="inlineStr">
        <is>
          <t>no</t>
        </is>
      </c>
      <c r="N7" s="86" t="inlineStr">
        <is>
          <t>portable</t>
        </is>
      </c>
      <c r="O7" s="86" t="inlineStr">
        <is>
          <t>other</t>
        </is>
      </c>
      <c r="P7" s="86" t="inlineStr">
        <is>
          <t>icdr</t>
        </is>
      </c>
      <c r="Q7" s="86" t="inlineStr">
        <is>
          <t>retina specialist</t>
        </is>
      </c>
      <c r="R7" s="86" t="inlineStr">
        <is>
          <t>no</t>
        </is>
      </c>
      <c r="S7" s="86" t="inlineStr">
        <is>
          <t>fundus</t>
        </is>
      </c>
      <c r="T7" s="32" t="inlineStr">
        <is>
          <t>2</t>
        </is>
      </c>
      <c r="U7" s="86" t="inlineStr">
        <is>
          <t>no</t>
        </is>
      </c>
      <c r="V7" s="86" t="inlineStr">
        <is>
          <t>no</t>
        </is>
      </c>
      <c r="W7" s="86" t="inlineStr">
        <is>
          <t>no</t>
        </is>
      </c>
      <c r="X7" s="86" t="inlineStr">
        <is>
          <t>resnet family</t>
        </is>
      </c>
      <c r="Y7" s="86" t="inlineStr">
        <is>
          <t>asia</t>
        </is>
      </c>
      <c r="Z7" s="86" t="inlineStr">
        <is>
          <t>high</t>
        </is>
      </c>
      <c r="AA7" s="86" t="inlineStr">
        <is>
          <t>high</t>
        </is>
      </c>
      <c r="AB7" s="86" t="inlineStr">
        <is>
          <t>excluded</t>
        </is>
      </c>
      <c r="AC7" s="86" t="inlineStr">
        <is>
          <t>middle</t>
        </is>
      </c>
      <c r="AD7" s="86" t="n">
        <v>16247</v>
      </c>
      <c r="AE7" s="104" t="n">
        <v>0.2300732442912538</v>
      </c>
      <c r="AF7" s="104" t="n">
        <v>3738</v>
      </c>
      <c r="AG7" s="104" t="n">
        <v>12509</v>
      </c>
      <c r="AH7" s="104" t="n">
        <v>0.8386837881219904</v>
      </c>
      <c r="AI7" s="104" t="n">
        <v>0.9600287792789192</v>
      </c>
      <c r="AJ7" s="86" t="n">
        <v>3135</v>
      </c>
      <c r="AK7" s="86" t="n">
        <v>603</v>
      </c>
      <c r="AL7" s="86" t="n">
        <v>12009</v>
      </c>
      <c r="AM7" s="86" t="n">
        <v>500</v>
      </c>
      <c r="AN7" s="1" t="n"/>
      <c r="AO7" s="107" t="n"/>
      <c r="AP7" s="107" t="n"/>
      <c r="AQ7" s="107" t="n"/>
      <c r="AR7" s="107" t="n"/>
      <c r="AS7" s="107" t="n"/>
    </row>
    <row r="8" ht="16" customHeight="1" s="55">
      <c r="A8" s="88" t="inlineStr">
        <is>
          <t>Ruamviboonsuk et al. 2022</t>
        </is>
      </c>
      <c r="B8" s="88" t="n">
        <v>7</v>
      </c>
      <c r="C8" s="86" t="inlineStr">
        <is>
          <t>DL</t>
        </is>
      </c>
      <c r="D8" s="86" t="inlineStr">
        <is>
          <t>ARDA</t>
        </is>
      </c>
      <c r="E8" s="86" t="inlineStr">
        <is>
          <t>retinaspecialist</t>
        </is>
      </c>
      <c r="F8" s="86" t="inlineStr">
        <is>
          <t>original</t>
        </is>
      </c>
      <c r="G8" s="86" t="inlineStr">
        <is>
          <t>prospective</t>
        </is>
      </c>
      <c r="H8" s="86" t="inlineStr">
        <is>
          <t>middle</t>
        </is>
      </c>
      <c r="I8" s="86" t="inlineStr">
        <is>
          <t>primary</t>
        </is>
      </c>
      <c r="J8" s="86" t="inlineStr">
        <is>
          <t>yes</t>
        </is>
      </c>
      <c r="K8" s="86" t="inlineStr">
        <is>
          <t>vtdr</t>
        </is>
      </c>
      <c r="L8" s="86" t="inlineStr">
        <is>
          <t>no</t>
        </is>
      </c>
      <c r="M8" s="86" t="inlineStr">
        <is>
          <t>no</t>
        </is>
      </c>
      <c r="N8" s="86" t="inlineStr">
        <is>
          <t>desktop</t>
        </is>
      </c>
      <c r="O8" s="86" t="inlineStr">
        <is>
          <t>mixed</t>
        </is>
      </c>
      <c r="P8" s="86" t="inlineStr">
        <is>
          <t>icdr</t>
        </is>
      </c>
      <c r="Q8" s="86" t="inlineStr">
        <is>
          <t>retina specialist</t>
        </is>
      </c>
      <c r="R8" s="86" t="inlineStr">
        <is>
          <t>yes</t>
        </is>
      </c>
      <c r="S8" s="86" t="inlineStr">
        <is>
          <t>fundus</t>
        </is>
      </c>
      <c r="T8" s="32" t="inlineStr">
        <is>
          <t>1</t>
        </is>
      </c>
      <c r="U8" s="86" t="inlineStr">
        <is>
          <t>yes</t>
        </is>
      </c>
      <c r="V8" s="86" t="inlineStr">
        <is>
          <t>yes</t>
        </is>
      </c>
      <c r="W8" s="86" t="inlineStr">
        <is>
          <t>yes</t>
        </is>
      </c>
      <c r="X8" s="86" t="inlineStr">
        <is>
          <t>inception family</t>
        </is>
      </c>
      <c r="Y8" s="86" t="inlineStr">
        <is>
          <t>asia</t>
        </is>
      </c>
      <c r="Z8" s="86" t="inlineStr">
        <is>
          <t>high</t>
        </is>
      </c>
      <c r="AA8" s="86" t="inlineStr">
        <is>
          <t>low</t>
        </is>
      </c>
      <c r="AB8" s="86" t="inlineStr">
        <is>
          <t>positive</t>
        </is>
      </c>
      <c r="AC8" s="86" t="inlineStr">
        <is>
          <t>middle</t>
        </is>
      </c>
      <c r="AD8" s="86" t="n">
        <v>987</v>
      </c>
      <c r="AE8" s="104" t="n">
        <v>0.1661600810536981</v>
      </c>
      <c r="AF8" s="104" t="n">
        <v>164</v>
      </c>
      <c r="AG8" s="104" t="n">
        <v>823</v>
      </c>
      <c r="AH8" s="104" t="n">
        <v>0.9146341463414634</v>
      </c>
      <c r="AI8" s="104" t="n">
        <v>0.9635479951397327</v>
      </c>
      <c r="AJ8" s="86" t="n">
        <v>150</v>
      </c>
      <c r="AK8" s="86" t="n">
        <v>14</v>
      </c>
      <c r="AL8" s="86" t="n">
        <v>793</v>
      </c>
      <c r="AM8" s="86" t="n">
        <v>30</v>
      </c>
      <c r="AN8" s="1" t="n"/>
      <c r="AO8" s="107" t="n"/>
      <c r="AP8" s="107" t="n"/>
      <c r="AQ8" s="107" t="n"/>
      <c r="AR8" s="107" t="n"/>
      <c r="AS8" s="107" t="n"/>
    </row>
    <row r="9" ht="16" customHeight="1" s="55">
      <c r="A9" s="28" t="inlineStr">
        <is>
          <t>Zhang et al. 2022</t>
        </is>
      </c>
      <c r="B9" s="28" t="n">
        <v>8</v>
      </c>
      <c r="C9" s="86" t="inlineStr">
        <is>
          <t>DL</t>
        </is>
      </c>
      <c r="D9" s="86" t="inlineStr">
        <is>
          <t>DGCN</t>
        </is>
      </c>
      <c r="E9" s="86" t="inlineStr">
        <is>
          <t>retinaspecialist</t>
        </is>
      </c>
      <c r="F9" s="86" t="inlineStr">
        <is>
          <t>original</t>
        </is>
      </c>
      <c r="G9" s="86" t="inlineStr">
        <is>
          <t>retrospective</t>
        </is>
      </c>
      <c r="H9" s="86" t="inlineStr">
        <is>
          <t>high</t>
        </is>
      </c>
      <c r="I9" s="86" t="inlineStr">
        <is>
          <t>public dataset</t>
        </is>
      </c>
      <c r="J9" s="86" t="inlineStr">
        <is>
          <t>no</t>
        </is>
      </c>
      <c r="K9" s="86" t="inlineStr">
        <is>
          <t>dr</t>
        </is>
      </c>
      <c r="L9" s="86" t="inlineStr">
        <is>
          <t>no</t>
        </is>
      </c>
      <c r="M9" s="86" t="inlineStr">
        <is>
          <t>mixed</t>
        </is>
      </c>
      <c r="N9" s="86" t="inlineStr">
        <is>
          <t>mixed</t>
        </is>
      </c>
      <c r="O9" s="86" t="inlineStr">
        <is>
          <t>mixed</t>
        </is>
      </c>
      <c r="P9" s="86" t="inlineStr">
        <is>
          <t>icdr</t>
        </is>
      </c>
      <c r="Q9" s="86" t="inlineStr">
        <is>
          <t>ophthalmologist</t>
        </is>
      </c>
      <c r="R9" s="86" t="inlineStr">
        <is>
          <t>yes</t>
        </is>
      </c>
      <c r="S9" s="86" t="inlineStr">
        <is>
          <t>fundus</t>
        </is>
      </c>
      <c r="T9" s="32" t="inlineStr">
        <is>
          <t>1</t>
        </is>
      </c>
      <c r="U9" s="86" t="inlineStr">
        <is>
          <t>no</t>
        </is>
      </c>
      <c r="V9" s="86" t="inlineStr">
        <is>
          <t>no</t>
        </is>
      </c>
      <c r="W9" s="86" t="inlineStr">
        <is>
          <t>no</t>
        </is>
      </c>
      <c r="X9" s="86" t="inlineStr">
        <is>
          <t>resnet family</t>
        </is>
      </c>
      <c r="Y9" s="86" t="inlineStr">
        <is>
          <t>north america</t>
        </is>
      </c>
      <c r="Z9" s="86" t="inlineStr">
        <is>
          <t>high</t>
        </is>
      </c>
      <c r="AA9" s="86" t="inlineStr">
        <is>
          <t>high</t>
        </is>
      </c>
      <c r="AB9" s="86" t="inlineStr">
        <is>
          <t>excluded</t>
        </is>
      </c>
      <c r="AC9" s="86" t="inlineStr">
        <is>
          <t>high</t>
        </is>
      </c>
      <c r="AD9" s="86" t="n">
        <v>10286</v>
      </c>
      <c r="AE9" s="104" t="n">
        <v>0.7787283686564263</v>
      </c>
      <c r="AF9" s="104" t="n">
        <v>8010</v>
      </c>
      <c r="AG9" s="104" t="n">
        <v>2276</v>
      </c>
      <c r="AH9" s="104" t="n">
        <v>0.8820224719101124</v>
      </c>
      <c r="AI9" s="104" t="n">
        <v>0.9130052724077329</v>
      </c>
      <c r="AJ9" s="86" t="n">
        <v>7065</v>
      </c>
      <c r="AK9" s="86" t="n">
        <v>945</v>
      </c>
      <c r="AL9" s="86" t="n">
        <v>2078</v>
      </c>
      <c r="AM9" s="86" t="n">
        <v>198</v>
      </c>
      <c r="AN9" s="1" t="n"/>
      <c r="AO9" s="107" t="n"/>
      <c r="AP9" s="107" t="n"/>
      <c r="AQ9" s="107" t="n"/>
      <c r="AR9" s="107" t="n"/>
      <c r="AS9" s="107" t="n"/>
    </row>
    <row r="10" ht="16" customHeight="1" s="55">
      <c r="A10" s="28" t="inlineStr">
        <is>
          <t>Hsieh et al. 2021</t>
        </is>
      </c>
      <c r="B10" s="28" t="n">
        <v>9</v>
      </c>
      <c r="C10" s="86" t="inlineStr">
        <is>
          <t>DL</t>
        </is>
      </c>
      <c r="D10" s="86" t="inlineStr">
        <is>
          <t>VeriSee</t>
        </is>
      </c>
      <c r="E10" s="86" t="inlineStr">
        <is>
          <t>ophthalmologist</t>
        </is>
      </c>
      <c r="F10" s="86" t="inlineStr">
        <is>
          <t>original</t>
        </is>
      </c>
      <c r="G10" s="86" t="inlineStr">
        <is>
          <t>retrospective</t>
        </is>
      </c>
      <c r="H10" s="86" t="inlineStr">
        <is>
          <t>high</t>
        </is>
      </c>
      <c r="I10" s="86" t="inlineStr">
        <is>
          <t>tertiary</t>
        </is>
      </c>
      <c r="J10" s="86" t="inlineStr">
        <is>
          <t>no</t>
        </is>
      </c>
      <c r="K10" s="86" t="inlineStr">
        <is>
          <t>dr</t>
        </is>
      </c>
      <c r="L10" s="86" t="inlineStr">
        <is>
          <t>no</t>
        </is>
      </c>
      <c r="M10" s="86" t="inlineStr">
        <is>
          <t>no</t>
        </is>
      </c>
      <c r="N10" s="86" t="inlineStr">
        <is>
          <t>desktop</t>
        </is>
      </c>
      <c r="O10" s="86" t="inlineStr">
        <is>
          <t>canon</t>
        </is>
      </c>
      <c r="P10" s="86" t="inlineStr">
        <is>
          <t>icdr</t>
        </is>
      </c>
      <c r="Q10" s="86" t="inlineStr">
        <is>
          <t>ophthalmologist</t>
        </is>
      </c>
      <c r="R10" s="86" t="inlineStr">
        <is>
          <t>yes</t>
        </is>
      </c>
      <c r="S10" s="86" t="inlineStr">
        <is>
          <t>fundus</t>
        </is>
      </c>
      <c r="T10" s="32" t="inlineStr">
        <is>
          <t>1</t>
        </is>
      </c>
      <c r="U10" s="86" t="inlineStr">
        <is>
          <t>yes</t>
        </is>
      </c>
      <c r="V10" s="86" t="inlineStr">
        <is>
          <t>yes</t>
        </is>
      </c>
      <c r="W10" s="86" t="inlineStr">
        <is>
          <t>yes</t>
        </is>
      </c>
      <c r="X10" s="86" t="inlineStr">
        <is>
          <t>inception family</t>
        </is>
      </c>
      <c r="Y10" s="86" t="inlineStr">
        <is>
          <t>asia</t>
        </is>
      </c>
      <c r="Z10" s="86" t="inlineStr">
        <is>
          <t>high</t>
        </is>
      </c>
      <c r="AA10" s="86" t="inlineStr">
        <is>
          <t>high</t>
        </is>
      </c>
      <c r="AB10" s="86" t="inlineStr">
        <is>
          <t>excluded</t>
        </is>
      </c>
      <c r="AC10" s="86" t="inlineStr">
        <is>
          <t>high</t>
        </is>
      </c>
      <c r="AD10" s="86" t="n">
        <v>1875</v>
      </c>
      <c r="AE10" s="104" t="n">
        <v>0.3488</v>
      </c>
      <c r="AF10" s="104" t="n">
        <v>654</v>
      </c>
      <c r="AG10" s="104" t="n">
        <v>1221</v>
      </c>
      <c r="AH10" s="104" t="n">
        <v>0.9220183486238532</v>
      </c>
      <c r="AI10" s="104" t="n">
        <v>0.8951678951678952</v>
      </c>
      <c r="AJ10" s="86" t="n">
        <v>603</v>
      </c>
      <c r="AK10" s="86" t="n">
        <v>51</v>
      </c>
      <c r="AL10" s="86" t="n">
        <v>1093</v>
      </c>
      <c r="AM10" s="86" t="n">
        <v>128</v>
      </c>
      <c r="AN10" s="1" t="n"/>
      <c r="AO10" s="107" t="n"/>
      <c r="AP10" s="107" t="n"/>
      <c r="AQ10" s="107" t="n"/>
      <c r="AR10" s="107" t="n"/>
      <c r="AS10" s="107" t="n"/>
    </row>
    <row r="11" ht="16" customHeight="1" s="55">
      <c r="A11" s="88" t="inlineStr">
        <is>
          <t>Kim et al. 2021</t>
        </is>
      </c>
      <c r="B11" s="88" t="n">
        <v>10</v>
      </c>
      <c r="C11" s="86" t="inlineStr">
        <is>
          <t>DL</t>
        </is>
      </c>
      <c r="D11" s="86" t="inlineStr">
        <is>
          <t>EyeArt</t>
        </is>
      </c>
      <c r="E11" s="86" t="inlineStr">
        <is>
          <t>retinaspecialist</t>
        </is>
      </c>
      <c r="F11" s="86" t="inlineStr">
        <is>
          <t>original</t>
        </is>
      </c>
      <c r="G11" s="86" t="inlineStr">
        <is>
          <t>prospective</t>
        </is>
      </c>
      <c r="H11" s="86" t="inlineStr">
        <is>
          <t>high</t>
        </is>
      </c>
      <c r="I11" s="86" t="inlineStr">
        <is>
          <t>tertiary</t>
        </is>
      </c>
      <c r="J11" s="86" t="inlineStr">
        <is>
          <t>no</t>
        </is>
      </c>
      <c r="K11" s="86" t="inlineStr">
        <is>
          <t>rdr</t>
        </is>
      </c>
      <c r="L11" s="86" t="inlineStr">
        <is>
          <t>no</t>
        </is>
      </c>
      <c r="M11" s="86" t="inlineStr">
        <is>
          <t>yes</t>
        </is>
      </c>
      <c r="N11" s="86" t="inlineStr">
        <is>
          <t>smartphone</t>
        </is>
      </c>
      <c r="O11" s="86" t="inlineStr">
        <is>
          <t>other</t>
        </is>
      </c>
      <c r="P11" s="86" t="inlineStr">
        <is>
          <t>etdrs</t>
        </is>
      </c>
      <c r="Q11" s="86" t="inlineStr">
        <is>
          <t>retina specialist</t>
        </is>
      </c>
      <c r="R11" s="86" t="inlineStr">
        <is>
          <t>no</t>
        </is>
      </c>
      <c r="S11" s="86" t="inlineStr">
        <is>
          <t>clinical examination</t>
        </is>
      </c>
      <c r="T11" s="32" t="inlineStr">
        <is>
          <t>&gt;2</t>
        </is>
      </c>
      <c r="U11" s="86" t="inlineStr">
        <is>
          <t>yes</t>
        </is>
      </c>
      <c r="V11" s="86" t="inlineStr">
        <is>
          <t>yes</t>
        </is>
      </c>
      <c r="W11" s="86" t="inlineStr">
        <is>
          <t>yes</t>
        </is>
      </c>
      <c r="X11" s="86" t="inlineStr">
        <is>
          <t>cnn</t>
        </is>
      </c>
      <c r="Y11" s="86" t="inlineStr">
        <is>
          <t>north america</t>
        </is>
      </c>
      <c r="Z11" s="86" t="inlineStr">
        <is>
          <t>high</t>
        </is>
      </c>
      <c r="AA11" s="86" t="inlineStr">
        <is>
          <t>high</t>
        </is>
      </c>
      <c r="AB11" s="86" t="inlineStr">
        <is>
          <t>excluded</t>
        </is>
      </c>
      <c r="AC11" s="86" t="inlineStr">
        <is>
          <t>high</t>
        </is>
      </c>
      <c r="AD11" s="86" t="n">
        <v>119</v>
      </c>
      <c r="AE11" s="104" t="n">
        <v>0.7394957983193278</v>
      </c>
      <c r="AF11" s="104" t="n">
        <v>88</v>
      </c>
      <c r="AG11" s="104" t="n">
        <v>31</v>
      </c>
      <c r="AH11" s="104" t="n">
        <v>0.7840909090909091</v>
      </c>
      <c r="AI11" s="104" t="n">
        <v>0.7419354838709677</v>
      </c>
      <c r="AJ11" s="86" t="n">
        <v>69</v>
      </c>
      <c r="AK11" s="86" t="n">
        <v>19</v>
      </c>
      <c r="AL11" s="86" t="n">
        <v>23</v>
      </c>
      <c r="AM11" s="86" t="n">
        <v>8</v>
      </c>
      <c r="AN11" s="1" t="n"/>
      <c r="AO11" s="107" t="n"/>
      <c r="AP11" s="107" t="n"/>
      <c r="AQ11" s="107" t="n"/>
      <c r="AR11" s="107" t="n"/>
      <c r="AS11" s="107" t="n"/>
      <c r="AT11" s="1" t="n"/>
      <c r="AU11" s="1" t="n"/>
      <c r="AV11" s="1" t="n"/>
      <c r="AW11" s="1" t="n"/>
    </row>
    <row r="12" ht="17" customHeight="1" s="55">
      <c r="A12" s="88" t="inlineStr">
        <is>
          <t>Gonz_x0001_alez-Gonzalo et al. 2020</t>
        </is>
      </c>
      <c r="B12" s="88" t="n">
        <v>11</v>
      </c>
      <c r="C12" s="86" t="inlineStr">
        <is>
          <t>DL</t>
        </is>
      </c>
      <c r="D12" s="86" t="inlineStr">
        <is>
          <t>RetCAD</t>
        </is>
      </c>
      <c r="E12" s="86" t="inlineStr">
        <is>
          <t>ophthalmologist</t>
        </is>
      </c>
      <c r="F12" s="86" t="inlineStr">
        <is>
          <t>original</t>
        </is>
      </c>
      <c r="G12" s="86" t="inlineStr">
        <is>
          <t>retrospective</t>
        </is>
      </c>
      <c r="H12" s="86" t="inlineStr">
        <is>
          <t>high</t>
        </is>
      </c>
      <c r="I12" s="86" t="inlineStr">
        <is>
          <t>tertiary</t>
        </is>
      </c>
      <c r="J12" s="86" t="inlineStr">
        <is>
          <t>yes</t>
        </is>
      </c>
      <c r="K12" s="86" t="inlineStr">
        <is>
          <t>rdr</t>
        </is>
      </c>
      <c r="L12" s="86" t="inlineStr">
        <is>
          <t>yes</t>
        </is>
      </c>
      <c r="M12" s="86" t="inlineStr">
        <is>
          <t>no</t>
        </is>
      </c>
      <c r="N12" s="86" t="inlineStr">
        <is>
          <t>desktop</t>
        </is>
      </c>
      <c r="O12" s="86" t="inlineStr">
        <is>
          <t>canon</t>
        </is>
      </c>
      <c r="P12" s="86" t="inlineStr">
        <is>
          <t>icdr</t>
        </is>
      </c>
      <c r="Q12" s="86" t="inlineStr">
        <is>
          <t>ophthalmologist</t>
        </is>
      </c>
      <c r="R12" s="86" t="inlineStr">
        <is>
          <t>no</t>
        </is>
      </c>
      <c r="S12" s="86" t="inlineStr">
        <is>
          <t>fundus</t>
        </is>
      </c>
      <c r="T12" s="32" t="inlineStr">
        <is>
          <t>1</t>
        </is>
      </c>
      <c r="U12" s="86" t="inlineStr">
        <is>
          <t>no</t>
        </is>
      </c>
      <c r="V12" s="86" t="inlineStr">
        <is>
          <t>yes</t>
        </is>
      </c>
      <c r="W12" s="86" t="inlineStr">
        <is>
          <t>yes</t>
        </is>
      </c>
      <c r="X12" s="86" t="inlineStr">
        <is>
          <t>densenet family</t>
        </is>
      </c>
      <c r="Y12" s="86" t="inlineStr">
        <is>
          <t>europe</t>
        </is>
      </c>
      <c r="Z12" s="86" t="inlineStr">
        <is>
          <t>high</t>
        </is>
      </c>
      <c r="AA12" s="86" t="inlineStr">
        <is>
          <t>high</t>
        </is>
      </c>
      <c r="AB12" s="86" t="inlineStr">
        <is>
          <t>excluded</t>
        </is>
      </c>
      <c r="AC12" s="86" t="inlineStr">
        <is>
          <t>middle</t>
        </is>
      </c>
      <c r="AD12" s="86" t="n">
        <v>600</v>
      </c>
      <c r="AE12" s="104" t="n">
        <v>0.185</v>
      </c>
      <c r="AF12" s="104" t="n">
        <v>111</v>
      </c>
      <c r="AG12" s="104" t="n">
        <v>489</v>
      </c>
      <c r="AH12" s="104" t="n">
        <v>0.9009009009009009</v>
      </c>
      <c r="AI12" s="104" t="n">
        <v>0.9059304703476483</v>
      </c>
      <c r="AJ12" s="104" t="n">
        <v>100</v>
      </c>
      <c r="AK12" s="104" t="n">
        <v>11</v>
      </c>
      <c r="AL12" s="104" t="n">
        <v>443</v>
      </c>
      <c r="AM12" s="104" t="n">
        <v>46</v>
      </c>
      <c r="AN12" s="1" t="n"/>
      <c r="AO12" s="107" t="n"/>
      <c r="AP12" s="107" t="n"/>
      <c r="AQ12" s="107" t="n"/>
      <c r="AR12" s="107" t="n"/>
      <c r="AS12" s="107" t="n"/>
    </row>
    <row r="13" ht="16" customHeight="1" s="55">
      <c r="A13" s="28" t="inlineStr">
        <is>
          <t>Ruamviboonsuk et al. 2019</t>
        </is>
      </c>
      <c r="B13" s="28" t="n">
        <v>12</v>
      </c>
      <c r="C13" s="86" t="inlineStr">
        <is>
          <t>DL</t>
        </is>
      </c>
      <c r="D13" s="86" t="inlineStr">
        <is>
          <t>ARDA</t>
        </is>
      </c>
      <c r="E13" s="86" t="inlineStr">
        <is>
          <t>trainedgrader</t>
        </is>
      </c>
      <c r="F13" s="86" t="inlineStr">
        <is>
          <t>original</t>
        </is>
      </c>
      <c r="G13" s="86" t="inlineStr">
        <is>
          <t>retrospective</t>
        </is>
      </c>
      <c r="H13" s="86" t="inlineStr">
        <is>
          <t>middle</t>
        </is>
      </c>
      <c r="I13" s="86" t="inlineStr">
        <is>
          <t>primary</t>
        </is>
      </c>
      <c r="J13" s="86" t="inlineStr">
        <is>
          <t>yes</t>
        </is>
      </c>
      <c r="K13" s="86" t="inlineStr">
        <is>
          <t>rdr</t>
        </is>
      </c>
      <c r="L13" s="86" t="inlineStr">
        <is>
          <t>no</t>
        </is>
      </c>
      <c r="M13" s="86" t="inlineStr">
        <is>
          <t>no</t>
        </is>
      </c>
      <c r="N13" s="86" t="inlineStr">
        <is>
          <t>desktop</t>
        </is>
      </c>
      <c r="O13" s="86" t="inlineStr">
        <is>
          <t>mixed</t>
        </is>
      </c>
      <c r="P13" s="86" t="inlineStr">
        <is>
          <t>icdr</t>
        </is>
      </c>
      <c r="Q13" s="86" t="inlineStr">
        <is>
          <t>retina specialist</t>
        </is>
      </c>
      <c r="R13" s="86" t="inlineStr">
        <is>
          <t>yes</t>
        </is>
      </c>
      <c r="S13" s="86" t="inlineStr">
        <is>
          <t>fundus</t>
        </is>
      </c>
      <c r="T13" s="32" t="inlineStr">
        <is>
          <t>1</t>
        </is>
      </c>
      <c r="U13" s="86" t="inlineStr">
        <is>
          <t>yes</t>
        </is>
      </c>
      <c r="V13" s="86" t="inlineStr">
        <is>
          <t>yes</t>
        </is>
      </c>
      <c r="W13" s="86" t="inlineStr">
        <is>
          <t>yes</t>
        </is>
      </c>
      <c r="X13" s="86" t="inlineStr">
        <is>
          <t>inception family</t>
        </is>
      </c>
      <c r="Y13" s="86" t="inlineStr">
        <is>
          <t>asia</t>
        </is>
      </c>
      <c r="Z13" s="86" t="inlineStr">
        <is>
          <t>low</t>
        </is>
      </c>
      <c r="AA13" s="86" t="inlineStr">
        <is>
          <t>low</t>
        </is>
      </c>
      <c r="AB13" s="86" t="inlineStr">
        <is>
          <t>excluded</t>
        </is>
      </c>
      <c r="AC13" s="86" t="inlineStr">
        <is>
          <t>middle</t>
        </is>
      </c>
      <c r="AD13" s="86" t="n">
        <v>29985</v>
      </c>
      <c r="AE13" s="104" t="n">
        <v>0.1217942304485576</v>
      </c>
      <c r="AF13" s="104" t="n">
        <v>3652</v>
      </c>
      <c r="AG13" s="104" t="n">
        <v>26333</v>
      </c>
      <c r="AH13" s="104" t="n">
        <v>0.9698795180722891</v>
      </c>
      <c r="AI13" s="104" t="n">
        <v>0.9600121520525576</v>
      </c>
      <c r="AJ13" s="86" t="n">
        <v>3542</v>
      </c>
      <c r="AK13" s="86" t="n">
        <v>110</v>
      </c>
      <c r="AL13" s="86" t="n">
        <v>25280</v>
      </c>
      <c r="AM13" s="86" t="n">
        <v>1053</v>
      </c>
      <c r="AN13" s="1" t="n"/>
      <c r="AO13" s="107" t="n"/>
      <c r="AP13" s="107" t="n"/>
      <c r="AQ13" s="107" t="n"/>
      <c r="AR13" s="107" t="n"/>
      <c r="AS13" s="107" t="n"/>
    </row>
    <row r="14" ht="16" customHeight="1" s="55">
      <c r="A14" s="88" t="inlineStr">
        <is>
          <t>Krause et al. 2018</t>
        </is>
      </c>
      <c r="B14" s="88" t="n">
        <v>13</v>
      </c>
      <c r="C14" s="86" t="inlineStr">
        <is>
          <t>DL</t>
        </is>
      </c>
      <c r="D14" s="86" t="inlineStr">
        <is>
          <t>ARDA</t>
        </is>
      </c>
      <c r="E14" s="86" t="inlineStr">
        <is>
          <t>ophthalmologist</t>
        </is>
      </c>
      <c r="F14" s="86" t="inlineStr">
        <is>
          <t>original</t>
        </is>
      </c>
      <c r="G14" s="86" t="inlineStr">
        <is>
          <t>retrospective</t>
        </is>
      </c>
      <c r="H14" s="86" t="inlineStr">
        <is>
          <t>high</t>
        </is>
      </c>
      <c r="I14" s="86" t="inlineStr">
        <is>
          <t>public dataset</t>
        </is>
      </c>
      <c r="J14" s="86" t="inlineStr">
        <is>
          <t>no</t>
        </is>
      </c>
      <c r="K14" s="86" t="inlineStr">
        <is>
          <t>rdr</t>
        </is>
      </c>
      <c r="L14" s="86" t="inlineStr">
        <is>
          <t>no</t>
        </is>
      </c>
      <c r="M14" s="86" t="inlineStr">
        <is>
          <t>mixed</t>
        </is>
      </c>
      <c r="N14" s="86" t="inlineStr">
        <is>
          <t>mixed</t>
        </is>
      </c>
      <c r="O14" s="86" t="inlineStr">
        <is>
          <t>mixed</t>
        </is>
      </c>
      <c r="P14" s="86" t="inlineStr">
        <is>
          <t>icdr</t>
        </is>
      </c>
      <c r="Q14" s="86" t="inlineStr">
        <is>
          <t>retina specialist</t>
        </is>
      </c>
      <c r="R14" s="86" t="inlineStr">
        <is>
          <t>yes</t>
        </is>
      </c>
      <c r="S14" s="86" t="inlineStr">
        <is>
          <t>fundus</t>
        </is>
      </c>
      <c r="T14" s="32" t="inlineStr">
        <is>
          <t>&gt;2</t>
        </is>
      </c>
      <c r="U14" s="86" t="inlineStr">
        <is>
          <t>yes</t>
        </is>
      </c>
      <c r="V14" s="86" t="inlineStr">
        <is>
          <t>yes</t>
        </is>
      </c>
      <c r="W14" s="86" t="inlineStr">
        <is>
          <t>yes</t>
        </is>
      </c>
      <c r="X14" s="86" t="inlineStr">
        <is>
          <t>inception family</t>
        </is>
      </c>
      <c r="Y14" s="86" t="inlineStr">
        <is>
          <t>north america</t>
        </is>
      </c>
      <c r="Z14" s="86" t="inlineStr">
        <is>
          <t>low</t>
        </is>
      </c>
      <c r="AA14" s="86" t="inlineStr">
        <is>
          <t>high</t>
        </is>
      </c>
      <c r="AB14" s="86" t="inlineStr">
        <is>
          <t>positive</t>
        </is>
      </c>
      <c r="AC14" s="86" t="inlineStr">
        <is>
          <t>middle</t>
        </is>
      </c>
      <c r="AD14" s="86" t="n">
        <v>1813</v>
      </c>
      <c r="AE14" s="104" t="n">
        <v>0.1158301158301158</v>
      </c>
      <c r="AF14" s="104" t="n">
        <v>210</v>
      </c>
      <c r="AG14" s="104" t="n">
        <v>1603</v>
      </c>
      <c r="AH14" s="104" t="n">
        <v>0.9714285714285714</v>
      </c>
      <c r="AI14" s="104" t="n">
        <v>0.9232688708671242</v>
      </c>
      <c r="AJ14" s="86" t="n">
        <v>204</v>
      </c>
      <c r="AK14" s="86" t="n">
        <v>6</v>
      </c>
      <c r="AL14" s="86" t="n">
        <v>1480</v>
      </c>
      <c r="AM14" s="86" t="n">
        <v>123</v>
      </c>
      <c r="AN14" s="1" t="n"/>
      <c r="AO14" s="107" t="n"/>
      <c r="AP14" s="107" t="n"/>
      <c r="AQ14" s="107" t="n"/>
      <c r="AR14" s="107" t="n"/>
      <c r="AS14" s="107" t="n"/>
    </row>
    <row r="15" ht="16" customHeight="1" s="55">
      <c r="A15" s="88" t="inlineStr">
        <is>
          <t>Shu et al. 2017</t>
        </is>
      </c>
      <c r="B15" s="88" t="n">
        <v>14</v>
      </c>
      <c r="C15" s="86" t="inlineStr">
        <is>
          <t>DL</t>
        </is>
      </c>
      <c r="D15" s="86" t="inlineStr">
        <is>
          <t>Selena+</t>
        </is>
      </c>
      <c r="E15" s="86" t="inlineStr">
        <is>
          <t>retinaspecialist</t>
        </is>
      </c>
      <c r="F15" s="86" t="inlineStr">
        <is>
          <t>original</t>
        </is>
      </c>
      <c r="G15" s="86" t="inlineStr">
        <is>
          <t>retrospective</t>
        </is>
      </c>
      <c r="H15" s="86" t="inlineStr">
        <is>
          <t>high</t>
        </is>
      </c>
      <c r="I15" s="86" t="inlineStr">
        <is>
          <t>primary</t>
        </is>
      </c>
      <c r="J15" s="86" t="inlineStr">
        <is>
          <t>yes</t>
        </is>
      </c>
      <c r="K15" s="86" t="inlineStr">
        <is>
          <t>rdr</t>
        </is>
      </c>
      <c r="L15" s="86" t="inlineStr">
        <is>
          <t>yes</t>
        </is>
      </c>
      <c r="M15" s="86" t="inlineStr">
        <is>
          <t>mixed</t>
        </is>
      </c>
      <c r="N15" s="86" t="inlineStr">
        <is>
          <t>desktop</t>
        </is>
      </c>
      <c r="O15" s="86" t="inlineStr">
        <is>
          <t>mixed</t>
        </is>
      </c>
      <c r="P15" s="86" t="inlineStr">
        <is>
          <t>icdr</t>
        </is>
      </c>
      <c r="Q15" s="86" t="inlineStr">
        <is>
          <t>retina specialist</t>
        </is>
      </c>
      <c r="R15" s="86" t="inlineStr">
        <is>
          <t>yes</t>
        </is>
      </c>
      <c r="S15" s="86" t="inlineStr">
        <is>
          <t>fundus</t>
        </is>
      </c>
      <c r="T15" s="32" t="inlineStr">
        <is>
          <t>2</t>
        </is>
      </c>
      <c r="U15" s="86" t="inlineStr">
        <is>
          <t>no</t>
        </is>
      </c>
      <c r="V15" s="86" t="inlineStr">
        <is>
          <t>yes</t>
        </is>
      </c>
      <c r="W15" s="86" t="inlineStr">
        <is>
          <t>yes</t>
        </is>
      </c>
      <c r="X15" s="86" t="inlineStr">
        <is>
          <t>vgg family</t>
        </is>
      </c>
      <c r="Y15" s="86" t="inlineStr">
        <is>
          <t>mixed</t>
        </is>
      </c>
      <c r="Z15" s="86" t="inlineStr">
        <is>
          <t>high</t>
        </is>
      </c>
      <c r="AA15" s="86" t="inlineStr">
        <is>
          <t>high</t>
        </is>
      </c>
      <c r="AB15" s="86" t="inlineStr">
        <is>
          <t>positive</t>
        </is>
      </c>
      <c r="AC15" s="86" t="inlineStr">
        <is>
          <t>middle</t>
        </is>
      </c>
      <c r="AD15" s="86" t="n">
        <v>35948</v>
      </c>
      <c r="AE15" s="104" t="n">
        <v>0.02929231111605653</v>
      </c>
      <c r="AF15" s="104" t="n">
        <v>1053</v>
      </c>
      <c r="AG15" s="104" t="n">
        <v>34895</v>
      </c>
      <c r="AH15" s="104" t="n">
        <v>0.9050332383665717</v>
      </c>
      <c r="AI15" s="104" t="n">
        <v>0.9160051583321392</v>
      </c>
      <c r="AJ15" s="86" t="n">
        <v>953</v>
      </c>
      <c r="AK15" s="86" t="n">
        <v>100</v>
      </c>
      <c r="AL15" s="86" t="n">
        <v>31964</v>
      </c>
      <c r="AM15" s="86" t="n">
        <v>2931</v>
      </c>
      <c r="AN15" s="1" t="n"/>
      <c r="AO15" s="107" t="n"/>
      <c r="AP15" s="107" t="n"/>
      <c r="AQ15" s="107" t="n"/>
      <c r="AR15" s="107" t="n"/>
      <c r="AS15" s="107" t="n"/>
      <c r="AT15" s="1" t="n"/>
      <c r="AU15" s="1" t="n"/>
      <c r="AV15" s="1" t="n"/>
      <c r="AW15" s="1" t="n"/>
    </row>
    <row r="16" ht="16" customHeight="1" s="55">
      <c r="A16" s="88" t="inlineStr">
        <is>
          <t>Similié et al. 2025</t>
        </is>
      </c>
      <c r="B16" s="88" t="n">
        <v>1</v>
      </c>
      <c r="C16" s="88" t="inlineStr">
        <is>
          <t>trainedgrader</t>
        </is>
      </c>
      <c r="D16" s="88" t="inlineStr">
        <is>
          <t>DL classifier</t>
        </is>
      </c>
      <c r="E16" s="88" t="inlineStr">
        <is>
          <t>trainedgrader</t>
        </is>
      </c>
      <c r="F16" s="88" t="inlineStr">
        <is>
          <t>original</t>
        </is>
      </c>
      <c r="G16" s="88" t="inlineStr">
        <is>
          <t>retrospective</t>
        </is>
      </c>
      <c r="H16" s="88" t="inlineStr">
        <is>
          <t>high</t>
        </is>
      </c>
      <c r="I16" s="88" t="inlineStr">
        <is>
          <t>tertiary</t>
        </is>
      </c>
      <c r="J16" s="88" t="inlineStr">
        <is>
          <t>no</t>
        </is>
      </c>
      <c r="K16" s="88" t="inlineStr">
        <is>
          <t>dr</t>
        </is>
      </c>
      <c r="L16" s="88" t="inlineStr">
        <is>
          <t>no</t>
        </is>
      </c>
      <c r="M16" s="88" t="inlineStr">
        <is>
          <t>no</t>
        </is>
      </c>
      <c r="N16" s="88" t="inlineStr">
        <is>
          <t>desktop</t>
        </is>
      </c>
      <c r="O16" s="86" t="inlineStr">
        <is>
          <t>other</t>
        </is>
      </c>
      <c r="P16" s="88" t="inlineStr">
        <is>
          <t>icdr</t>
        </is>
      </c>
      <c r="Q16" s="86" t="inlineStr">
        <is>
          <t>retina specialist</t>
        </is>
      </c>
      <c r="R16" s="88" t="inlineStr">
        <is>
          <t>no</t>
        </is>
      </c>
      <c r="S16" s="88" t="inlineStr">
        <is>
          <t>fundus</t>
        </is>
      </c>
      <c r="T16" s="88" t="inlineStr">
        <is>
          <t>&gt;2</t>
        </is>
      </c>
      <c r="U16" s="88" t="inlineStr">
        <is>
          <t>no</t>
        </is>
      </c>
      <c r="V16" s="88" t="inlineStr">
        <is>
          <t>no</t>
        </is>
      </c>
      <c r="W16" s="88" t="inlineStr">
        <is>
          <t>no</t>
        </is>
      </c>
      <c r="X16" s="88" t="inlineStr">
        <is>
          <t>inception family</t>
        </is>
      </c>
      <c r="Y16" s="88" t="inlineStr">
        <is>
          <t>europe</t>
        </is>
      </c>
      <c r="Z16" s="88" t="inlineStr">
        <is>
          <t>high</t>
        </is>
      </c>
      <c r="AA16" s="88" t="inlineStr">
        <is>
          <t>high</t>
        </is>
      </c>
      <c r="AB16" s="88" t="inlineStr">
        <is>
          <t>excluded</t>
        </is>
      </c>
      <c r="AC16" s="86" t="inlineStr">
        <is>
          <t>high</t>
        </is>
      </c>
      <c r="AD16" s="86" t="n">
        <v>500</v>
      </c>
      <c r="AE16" s="104" t="n">
        <v>0.806</v>
      </c>
      <c r="AF16" s="104" t="n">
        <v>403</v>
      </c>
      <c r="AG16" s="104" t="n">
        <v>97</v>
      </c>
      <c r="AH16" s="104" t="n">
        <v>0.9503722084367245</v>
      </c>
      <c r="AI16" s="104" t="n">
        <v>0.8247422680412371</v>
      </c>
      <c r="AJ16" s="86" t="n">
        <v>383</v>
      </c>
      <c r="AK16" s="86" t="n">
        <v>20</v>
      </c>
      <c r="AL16" s="86" t="n">
        <v>80</v>
      </c>
      <c r="AM16" s="86" t="n">
        <v>17</v>
      </c>
      <c r="AN16" s="1" t="n"/>
      <c r="AO16" s="107" t="n"/>
      <c r="AP16" s="107" t="n"/>
      <c r="AQ16" s="107" t="n"/>
      <c r="AR16" s="107" t="n"/>
      <c r="AS16" s="107" t="n"/>
      <c r="AT16" s="1" t="n"/>
      <c r="AU16" s="1" t="n"/>
      <c r="AV16" s="1" t="n"/>
      <c r="AW16" s="1" t="n"/>
    </row>
    <row r="17" ht="16" customHeight="1" s="55">
      <c r="A17" s="88" t="inlineStr">
        <is>
          <t>Zhao et al. 2025</t>
        </is>
      </c>
      <c r="B17" s="88" t="n">
        <v>2</v>
      </c>
      <c r="C17" s="88" t="inlineStr">
        <is>
          <t>ophthalmologist</t>
        </is>
      </c>
      <c r="D17" s="88" t="inlineStr">
        <is>
          <t xml:space="preserve">WARM model </t>
        </is>
      </c>
      <c r="E17" s="88" t="inlineStr">
        <is>
          <t>ophthalmologist</t>
        </is>
      </c>
      <c r="F17" s="88" t="inlineStr">
        <is>
          <t>original</t>
        </is>
      </c>
      <c r="G17" s="88" t="inlineStr">
        <is>
          <t>retrospective</t>
        </is>
      </c>
      <c r="H17" s="88" t="inlineStr">
        <is>
          <t>middle</t>
        </is>
      </c>
      <c r="I17" s="88" t="inlineStr">
        <is>
          <t>tertiary</t>
        </is>
      </c>
      <c r="J17" s="88" t="inlineStr">
        <is>
          <t>no</t>
        </is>
      </c>
      <c r="K17" s="88" t="inlineStr">
        <is>
          <t>vtdr</t>
        </is>
      </c>
      <c r="L17" s="88" t="inlineStr">
        <is>
          <t>yes</t>
        </is>
      </c>
      <c r="M17" s="88" t="inlineStr">
        <is>
          <t>no</t>
        </is>
      </c>
      <c r="N17" s="88" t="inlineStr">
        <is>
          <t>desktop</t>
        </is>
      </c>
      <c r="O17" s="86" t="inlineStr">
        <is>
          <t>other</t>
        </is>
      </c>
      <c r="P17" s="88" t="inlineStr">
        <is>
          <t>icdr</t>
        </is>
      </c>
      <c r="Q17" s="86" t="inlineStr">
        <is>
          <t>ophthalmologist</t>
        </is>
      </c>
      <c r="R17" s="88" t="inlineStr">
        <is>
          <t>yes</t>
        </is>
      </c>
      <c r="S17" s="86" t="inlineStr">
        <is>
          <t>with advanced image</t>
        </is>
      </c>
      <c r="T17" s="88" t="n">
        <v>1</v>
      </c>
      <c r="U17" s="88" t="inlineStr">
        <is>
          <t>yes</t>
        </is>
      </c>
      <c r="V17" s="88" t="inlineStr">
        <is>
          <t>no</t>
        </is>
      </c>
      <c r="W17" s="88" t="inlineStr">
        <is>
          <t>no</t>
        </is>
      </c>
      <c r="X17" s="88" t="inlineStr">
        <is>
          <t>transformer family</t>
        </is>
      </c>
      <c r="Y17" s="88" t="inlineStr">
        <is>
          <t>asia</t>
        </is>
      </c>
      <c r="Z17" s="88" t="inlineStr">
        <is>
          <t>high</t>
        </is>
      </c>
      <c r="AA17" s="88" t="inlineStr">
        <is>
          <t>high</t>
        </is>
      </c>
      <c r="AB17" s="88" t="inlineStr">
        <is>
          <t>excluded</t>
        </is>
      </c>
      <c r="AC17" s="86" t="inlineStr">
        <is>
          <t>Low</t>
        </is>
      </c>
      <c r="AD17" s="86" t="n">
        <v>8808</v>
      </c>
      <c r="AE17" s="104" t="n">
        <v>0.0716394187102634</v>
      </c>
      <c r="AF17" s="104" t="n">
        <v>631</v>
      </c>
      <c r="AG17" s="104" t="n">
        <v>8177</v>
      </c>
      <c r="AH17" s="104" t="n">
        <v>0.8972602739726028</v>
      </c>
      <c r="AI17" s="104" t="n">
        <v>0.986989299610895</v>
      </c>
      <c r="AJ17" s="86" t="n">
        <v>524</v>
      </c>
      <c r="AK17" s="86" t="n">
        <v>60</v>
      </c>
      <c r="AL17" s="86" t="n">
        <v>8117</v>
      </c>
      <c r="AM17" s="86" t="n">
        <v>107</v>
      </c>
      <c r="AN17" s="1" t="n"/>
      <c r="AO17" s="107" t="n"/>
      <c r="AP17" s="107" t="n"/>
      <c r="AQ17" s="107" t="n"/>
      <c r="AR17" s="107" t="n"/>
      <c r="AS17" s="107" t="n"/>
      <c r="AT17" s="1" t="n"/>
      <c r="AU17" s="1" t="n"/>
      <c r="AV17" s="1" t="n"/>
      <c r="AW17" s="1" t="n"/>
    </row>
    <row r="18" ht="16" customHeight="1" s="55">
      <c r="A18" s="88" t="inlineStr">
        <is>
          <t>Chia et al. 2024</t>
        </is>
      </c>
      <c r="B18" s="88" t="n">
        <v>3</v>
      </c>
      <c r="C18" s="86" t="inlineStr">
        <is>
          <t>retinaspecialist</t>
        </is>
      </c>
      <c r="D18" s="86" t="inlineStr">
        <is>
          <t>ARDA</t>
        </is>
      </c>
      <c r="E18" s="86" t="inlineStr">
        <is>
          <t>retinaspecialist</t>
        </is>
      </c>
      <c r="F18" s="86" t="inlineStr">
        <is>
          <t>original</t>
        </is>
      </c>
      <c r="G18" s="86" t="inlineStr">
        <is>
          <t>retrospective</t>
        </is>
      </c>
      <c r="H18" s="86" t="inlineStr">
        <is>
          <t>high</t>
        </is>
      </c>
      <c r="I18" s="86" t="inlineStr">
        <is>
          <t>primary</t>
        </is>
      </c>
      <c r="J18" s="86" t="inlineStr">
        <is>
          <t>yes</t>
        </is>
      </c>
      <c r="K18" s="86" t="inlineStr">
        <is>
          <t>rdr</t>
        </is>
      </c>
      <c r="L18" s="86" t="inlineStr">
        <is>
          <t>no</t>
        </is>
      </c>
      <c r="M18" s="86" t="inlineStr">
        <is>
          <t>no</t>
        </is>
      </c>
      <c r="N18" s="86" t="inlineStr">
        <is>
          <t>desktop</t>
        </is>
      </c>
      <c r="O18" s="86" t="inlineStr">
        <is>
          <t>other</t>
        </is>
      </c>
      <c r="P18" s="86" t="inlineStr">
        <is>
          <t>icdr</t>
        </is>
      </c>
      <c r="Q18" s="86" t="inlineStr">
        <is>
          <t>retina specialist</t>
        </is>
      </c>
      <c r="R18" s="86" t="inlineStr">
        <is>
          <t>yes</t>
        </is>
      </c>
      <c r="S18" s="86" t="inlineStr">
        <is>
          <t>fundus</t>
        </is>
      </c>
      <c r="T18" s="32" t="inlineStr">
        <is>
          <t>1</t>
        </is>
      </c>
      <c r="U18" s="86" t="inlineStr">
        <is>
          <t>yes</t>
        </is>
      </c>
      <c r="V18" s="86" t="inlineStr">
        <is>
          <t>yes</t>
        </is>
      </c>
      <c r="W18" s="86" t="inlineStr">
        <is>
          <t>yes</t>
        </is>
      </c>
      <c r="X18" s="86" t="inlineStr">
        <is>
          <t>inception family</t>
        </is>
      </c>
      <c r="Y18" s="86" t="inlineStr">
        <is>
          <t>asia</t>
        </is>
      </c>
      <c r="Z18" s="86" t="inlineStr">
        <is>
          <t>low</t>
        </is>
      </c>
      <c r="AA18" s="86" t="inlineStr">
        <is>
          <t>low</t>
        </is>
      </c>
      <c r="AB18" s="86" t="inlineStr">
        <is>
          <t>excluded</t>
        </is>
      </c>
      <c r="AC18" s="86" t="inlineStr">
        <is>
          <t>middle</t>
        </is>
      </c>
      <c r="AD18" s="86" t="n">
        <v>1483</v>
      </c>
      <c r="AE18" s="104" t="n">
        <v>0.2380310182063385</v>
      </c>
      <c r="AF18" s="104" t="n">
        <v>353</v>
      </c>
      <c r="AG18" s="104" t="n">
        <v>1130</v>
      </c>
      <c r="AH18" s="104" t="n">
        <v>0.8696883852691218</v>
      </c>
      <c r="AI18" s="104" t="n">
        <v>0.9699115044247788</v>
      </c>
      <c r="AJ18" s="86" t="n">
        <v>307</v>
      </c>
      <c r="AK18" s="86" t="n">
        <v>46</v>
      </c>
      <c r="AL18" s="86" t="n">
        <v>1096</v>
      </c>
      <c r="AM18" s="86" t="n">
        <v>34</v>
      </c>
    </row>
    <row r="19" ht="16" customHeight="1" s="55">
      <c r="A19" s="88" t="inlineStr">
        <is>
          <t>Hu et al. 2024</t>
        </is>
      </c>
      <c r="B19" s="88" t="n">
        <v>4</v>
      </c>
      <c r="C19" s="86" t="inlineStr">
        <is>
          <t>ophthalmologist</t>
        </is>
      </c>
      <c r="D19" s="86" t="inlineStr">
        <is>
          <t>AutoEye</t>
        </is>
      </c>
      <c r="E19" s="86" t="inlineStr">
        <is>
          <t>ophthalmologist</t>
        </is>
      </c>
      <c r="F19" s="86" t="inlineStr">
        <is>
          <t>original</t>
        </is>
      </c>
      <c r="G19" s="86" t="inlineStr">
        <is>
          <t>prospective</t>
        </is>
      </c>
      <c r="H19" s="86" t="inlineStr">
        <is>
          <t>middle</t>
        </is>
      </c>
      <c r="I19" s="86" t="inlineStr">
        <is>
          <t>tertiary</t>
        </is>
      </c>
      <c r="J19" s="86" t="inlineStr">
        <is>
          <t>no</t>
        </is>
      </c>
      <c r="K19" s="86" t="inlineStr">
        <is>
          <t>dr</t>
        </is>
      </c>
      <c r="L19" s="86" t="inlineStr">
        <is>
          <t>no</t>
        </is>
      </c>
      <c r="M19" s="86" t="inlineStr">
        <is>
          <t>no</t>
        </is>
      </c>
      <c r="N19" s="86" t="inlineStr">
        <is>
          <t>desktop</t>
        </is>
      </c>
      <c r="O19" s="86" t="inlineStr">
        <is>
          <t>other</t>
        </is>
      </c>
      <c r="P19" s="86" t="inlineStr">
        <is>
          <t>icdr</t>
        </is>
      </c>
      <c r="Q19" s="86" t="inlineStr">
        <is>
          <t>other</t>
        </is>
      </c>
      <c r="R19" s="86" t="inlineStr">
        <is>
          <t>no</t>
        </is>
      </c>
      <c r="S19" s="86" t="inlineStr">
        <is>
          <t>with advanced image</t>
        </is>
      </c>
      <c r="T19" s="32" t="inlineStr">
        <is>
          <t>1</t>
        </is>
      </c>
      <c r="U19" s="86" t="inlineStr">
        <is>
          <t>no</t>
        </is>
      </c>
      <c r="V19" s="86" t="inlineStr">
        <is>
          <t>no</t>
        </is>
      </c>
      <c r="W19" s="86" t="inlineStr">
        <is>
          <t>no</t>
        </is>
      </c>
      <c r="X19" s="86" t="inlineStr">
        <is>
          <t>cnn</t>
        </is>
      </c>
      <c r="Y19" s="86" t="inlineStr">
        <is>
          <t>asia</t>
        </is>
      </c>
      <c r="Z19" s="86" t="inlineStr">
        <is>
          <t>high</t>
        </is>
      </c>
      <c r="AA19" s="86" t="inlineStr">
        <is>
          <t>high</t>
        </is>
      </c>
      <c r="AB19" s="86" t="inlineStr">
        <is>
          <t>excluded</t>
        </is>
      </c>
      <c r="AC19" s="86" t="inlineStr">
        <is>
          <t>high</t>
        </is>
      </c>
      <c r="AD19" s="86" t="n">
        <v>234</v>
      </c>
      <c r="AE19" s="104" t="n">
        <v>0.6837606837606838</v>
      </c>
      <c r="AF19" s="104" t="n">
        <v>160</v>
      </c>
      <c r="AG19" s="104" t="n">
        <v>74</v>
      </c>
      <c r="AH19" s="104" t="n">
        <v>0.9625</v>
      </c>
      <c r="AI19" s="104" t="n">
        <v>0.9594594594594594</v>
      </c>
      <c r="AJ19" s="86" t="n">
        <v>154</v>
      </c>
      <c r="AK19" s="86" t="n">
        <v>6</v>
      </c>
      <c r="AL19" s="86" t="n">
        <v>71</v>
      </c>
      <c r="AM19" s="86" t="n">
        <v>3</v>
      </c>
    </row>
    <row r="20" ht="16" customHeight="1" s="55">
      <c r="A20" s="88" t="inlineStr">
        <is>
          <t>Li et al. 2024</t>
        </is>
      </c>
      <c r="B20" s="88" t="n">
        <v>5</v>
      </c>
      <c r="C20" s="86" t="inlineStr">
        <is>
          <t>ophthalmologist</t>
        </is>
      </c>
      <c r="D20" s="86" t="inlineStr">
        <is>
          <t>DLS</t>
        </is>
      </c>
      <c r="E20" s="86" t="inlineStr">
        <is>
          <t>ophthalmologist</t>
        </is>
      </c>
      <c r="F20" s="86" t="inlineStr">
        <is>
          <t>original</t>
        </is>
      </c>
      <c r="G20" s="86" t="inlineStr">
        <is>
          <t>prospective</t>
        </is>
      </c>
      <c r="H20" s="86" t="inlineStr">
        <is>
          <t>middle</t>
        </is>
      </c>
      <c r="I20" s="86" t="inlineStr">
        <is>
          <t>tertiary</t>
        </is>
      </c>
      <c r="J20" s="86" t="inlineStr">
        <is>
          <t>no</t>
        </is>
      </c>
      <c r="K20" s="86" t="inlineStr">
        <is>
          <t>rdr</t>
        </is>
      </c>
      <c r="L20" s="86" t="inlineStr">
        <is>
          <t>yes</t>
        </is>
      </c>
      <c r="M20" s="86" t="inlineStr">
        <is>
          <t>mixed</t>
        </is>
      </c>
      <c r="N20" s="86" t="inlineStr">
        <is>
          <t>desktop</t>
        </is>
      </c>
      <c r="O20" s="86" t="inlineStr">
        <is>
          <t>mixed</t>
        </is>
      </c>
      <c r="P20" s="86" t="inlineStr">
        <is>
          <t>icdr</t>
        </is>
      </c>
      <c r="Q20" s="86" t="inlineStr">
        <is>
          <t>retina specialist</t>
        </is>
      </c>
      <c r="R20" s="86" t="inlineStr">
        <is>
          <t>yes</t>
        </is>
      </c>
      <c r="S20" s="86" t="inlineStr">
        <is>
          <t>fundus</t>
        </is>
      </c>
      <c r="T20" s="32" t="inlineStr">
        <is>
          <t>1</t>
        </is>
      </c>
      <c r="U20" s="86" t="inlineStr">
        <is>
          <t>yes</t>
        </is>
      </c>
      <c r="V20" s="86" t="inlineStr">
        <is>
          <t>no</t>
        </is>
      </c>
      <c r="W20" s="86" t="inlineStr">
        <is>
          <t>no</t>
        </is>
      </c>
      <c r="X20" s="86" t="inlineStr">
        <is>
          <t>resnet family</t>
        </is>
      </c>
      <c r="Y20" s="86" t="inlineStr">
        <is>
          <t>asia</t>
        </is>
      </c>
      <c r="Z20" s="86" t="inlineStr">
        <is>
          <t>high</t>
        </is>
      </c>
      <c r="AA20" s="86" t="inlineStr">
        <is>
          <t>high</t>
        </is>
      </c>
      <c r="AB20" s="86" t="inlineStr">
        <is>
          <t>excluded</t>
        </is>
      </c>
      <c r="AC20" s="86" t="inlineStr">
        <is>
          <t>middle</t>
        </is>
      </c>
      <c r="AD20" s="86" t="n">
        <v>1493</v>
      </c>
      <c r="AE20" s="104" t="n">
        <v>0.1105157401205626</v>
      </c>
      <c r="AF20" s="104" t="n">
        <v>165</v>
      </c>
      <c r="AG20" s="104" t="n">
        <v>1328</v>
      </c>
      <c r="AH20" s="104" t="n">
        <v>0.8727272727272727</v>
      </c>
      <c r="AI20" s="104" t="n">
        <v>0.9728915662650602</v>
      </c>
      <c r="AJ20" s="86" t="n">
        <v>144</v>
      </c>
      <c r="AK20" s="86" t="n">
        <v>21</v>
      </c>
      <c r="AL20" s="86" t="n">
        <v>1292</v>
      </c>
      <c r="AM20" s="86" t="n">
        <v>36</v>
      </c>
    </row>
    <row r="21" ht="16" customHeight="1" s="55">
      <c r="A21" s="28" t="inlineStr">
        <is>
          <t>Núñez do Rio et al. 2023</t>
        </is>
      </c>
      <c r="B21" s="28" t="n">
        <v>6</v>
      </c>
      <c r="C21" s="86" t="inlineStr">
        <is>
          <t>trainedgrader</t>
        </is>
      </c>
      <c r="D21" s="86" t="inlineStr">
        <is>
          <t>SMART-India DLS</t>
        </is>
      </c>
      <c r="E21" s="86" t="inlineStr">
        <is>
          <t>trainedgrader</t>
        </is>
      </c>
      <c r="F21" s="86" t="inlineStr">
        <is>
          <t>original</t>
        </is>
      </c>
      <c r="G21" s="86" t="inlineStr">
        <is>
          <t>prospective</t>
        </is>
      </c>
      <c r="H21" s="86" t="inlineStr">
        <is>
          <t>middle</t>
        </is>
      </c>
      <c r="I21" s="86" t="inlineStr">
        <is>
          <t>primary</t>
        </is>
      </c>
      <c r="J21" s="86" t="inlineStr">
        <is>
          <t>no</t>
        </is>
      </c>
      <c r="K21" s="86" t="inlineStr">
        <is>
          <t>rdr</t>
        </is>
      </c>
      <c r="L21" s="86" t="inlineStr">
        <is>
          <t>no</t>
        </is>
      </c>
      <c r="M21" s="86" t="inlineStr">
        <is>
          <t>no</t>
        </is>
      </c>
      <c r="N21" s="86" t="inlineStr">
        <is>
          <t>portable</t>
        </is>
      </c>
      <c r="O21" s="86" t="inlineStr">
        <is>
          <t>other</t>
        </is>
      </c>
      <c r="P21" s="86" t="inlineStr">
        <is>
          <t>icdr</t>
        </is>
      </c>
      <c r="Q21" s="86" t="inlineStr">
        <is>
          <t>retina specialist</t>
        </is>
      </c>
      <c r="R21" s="86" t="inlineStr">
        <is>
          <t>no</t>
        </is>
      </c>
      <c r="S21" s="86" t="inlineStr">
        <is>
          <t>fundus</t>
        </is>
      </c>
      <c r="T21" s="32" t="inlineStr">
        <is>
          <t>2</t>
        </is>
      </c>
      <c r="U21" s="86" t="inlineStr">
        <is>
          <t>no</t>
        </is>
      </c>
      <c r="V21" s="86" t="inlineStr">
        <is>
          <t>no</t>
        </is>
      </c>
      <c r="W21" s="86" t="inlineStr">
        <is>
          <t>no</t>
        </is>
      </c>
      <c r="X21" s="86" t="inlineStr">
        <is>
          <t>resnet family</t>
        </is>
      </c>
      <c r="Y21" s="86" t="inlineStr">
        <is>
          <t>asia</t>
        </is>
      </c>
      <c r="Z21" s="86" t="inlineStr">
        <is>
          <t>high</t>
        </is>
      </c>
      <c r="AA21" s="86" t="inlineStr">
        <is>
          <t>high</t>
        </is>
      </c>
      <c r="AB21" s="86" t="inlineStr">
        <is>
          <t>excluded</t>
        </is>
      </c>
      <c r="AC21" s="86" t="inlineStr">
        <is>
          <t>middle</t>
        </is>
      </c>
      <c r="AD21" s="86" t="n">
        <v>16247</v>
      </c>
      <c r="AE21" s="104" t="n">
        <v>0.2300732442912538</v>
      </c>
      <c r="AF21" s="104" t="n">
        <v>3738</v>
      </c>
      <c r="AG21" s="104" t="n">
        <v>12509</v>
      </c>
      <c r="AH21" s="104" t="n">
        <v>0.8667736757624398</v>
      </c>
      <c r="AI21" s="104" t="n">
        <v>0.9843312814773363</v>
      </c>
      <c r="AJ21" s="86" t="n">
        <v>3240</v>
      </c>
      <c r="AK21" s="86" t="n">
        <v>498</v>
      </c>
      <c r="AL21" s="86" t="n">
        <v>12313</v>
      </c>
      <c r="AM21" s="86" t="n">
        <v>196</v>
      </c>
    </row>
    <row r="22" ht="16" customHeight="1" s="55">
      <c r="A22" s="88" t="inlineStr">
        <is>
          <t>Ruamviboonsuk et al. 2022</t>
        </is>
      </c>
      <c r="B22" s="88" t="n">
        <v>7</v>
      </c>
      <c r="C22" s="86" t="inlineStr">
        <is>
          <t>retinaspecialist</t>
        </is>
      </c>
      <c r="D22" s="86" t="inlineStr">
        <is>
          <t>ARDA</t>
        </is>
      </c>
      <c r="E22" s="86" t="inlineStr">
        <is>
          <t>retinaspecialist</t>
        </is>
      </c>
      <c r="F22" s="86" t="inlineStr">
        <is>
          <t>original</t>
        </is>
      </c>
      <c r="G22" s="86" t="inlineStr">
        <is>
          <t>prospective</t>
        </is>
      </c>
      <c r="H22" s="86" t="inlineStr">
        <is>
          <t>middle</t>
        </is>
      </c>
      <c r="I22" s="86" t="inlineStr">
        <is>
          <t>primary</t>
        </is>
      </c>
      <c r="J22" s="86" t="inlineStr">
        <is>
          <t>yes</t>
        </is>
      </c>
      <c r="K22" s="86" t="inlineStr">
        <is>
          <t>vtdr</t>
        </is>
      </c>
      <c r="L22" s="86" t="inlineStr">
        <is>
          <t>no</t>
        </is>
      </c>
      <c r="M22" s="86" t="inlineStr">
        <is>
          <t>no</t>
        </is>
      </c>
      <c r="N22" s="86" t="inlineStr">
        <is>
          <t>desktop</t>
        </is>
      </c>
      <c r="O22" s="86" t="inlineStr">
        <is>
          <t>mixed</t>
        </is>
      </c>
      <c r="P22" s="86" t="inlineStr">
        <is>
          <t>icdr</t>
        </is>
      </c>
      <c r="Q22" s="86" t="inlineStr">
        <is>
          <t>retina specialist</t>
        </is>
      </c>
      <c r="R22" s="86" t="inlineStr">
        <is>
          <t>yes</t>
        </is>
      </c>
      <c r="S22" s="86" t="inlineStr">
        <is>
          <t>fundus</t>
        </is>
      </c>
      <c r="T22" s="32" t="inlineStr">
        <is>
          <t>1</t>
        </is>
      </c>
      <c r="U22" s="86" t="inlineStr">
        <is>
          <t>yes</t>
        </is>
      </c>
      <c r="V22" s="86" t="inlineStr">
        <is>
          <t>yes</t>
        </is>
      </c>
      <c r="W22" s="86" t="inlineStr">
        <is>
          <t>yes</t>
        </is>
      </c>
      <c r="X22" s="86" t="inlineStr">
        <is>
          <t>inception family</t>
        </is>
      </c>
      <c r="Y22" s="86" t="inlineStr">
        <is>
          <t>asia</t>
        </is>
      </c>
      <c r="Z22" s="86" t="inlineStr">
        <is>
          <t>high</t>
        </is>
      </c>
      <c r="AA22" s="86" t="inlineStr">
        <is>
          <t>low</t>
        </is>
      </c>
      <c r="AB22" s="86" t="inlineStr">
        <is>
          <t>positive</t>
        </is>
      </c>
      <c r="AC22" s="86" t="inlineStr">
        <is>
          <t>middle</t>
        </is>
      </c>
      <c r="AD22" s="86" t="n">
        <v>987</v>
      </c>
      <c r="AE22" s="104" t="n">
        <v>0.1661600810536981</v>
      </c>
      <c r="AF22" s="104" t="n">
        <v>164</v>
      </c>
      <c r="AG22" s="104" t="n">
        <v>823</v>
      </c>
      <c r="AH22" s="104" t="n">
        <v>0.8963414634146342</v>
      </c>
      <c r="AI22" s="104" t="n">
        <v>0.9538274605103281</v>
      </c>
      <c r="AJ22" s="86" t="n">
        <v>147</v>
      </c>
      <c r="AK22" s="86" t="n">
        <v>17</v>
      </c>
      <c r="AL22" s="86" t="n">
        <v>785</v>
      </c>
      <c r="AM22" s="86" t="n">
        <v>38</v>
      </c>
    </row>
    <row r="23" ht="16" customHeight="1" s="55">
      <c r="A23" s="28" t="inlineStr">
        <is>
          <t>Zhang et al. 2022</t>
        </is>
      </c>
      <c r="B23" s="28" t="n">
        <v>8</v>
      </c>
      <c r="C23" s="86" t="inlineStr">
        <is>
          <t>retinaspecialist</t>
        </is>
      </c>
      <c r="D23" s="86" t="inlineStr">
        <is>
          <t>DGCN</t>
        </is>
      </c>
      <c r="E23" s="86" t="inlineStr">
        <is>
          <t>retinaspecialist</t>
        </is>
      </c>
      <c r="F23" s="86" t="inlineStr">
        <is>
          <t>original</t>
        </is>
      </c>
      <c r="G23" s="86" t="inlineStr">
        <is>
          <t>retrospective</t>
        </is>
      </c>
      <c r="H23" s="86" t="inlineStr">
        <is>
          <t>high</t>
        </is>
      </c>
      <c r="I23" s="86" t="inlineStr">
        <is>
          <t>public dataset</t>
        </is>
      </c>
      <c r="J23" s="86" t="inlineStr">
        <is>
          <t>no</t>
        </is>
      </c>
      <c r="K23" s="86" t="inlineStr">
        <is>
          <t>dr</t>
        </is>
      </c>
      <c r="L23" s="86" t="inlineStr">
        <is>
          <t>no</t>
        </is>
      </c>
      <c r="M23" s="86" t="inlineStr">
        <is>
          <t>mixed</t>
        </is>
      </c>
      <c r="N23" s="86" t="inlineStr">
        <is>
          <t>mixed</t>
        </is>
      </c>
      <c r="O23" s="86" t="inlineStr">
        <is>
          <t>mixed</t>
        </is>
      </c>
      <c r="P23" s="86" t="inlineStr">
        <is>
          <t>icdr</t>
        </is>
      </c>
      <c r="Q23" s="86" t="inlineStr">
        <is>
          <t>ophthalmologist</t>
        </is>
      </c>
      <c r="R23" s="86" t="inlineStr">
        <is>
          <t>yes</t>
        </is>
      </c>
      <c r="S23" s="86" t="inlineStr">
        <is>
          <t>fundus</t>
        </is>
      </c>
      <c r="T23" s="32" t="inlineStr">
        <is>
          <t>1</t>
        </is>
      </c>
      <c r="U23" s="86" t="inlineStr">
        <is>
          <t>no</t>
        </is>
      </c>
      <c r="V23" s="86" t="inlineStr">
        <is>
          <t>no</t>
        </is>
      </c>
      <c r="W23" s="86" t="inlineStr">
        <is>
          <t>no</t>
        </is>
      </c>
      <c r="X23" s="86" t="inlineStr">
        <is>
          <t>resnet family</t>
        </is>
      </c>
      <c r="Y23" s="86" t="inlineStr">
        <is>
          <t>north america</t>
        </is>
      </c>
      <c r="Z23" s="86" t="inlineStr">
        <is>
          <t>high</t>
        </is>
      </c>
      <c r="AA23" s="86" t="inlineStr">
        <is>
          <t>high</t>
        </is>
      </c>
      <c r="AB23" s="86" t="inlineStr">
        <is>
          <t>excluded</t>
        </is>
      </c>
      <c r="AC23" s="86" t="inlineStr">
        <is>
          <t>high</t>
        </is>
      </c>
      <c r="AD23" s="86" t="n">
        <v>10286</v>
      </c>
      <c r="AE23" s="104" t="n">
        <v>0.7787283686564263</v>
      </c>
      <c r="AF23" s="104" t="n">
        <v>8010</v>
      </c>
      <c r="AG23" s="104" t="n">
        <v>2276</v>
      </c>
      <c r="AH23" s="104" t="n">
        <v>0.8950062421972534</v>
      </c>
      <c r="AI23" s="104" t="n">
        <v>0.9318980667838312</v>
      </c>
      <c r="AJ23" s="86" t="n">
        <v>7169</v>
      </c>
      <c r="AK23" s="86" t="n">
        <v>841</v>
      </c>
      <c r="AL23" s="86" t="n">
        <v>2121</v>
      </c>
      <c r="AM23" s="86" t="n">
        <v>155</v>
      </c>
    </row>
    <row r="24" ht="16" customHeight="1" s="55">
      <c r="A24" s="28" t="inlineStr">
        <is>
          <t>Zhang et al. 2022</t>
        </is>
      </c>
      <c r="B24" s="28" t="n">
        <v>8</v>
      </c>
      <c r="C24" s="86" t="inlineStr">
        <is>
          <t>trainedgrader</t>
        </is>
      </c>
      <c r="D24" s="86" t="inlineStr">
        <is>
          <t>DGCN</t>
        </is>
      </c>
      <c r="E24" s="86" t="inlineStr">
        <is>
          <t>trainedgrader</t>
        </is>
      </c>
      <c r="F24" s="86" t="inlineStr">
        <is>
          <t>original</t>
        </is>
      </c>
      <c r="G24" s="86" t="inlineStr">
        <is>
          <t>retrospective</t>
        </is>
      </c>
      <c r="H24" s="86" t="inlineStr">
        <is>
          <t>high</t>
        </is>
      </c>
      <c r="I24" s="86" t="inlineStr">
        <is>
          <t>public dataset</t>
        </is>
      </c>
      <c r="J24" s="86" t="inlineStr">
        <is>
          <t>no</t>
        </is>
      </c>
      <c r="K24" s="86" t="inlineStr">
        <is>
          <t>rdr</t>
        </is>
      </c>
      <c r="L24" s="86" t="inlineStr">
        <is>
          <t>no</t>
        </is>
      </c>
      <c r="M24" s="86" t="inlineStr">
        <is>
          <t>mixed</t>
        </is>
      </c>
      <c r="N24" s="86" t="inlineStr">
        <is>
          <t>mixed</t>
        </is>
      </c>
      <c r="O24" s="86" t="inlineStr">
        <is>
          <t>mixed</t>
        </is>
      </c>
      <c r="P24" s="86" t="inlineStr">
        <is>
          <t>icdr</t>
        </is>
      </c>
      <c r="Q24" s="86" t="inlineStr">
        <is>
          <t>ophthalmologist</t>
        </is>
      </c>
      <c r="R24" s="86" t="inlineStr">
        <is>
          <t>yes</t>
        </is>
      </c>
      <c r="S24" s="86" t="inlineStr">
        <is>
          <t>fundus</t>
        </is>
      </c>
      <c r="T24" s="32" t="inlineStr">
        <is>
          <t>1</t>
        </is>
      </c>
      <c r="U24" s="86" t="inlineStr">
        <is>
          <t>no</t>
        </is>
      </c>
      <c r="V24" s="86" t="inlineStr">
        <is>
          <t>no</t>
        </is>
      </c>
      <c r="W24" s="86" t="inlineStr">
        <is>
          <t>no</t>
        </is>
      </c>
      <c r="X24" s="86" t="inlineStr">
        <is>
          <t>resnet family</t>
        </is>
      </c>
      <c r="Y24" s="86" t="inlineStr">
        <is>
          <t>europe</t>
        </is>
      </c>
      <c r="Z24" s="86" t="inlineStr">
        <is>
          <t>high</t>
        </is>
      </c>
      <c r="AA24" s="86" t="inlineStr">
        <is>
          <t>high</t>
        </is>
      </c>
      <c r="AB24" s="86" t="inlineStr">
        <is>
          <t>excluded</t>
        </is>
      </c>
      <c r="AC24" s="86" t="inlineStr">
        <is>
          <t>middle</t>
        </is>
      </c>
      <c r="AD24" s="86" t="n">
        <v>1748</v>
      </c>
      <c r="AE24" s="104" t="n">
        <v>0.1453089244851259</v>
      </c>
      <c r="AF24" s="104" t="n">
        <v>254</v>
      </c>
      <c r="AG24" s="104" t="n">
        <v>1494</v>
      </c>
      <c r="AH24" s="104" t="n">
        <v>0.8779527559055118</v>
      </c>
      <c r="AI24" s="104" t="n">
        <v>0.9109772423025435</v>
      </c>
      <c r="AJ24" s="86" t="n">
        <v>223</v>
      </c>
      <c r="AK24" s="86" t="n">
        <v>31</v>
      </c>
      <c r="AL24" s="86" t="n">
        <v>1361</v>
      </c>
      <c r="AM24" s="86" t="n">
        <v>133</v>
      </c>
    </row>
    <row r="25" ht="16" customHeight="1" s="55">
      <c r="A25" s="28" t="inlineStr">
        <is>
          <t>Hsieh et al. 2021</t>
        </is>
      </c>
      <c r="B25" s="28" t="n">
        <v>9</v>
      </c>
      <c r="C25" s="86" t="inlineStr">
        <is>
          <t>ophthalmologist</t>
        </is>
      </c>
      <c r="D25" s="86" t="inlineStr">
        <is>
          <t>VeriSee</t>
        </is>
      </c>
      <c r="E25" s="86" t="inlineStr">
        <is>
          <t>ophthalmologist</t>
        </is>
      </c>
      <c r="F25" s="86" t="inlineStr">
        <is>
          <t>original</t>
        </is>
      </c>
      <c r="G25" s="86" t="inlineStr">
        <is>
          <t>retrospective</t>
        </is>
      </c>
      <c r="H25" s="86" t="inlineStr">
        <is>
          <t>high</t>
        </is>
      </c>
      <c r="I25" s="86" t="inlineStr">
        <is>
          <t>tertiary</t>
        </is>
      </c>
      <c r="J25" s="86" t="inlineStr">
        <is>
          <t>no</t>
        </is>
      </c>
      <c r="K25" s="86" t="inlineStr">
        <is>
          <t>dr</t>
        </is>
      </c>
      <c r="L25" s="86" t="inlineStr">
        <is>
          <t>no</t>
        </is>
      </c>
      <c r="M25" s="86" t="inlineStr">
        <is>
          <t>no</t>
        </is>
      </c>
      <c r="N25" s="86" t="inlineStr">
        <is>
          <t>desktop</t>
        </is>
      </c>
      <c r="O25" s="86" t="inlineStr">
        <is>
          <t>canon</t>
        </is>
      </c>
      <c r="P25" s="86" t="inlineStr">
        <is>
          <t>icdr</t>
        </is>
      </c>
      <c r="Q25" s="86" t="inlineStr">
        <is>
          <t>ophthalmologist</t>
        </is>
      </c>
      <c r="R25" s="86" t="inlineStr">
        <is>
          <t>yes</t>
        </is>
      </c>
      <c r="S25" s="86" t="inlineStr">
        <is>
          <t>fundus</t>
        </is>
      </c>
      <c r="T25" s="32" t="inlineStr">
        <is>
          <t>1</t>
        </is>
      </c>
      <c r="U25" s="86" t="inlineStr">
        <is>
          <t>yes</t>
        </is>
      </c>
      <c r="V25" s="86" t="inlineStr">
        <is>
          <t>yes</t>
        </is>
      </c>
      <c r="W25" s="86" t="inlineStr">
        <is>
          <t>yes</t>
        </is>
      </c>
      <c r="X25" s="86" t="inlineStr">
        <is>
          <t>inception family</t>
        </is>
      </c>
      <c r="Y25" s="86" t="inlineStr">
        <is>
          <t>asia</t>
        </is>
      </c>
      <c r="Z25" s="86" t="inlineStr">
        <is>
          <t>high</t>
        </is>
      </c>
      <c r="AA25" s="86" t="inlineStr">
        <is>
          <t>high</t>
        </is>
      </c>
      <c r="AB25" s="86" t="inlineStr">
        <is>
          <t>excluded</t>
        </is>
      </c>
      <c r="AC25" s="86" t="inlineStr">
        <is>
          <t>high</t>
        </is>
      </c>
      <c r="AD25" s="86" t="n">
        <v>1875</v>
      </c>
      <c r="AE25" s="104" t="n">
        <v>0.3488</v>
      </c>
      <c r="AF25" s="104" t="n">
        <v>654</v>
      </c>
      <c r="AG25" s="104" t="n">
        <v>1221</v>
      </c>
      <c r="AH25" s="104" t="n">
        <v>0.8685015290519877</v>
      </c>
      <c r="AI25" s="104" t="n">
        <v>0.9746109746109746</v>
      </c>
      <c r="AJ25" s="86" t="n">
        <v>568</v>
      </c>
      <c r="AK25" s="86" t="n">
        <v>86</v>
      </c>
      <c r="AL25" s="86" t="n">
        <v>1190</v>
      </c>
      <c r="AM25" s="86" t="n">
        <v>31</v>
      </c>
    </row>
    <row r="26" ht="16" customHeight="1" s="55">
      <c r="A26" s="28" t="inlineStr">
        <is>
          <t>Hsieh et al. 2021</t>
        </is>
      </c>
      <c r="B26" s="28" t="n">
        <v>9</v>
      </c>
      <c r="C26" s="86" t="inlineStr">
        <is>
          <t>physician</t>
        </is>
      </c>
      <c r="D26" s="86" t="inlineStr">
        <is>
          <t>VeriSee</t>
        </is>
      </c>
      <c r="E26" s="86" t="inlineStr">
        <is>
          <t>physician</t>
        </is>
      </c>
      <c r="F26" s="86" t="inlineStr">
        <is>
          <t>original</t>
        </is>
      </c>
      <c r="G26" s="86" t="inlineStr">
        <is>
          <t>retrospective</t>
        </is>
      </c>
      <c r="H26" s="86" t="inlineStr">
        <is>
          <t>high</t>
        </is>
      </c>
      <c r="I26" s="86" t="inlineStr">
        <is>
          <t>tertiary</t>
        </is>
      </c>
      <c r="J26" s="86" t="inlineStr">
        <is>
          <t>no</t>
        </is>
      </c>
      <c r="K26" s="86" t="inlineStr">
        <is>
          <t>dr</t>
        </is>
      </c>
      <c r="L26" s="86" t="inlineStr">
        <is>
          <t>no</t>
        </is>
      </c>
      <c r="M26" s="86" t="inlineStr">
        <is>
          <t>no</t>
        </is>
      </c>
      <c r="N26" s="86" t="inlineStr">
        <is>
          <t>desktop</t>
        </is>
      </c>
      <c r="O26" s="86" t="inlineStr">
        <is>
          <t>canon</t>
        </is>
      </c>
      <c r="P26" s="86" t="inlineStr">
        <is>
          <t>icdr</t>
        </is>
      </c>
      <c r="Q26" s="86" t="inlineStr">
        <is>
          <t>ophthalmologist</t>
        </is>
      </c>
      <c r="R26" s="86" t="inlineStr">
        <is>
          <t>yes</t>
        </is>
      </c>
      <c r="S26" s="86" t="inlineStr">
        <is>
          <t>fundus</t>
        </is>
      </c>
      <c r="T26" s="32" t="inlineStr">
        <is>
          <t>1</t>
        </is>
      </c>
      <c r="U26" s="86" t="inlineStr">
        <is>
          <t>yes</t>
        </is>
      </c>
      <c r="V26" s="86" t="inlineStr">
        <is>
          <t>yes</t>
        </is>
      </c>
      <c r="W26" s="86" t="inlineStr">
        <is>
          <t>yes</t>
        </is>
      </c>
      <c r="X26" s="86" t="inlineStr">
        <is>
          <t>inception family</t>
        </is>
      </c>
      <c r="Y26" s="86" t="inlineStr">
        <is>
          <t>asia</t>
        </is>
      </c>
      <c r="Z26" s="86" t="inlineStr">
        <is>
          <t>high</t>
        </is>
      </c>
      <c r="AA26" s="86" t="inlineStr">
        <is>
          <t>high</t>
        </is>
      </c>
      <c r="AB26" s="86" t="inlineStr">
        <is>
          <t>excluded</t>
        </is>
      </c>
      <c r="AC26" s="86" t="inlineStr">
        <is>
          <t>middle</t>
        </is>
      </c>
      <c r="AD26" s="86" t="n">
        <v>1875</v>
      </c>
      <c r="AE26" s="104" t="n">
        <v>0.1189333333333333</v>
      </c>
      <c r="AF26" s="104" t="n">
        <v>223</v>
      </c>
      <c r="AG26" s="104" t="n">
        <v>1652</v>
      </c>
      <c r="AH26" s="104" t="n">
        <v>0.7130044843049327</v>
      </c>
      <c r="AI26" s="104" t="n">
        <v>0.9891041162227603</v>
      </c>
      <c r="AJ26" s="86" t="n">
        <v>159</v>
      </c>
      <c r="AK26" s="86" t="n">
        <v>64</v>
      </c>
      <c r="AL26" s="86" t="n">
        <v>1634</v>
      </c>
      <c r="AM26" s="86" t="n">
        <v>18</v>
      </c>
    </row>
    <row r="27" ht="16" customHeight="1" s="55">
      <c r="A27" s="88" t="inlineStr">
        <is>
          <t>Kim et al. 2021</t>
        </is>
      </c>
      <c r="B27" s="88" t="n">
        <v>10</v>
      </c>
      <c r="C27" s="86" t="inlineStr">
        <is>
          <t>retinaspecialist</t>
        </is>
      </c>
      <c r="D27" s="86" t="inlineStr">
        <is>
          <t>EyeArt</t>
        </is>
      </c>
      <c r="E27" s="86" t="inlineStr">
        <is>
          <t>retinaspecialist</t>
        </is>
      </c>
      <c r="F27" s="86" t="inlineStr">
        <is>
          <t>original</t>
        </is>
      </c>
      <c r="G27" s="86" t="inlineStr">
        <is>
          <t>prospective</t>
        </is>
      </c>
      <c r="H27" s="86" t="inlineStr">
        <is>
          <t>high</t>
        </is>
      </c>
      <c r="I27" s="86" t="inlineStr">
        <is>
          <t>tertiary</t>
        </is>
      </c>
      <c r="J27" s="86" t="inlineStr">
        <is>
          <t>no</t>
        </is>
      </c>
      <c r="K27" s="86" t="inlineStr">
        <is>
          <t>rdr</t>
        </is>
      </c>
      <c r="L27" s="86" t="inlineStr">
        <is>
          <t>no</t>
        </is>
      </c>
      <c r="M27" s="86" t="inlineStr">
        <is>
          <t>yes</t>
        </is>
      </c>
      <c r="N27" s="86" t="inlineStr">
        <is>
          <t>smartphone</t>
        </is>
      </c>
      <c r="O27" s="86" t="inlineStr">
        <is>
          <t>other</t>
        </is>
      </c>
      <c r="P27" s="86" t="inlineStr">
        <is>
          <t>etdrs</t>
        </is>
      </c>
      <c r="Q27" s="86" t="inlineStr">
        <is>
          <t>retina specialist</t>
        </is>
      </c>
      <c r="R27" s="86" t="inlineStr">
        <is>
          <t>no</t>
        </is>
      </c>
      <c r="S27" s="86" t="inlineStr">
        <is>
          <t>clinical examination</t>
        </is>
      </c>
      <c r="T27" s="32" t="inlineStr">
        <is>
          <t>&gt;2</t>
        </is>
      </c>
      <c r="U27" s="86" t="inlineStr">
        <is>
          <t>yes</t>
        </is>
      </c>
      <c r="V27" s="86" t="inlineStr">
        <is>
          <t>yes</t>
        </is>
      </c>
      <c r="W27" s="86" t="inlineStr">
        <is>
          <t>yes</t>
        </is>
      </c>
      <c r="X27" s="86" t="inlineStr">
        <is>
          <t>cnn</t>
        </is>
      </c>
      <c r="Y27" s="86" t="inlineStr">
        <is>
          <t>north america</t>
        </is>
      </c>
      <c r="Z27" s="86" t="inlineStr">
        <is>
          <t>high</t>
        </is>
      </c>
      <c r="AA27" s="86" t="inlineStr">
        <is>
          <t>high</t>
        </is>
      </c>
      <c r="AB27" s="86" t="inlineStr">
        <is>
          <t>excluded</t>
        </is>
      </c>
      <c r="AC27" s="86" t="inlineStr">
        <is>
          <t>high</t>
        </is>
      </c>
      <c r="AD27" s="86" t="n">
        <v>119</v>
      </c>
      <c r="AE27" s="104" t="n">
        <v>0.7394957983193278</v>
      </c>
      <c r="AF27" s="104" t="n">
        <v>88</v>
      </c>
      <c r="AG27" s="104" t="n">
        <v>31</v>
      </c>
      <c r="AH27" s="104" t="n">
        <v>0.9431818181818182</v>
      </c>
      <c r="AI27" s="104" t="n">
        <v>0.5483870967741935</v>
      </c>
      <c r="AJ27" s="86" t="n">
        <v>83</v>
      </c>
      <c r="AK27" s="86" t="n">
        <v>5</v>
      </c>
      <c r="AL27" s="86" t="n">
        <v>17</v>
      </c>
      <c r="AM27" s="86" t="n">
        <v>14</v>
      </c>
    </row>
    <row r="28" ht="16" customHeight="1" s="55">
      <c r="A28" s="88" t="inlineStr">
        <is>
          <t>Kim et al. 2021</t>
        </is>
      </c>
      <c r="B28" s="88" t="n">
        <v>10</v>
      </c>
      <c r="C28" s="86" t="inlineStr">
        <is>
          <t>ophthalmologist</t>
        </is>
      </c>
      <c r="D28" s="86" t="inlineStr">
        <is>
          <t>EyeArt</t>
        </is>
      </c>
      <c r="E28" s="86" t="inlineStr">
        <is>
          <t>ophthalmologist</t>
        </is>
      </c>
      <c r="F28" s="86" t="inlineStr">
        <is>
          <t>original</t>
        </is>
      </c>
      <c r="G28" s="86" t="inlineStr">
        <is>
          <t>prospective</t>
        </is>
      </c>
      <c r="H28" s="86" t="inlineStr">
        <is>
          <t>high</t>
        </is>
      </c>
      <c r="I28" s="86" t="inlineStr">
        <is>
          <t>tertiary</t>
        </is>
      </c>
      <c r="J28" s="86" t="inlineStr">
        <is>
          <t>no</t>
        </is>
      </c>
      <c r="K28" s="86" t="inlineStr">
        <is>
          <t>rdr</t>
        </is>
      </c>
      <c r="L28" s="86" t="inlineStr">
        <is>
          <t>no</t>
        </is>
      </c>
      <c r="M28" s="86" t="inlineStr">
        <is>
          <t>yes</t>
        </is>
      </c>
      <c r="N28" s="86" t="inlineStr">
        <is>
          <t>smartphone</t>
        </is>
      </c>
      <c r="O28" s="86" t="inlineStr">
        <is>
          <t>other</t>
        </is>
      </c>
      <c r="P28" s="86" t="inlineStr">
        <is>
          <t>etdrs</t>
        </is>
      </c>
      <c r="Q28" s="86" t="inlineStr">
        <is>
          <t>retina specialist</t>
        </is>
      </c>
      <c r="R28" s="86" t="inlineStr">
        <is>
          <t>no</t>
        </is>
      </c>
      <c r="S28" s="86" t="inlineStr">
        <is>
          <t>clinical examination</t>
        </is>
      </c>
      <c r="T28" s="32" t="inlineStr">
        <is>
          <t>&gt;2</t>
        </is>
      </c>
      <c r="U28" s="86" t="inlineStr">
        <is>
          <t>yes</t>
        </is>
      </c>
      <c r="V28" s="86" t="inlineStr">
        <is>
          <t>yes</t>
        </is>
      </c>
      <c r="W28" s="86" t="inlineStr">
        <is>
          <t>yes</t>
        </is>
      </c>
      <c r="X28" s="86" t="inlineStr">
        <is>
          <t>cnn</t>
        </is>
      </c>
      <c r="Y28" s="86" t="inlineStr">
        <is>
          <t>north america</t>
        </is>
      </c>
      <c r="Z28" s="86" t="inlineStr">
        <is>
          <t>high</t>
        </is>
      </c>
      <c r="AA28" s="86" t="inlineStr">
        <is>
          <t>high</t>
        </is>
      </c>
      <c r="AB28" s="86" t="inlineStr">
        <is>
          <t>excluded</t>
        </is>
      </c>
      <c r="AC28" s="86" t="inlineStr">
        <is>
          <t>high</t>
        </is>
      </c>
      <c r="AD28" s="86" t="n">
        <v>119</v>
      </c>
      <c r="AE28" s="104" t="n">
        <v>0.7394957983193278</v>
      </c>
      <c r="AF28" s="104" t="n">
        <v>88</v>
      </c>
      <c r="AG28" s="104" t="n">
        <v>31</v>
      </c>
      <c r="AH28" s="104" t="n">
        <v>0.8953488372093024</v>
      </c>
      <c r="AI28" s="104" t="n">
        <v>0.6774193548387096</v>
      </c>
      <c r="AJ28" s="86" t="n">
        <v>77</v>
      </c>
      <c r="AK28" s="86" t="n">
        <v>9</v>
      </c>
      <c r="AL28" s="86" t="n">
        <v>21</v>
      </c>
      <c r="AM28" s="86" t="n">
        <v>10</v>
      </c>
    </row>
    <row r="29" ht="16" customHeight="1" s="55">
      <c r="A29" s="88" t="inlineStr">
        <is>
          <t>Gonz_x0001_alez-Gonzalo et al. 2020</t>
        </is>
      </c>
      <c r="B29" s="88" t="n">
        <v>11</v>
      </c>
      <c r="C29" s="86" t="inlineStr">
        <is>
          <t>ophthalmologist</t>
        </is>
      </c>
      <c r="D29" s="86" t="inlineStr">
        <is>
          <t>RetCAD</t>
        </is>
      </c>
      <c r="E29" s="86" t="inlineStr">
        <is>
          <t>ophthalmologist</t>
        </is>
      </c>
      <c r="F29" s="86" t="inlineStr">
        <is>
          <t>original</t>
        </is>
      </c>
      <c r="G29" s="86" t="inlineStr">
        <is>
          <t>retrospective</t>
        </is>
      </c>
      <c r="H29" s="86" t="inlineStr">
        <is>
          <t>high</t>
        </is>
      </c>
      <c r="I29" s="86" t="inlineStr">
        <is>
          <t>tertiary</t>
        </is>
      </c>
      <c r="J29" s="86" t="inlineStr">
        <is>
          <t>yes</t>
        </is>
      </c>
      <c r="K29" s="86" t="inlineStr">
        <is>
          <t>rdr</t>
        </is>
      </c>
      <c r="L29" s="86" t="inlineStr">
        <is>
          <t>yes</t>
        </is>
      </c>
      <c r="M29" s="86" t="inlineStr">
        <is>
          <t>no</t>
        </is>
      </c>
      <c r="N29" s="86" t="inlineStr">
        <is>
          <t>desktop</t>
        </is>
      </c>
      <c r="O29" s="86" t="inlineStr">
        <is>
          <t>canon</t>
        </is>
      </c>
      <c r="P29" s="86" t="inlineStr">
        <is>
          <t>icdr</t>
        </is>
      </c>
      <c r="Q29" s="86" t="inlineStr">
        <is>
          <t>ophthalmologist</t>
        </is>
      </c>
      <c r="R29" s="86" t="inlineStr">
        <is>
          <t>no</t>
        </is>
      </c>
      <c r="S29" s="86" t="inlineStr">
        <is>
          <t>fundus</t>
        </is>
      </c>
      <c r="T29" s="32" t="inlineStr">
        <is>
          <t>1</t>
        </is>
      </c>
      <c r="U29" s="86" t="inlineStr">
        <is>
          <t>no</t>
        </is>
      </c>
      <c r="V29" s="86" t="inlineStr">
        <is>
          <t>yes</t>
        </is>
      </c>
      <c r="W29" s="86" t="inlineStr">
        <is>
          <t>yes</t>
        </is>
      </c>
      <c r="X29" s="86" t="inlineStr">
        <is>
          <t>densenet family</t>
        </is>
      </c>
      <c r="Y29" s="86" t="inlineStr">
        <is>
          <t>europe</t>
        </is>
      </c>
      <c r="Z29" s="86" t="inlineStr">
        <is>
          <t>high</t>
        </is>
      </c>
      <c r="AA29" s="86" t="inlineStr">
        <is>
          <t>high</t>
        </is>
      </c>
      <c r="AB29" s="86" t="inlineStr">
        <is>
          <t>excluded</t>
        </is>
      </c>
      <c r="AC29" s="86" t="inlineStr">
        <is>
          <t>middle</t>
        </is>
      </c>
      <c r="AD29" s="86" t="n">
        <v>600</v>
      </c>
      <c r="AE29" s="104" t="n">
        <v>0.185</v>
      </c>
      <c r="AF29" s="104" t="n">
        <v>111</v>
      </c>
      <c r="AG29" s="104" t="n">
        <v>489</v>
      </c>
      <c r="AH29" s="104" t="n">
        <v>0.6126126126126126</v>
      </c>
      <c r="AI29" s="104" t="n">
        <v>0.9775051124744376</v>
      </c>
      <c r="AJ29" s="86" t="n">
        <v>68</v>
      </c>
      <c r="AK29" s="86" t="n">
        <v>43</v>
      </c>
      <c r="AL29" s="86" t="n">
        <v>478</v>
      </c>
      <c r="AM29" s="86" t="n">
        <v>11</v>
      </c>
    </row>
    <row r="30" ht="16" customHeight="1" s="55">
      <c r="A30" s="28" t="inlineStr">
        <is>
          <t>Ruamviboonsuk et al. 2019</t>
        </is>
      </c>
      <c r="B30" s="28" t="n">
        <v>12</v>
      </c>
      <c r="C30" s="86" t="inlineStr">
        <is>
          <t>trainedgrader</t>
        </is>
      </c>
      <c r="D30" s="86" t="inlineStr">
        <is>
          <t>ARDA</t>
        </is>
      </c>
      <c r="E30" s="86" t="inlineStr">
        <is>
          <t>trainedgrader</t>
        </is>
      </c>
      <c r="F30" s="86" t="inlineStr">
        <is>
          <t>original</t>
        </is>
      </c>
      <c r="G30" s="86" t="inlineStr">
        <is>
          <t>retrospective</t>
        </is>
      </c>
      <c r="H30" s="86" t="inlineStr">
        <is>
          <t>middle</t>
        </is>
      </c>
      <c r="I30" s="86" t="inlineStr">
        <is>
          <t>primary</t>
        </is>
      </c>
      <c r="J30" s="86" t="inlineStr">
        <is>
          <t>yes</t>
        </is>
      </c>
      <c r="K30" s="86" t="inlineStr">
        <is>
          <t>rdr</t>
        </is>
      </c>
      <c r="L30" s="86" t="inlineStr">
        <is>
          <t>no</t>
        </is>
      </c>
      <c r="M30" s="86" t="inlineStr">
        <is>
          <t>no</t>
        </is>
      </c>
      <c r="N30" s="86" t="inlineStr">
        <is>
          <t>desktop</t>
        </is>
      </c>
      <c r="O30" s="86" t="inlineStr">
        <is>
          <t>mixed</t>
        </is>
      </c>
      <c r="P30" s="86" t="inlineStr">
        <is>
          <t>icdr</t>
        </is>
      </c>
      <c r="Q30" s="86" t="inlineStr">
        <is>
          <t>retina specialist</t>
        </is>
      </c>
      <c r="R30" s="86" t="inlineStr">
        <is>
          <t>yes</t>
        </is>
      </c>
      <c r="S30" s="86" t="inlineStr">
        <is>
          <t>fundus</t>
        </is>
      </c>
      <c r="T30" s="32" t="inlineStr">
        <is>
          <t>1</t>
        </is>
      </c>
      <c r="U30" s="86" t="inlineStr">
        <is>
          <t>yes</t>
        </is>
      </c>
      <c r="V30" s="86" t="inlineStr">
        <is>
          <t>yes</t>
        </is>
      </c>
      <c r="W30" s="86" t="inlineStr">
        <is>
          <t>yes</t>
        </is>
      </c>
      <c r="X30" s="86" t="inlineStr">
        <is>
          <t>inception family</t>
        </is>
      </c>
      <c r="Y30" s="86" t="inlineStr">
        <is>
          <t>asia</t>
        </is>
      </c>
      <c r="Z30" s="86" t="inlineStr">
        <is>
          <t>low</t>
        </is>
      </c>
      <c r="AA30" s="86" t="inlineStr">
        <is>
          <t>low</t>
        </is>
      </c>
      <c r="AB30" s="86" t="inlineStr">
        <is>
          <t>excluded</t>
        </is>
      </c>
      <c r="AC30" s="86" t="inlineStr">
        <is>
          <t>middle</t>
        </is>
      </c>
      <c r="AD30" s="86" t="n">
        <v>29985</v>
      </c>
      <c r="AE30" s="104" t="n">
        <v>0.1217942304485576</v>
      </c>
      <c r="AF30" s="104" t="n">
        <v>3652</v>
      </c>
      <c r="AG30" s="104" t="n">
        <v>26333</v>
      </c>
      <c r="AH30" s="104" t="n">
        <v>0.73986856516977</v>
      </c>
      <c r="AI30" s="104" t="n">
        <v>0.9799870884441575</v>
      </c>
      <c r="AJ30" s="86" t="n">
        <v>2702</v>
      </c>
      <c r="AK30" s="86" t="n">
        <v>950</v>
      </c>
      <c r="AL30" s="86" t="n">
        <v>25806</v>
      </c>
      <c r="AM30" s="86" t="n">
        <v>527</v>
      </c>
    </row>
    <row r="31" ht="16" customHeight="1" s="55">
      <c r="A31" s="88" t="inlineStr">
        <is>
          <t>Krause et al. 2018</t>
        </is>
      </c>
      <c r="B31" s="88" t="n">
        <v>13</v>
      </c>
      <c r="C31" s="86" t="inlineStr">
        <is>
          <t>ophthalmologist</t>
        </is>
      </c>
      <c r="D31" s="86" t="inlineStr">
        <is>
          <t>ARDA</t>
        </is>
      </c>
      <c r="E31" s="86" t="inlineStr">
        <is>
          <t>ophthalmologist</t>
        </is>
      </c>
      <c r="F31" s="86" t="inlineStr">
        <is>
          <t>original</t>
        </is>
      </c>
      <c r="G31" s="86" t="inlineStr">
        <is>
          <t>retrospective</t>
        </is>
      </c>
      <c r="H31" s="86" t="inlineStr">
        <is>
          <t>high</t>
        </is>
      </c>
      <c r="I31" s="86" t="inlineStr">
        <is>
          <t>public dataset</t>
        </is>
      </c>
      <c r="J31" s="86" t="inlineStr">
        <is>
          <t>no</t>
        </is>
      </c>
      <c r="K31" s="86" t="inlineStr">
        <is>
          <t>rdr</t>
        </is>
      </c>
      <c r="L31" s="86" t="inlineStr">
        <is>
          <t>no</t>
        </is>
      </c>
      <c r="M31" s="86" t="inlineStr">
        <is>
          <t>mixed</t>
        </is>
      </c>
      <c r="N31" s="86" t="inlineStr">
        <is>
          <t>mixed</t>
        </is>
      </c>
      <c r="O31" s="86" t="inlineStr">
        <is>
          <t>mixed</t>
        </is>
      </c>
      <c r="P31" s="86" t="inlineStr">
        <is>
          <t>icdr</t>
        </is>
      </c>
      <c r="Q31" s="86" t="inlineStr">
        <is>
          <t>retina specialist</t>
        </is>
      </c>
      <c r="R31" s="86" t="inlineStr">
        <is>
          <t>yes</t>
        </is>
      </c>
      <c r="S31" s="86" t="inlineStr">
        <is>
          <t>fundus</t>
        </is>
      </c>
      <c r="T31" s="32" t="inlineStr">
        <is>
          <t>&gt;2</t>
        </is>
      </c>
      <c r="U31" s="86" t="inlineStr">
        <is>
          <t>yes</t>
        </is>
      </c>
      <c r="V31" s="86" t="inlineStr">
        <is>
          <t>yes</t>
        </is>
      </c>
      <c r="W31" s="86" t="inlineStr">
        <is>
          <t>yes</t>
        </is>
      </c>
      <c r="X31" s="86" t="inlineStr">
        <is>
          <t>inception family</t>
        </is>
      </c>
      <c r="Y31" s="86" t="inlineStr">
        <is>
          <t>north america</t>
        </is>
      </c>
      <c r="Z31" s="86" t="inlineStr">
        <is>
          <t>low</t>
        </is>
      </c>
      <c r="AA31" s="86" t="inlineStr">
        <is>
          <t>high</t>
        </is>
      </c>
      <c r="AB31" s="86" t="inlineStr">
        <is>
          <t>positive</t>
        </is>
      </c>
      <c r="AC31" s="86" t="inlineStr">
        <is>
          <t>middle</t>
        </is>
      </c>
      <c r="AD31" s="86" t="n">
        <v>1813</v>
      </c>
      <c r="AE31" s="104" t="n">
        <v>0.1158301158301158</v>
      </c>
      <c r="AF31" s="104" t="n">
        <v>210</v>
      </c>
      <c r="AG31" s="104" t="n">
        <v>1603</v>
      </c>
      <c r="AH31" s="104" t="n">
        <v>0.8380952380952381</v>
      </c>
      <c r="AI31" s="104" t="n">
        <v>0.9812850904553961</v>
      </c>
      <c r="AJ31" s="86" t="n">
        <v>176</v>
      </c>
      <c r="AK31" s="86" t="n">
        <v>34</v>
      </c>
      <c r="AL31" s="86" t="n">
        <v>1573</v>
      </c>
      <c r="AM31" s="86" t="n">
        <v>30</v>
      </c>
    </row>
    <row r="32" ht="16" customHeight="1" s="55">
      <c r="A32" s="88" t="inlineStr">
        <is>
          <t>Shu et al. 2017</t>
        </is>
      </c>
      <c r="B32" s="88" t="n">
        <v>14</v>
      </c>
      <c r="C32" s="86" t="inlineStr">
        <is>
          <t>retinaspecialist</t>
        </is>
      </c>
      <c r="D32" s="86" t="inlineStr">
        <is>
          <t>Selena+</t>
        </is>
      </c>
      <c r="E32" s="86" t="inlineStr">
        <is>
          <t>retinaspecialist</t>
        </is>
      </c>
      <c r="F32" s="86" t="inlineStr">
        <is>
          <t>original</t>
        </is>
      </c>
      <c r="G32" s="86" t="inlineStr">
        <is>
          <t>retrospective</t>
        </is>
      </c>
      <c r="H32" s="86" t="inlineStr">
        <is>
          <t>high</t>
        </is>
      </c>
      <c r="I32" s="86" t="inlineStr">
        <is>
          <t>primary</t>
        </is>
      </c>
      <c r="J32" s="86" t="inlineStr">
        <is>
          <t>yes</t>
        </is>
      </c>
      <c r="K32" s="86" t="inlineStr">
        <is>
          <t>rdr</t>
        </is>
      </c>
      <c r="L32" s="86" t="inlineStr">
        <is>
          <t>yes</t>
        </is>
      </c>
      <c r="M32" s="86" t="inlineStr">
        <is>
          <t>mixed</t>
        </is>
      </c>
      <c r="N32" s="86" t="inlineStr">
        <is>
          <t>desktop</t>
        </is>
      </c>
      <c r="O32" s="86" t="inlineStr">
        <is>
          <t>mixed</t>
        </is>
      </c>
      <c r="P32" s="86" t="inlineStr">
        <is>
          <t>icdr</t>
        </is>
      </c>
      <c r="Q32" s="86" t="inlineStr">
        <is>
          <t>retina specialist</t>
        </is>
      </c>
      <c r="R32" s="86" t="inlineStr">
        <is>
          <t>yes</t>
        </is>
      </c>
      <c r="S32" s="86" t="inlineStr">
        <is>
          <t>fundus</t>
        </is>
      </c>
      <c r="T32" s="32" t="inlineStr">
        <is>
          <t>2</t>
        </is>
      </c>
      <c r="U32" s="86" t="inlineStr">
        <is>
          <t>no</t>
        </is>
      </c>
      <c r="V32" s="86" t="inlineStr">
        <is>
          <t>yes</t>
        </is>
      </c>
      <c r="W32" s="86" t="inlineStr">
        <is>
          <t>yes</t>
        </is>
      </c>
      <c r="X32" s="86" t="inlineStr">
        <is>
          <t>vgg family</t>
        </is>
      </c>
      <c r="Y32" s="86" t="inlineStr">
        <is>
          <t>mixed</t>
        </is>
      </c>
      <c r="Z32" s="86" t="inlineStr">
        <is>
          <t>high</t>
        </is>
      </c>
      <c r="AA32" s="86" t="inlineStr">
        <is>
          <t>high</t>
        </is>
      </c>
      <c r="AB32" s="86" t="inlineStr">
        <is>
          <t>positive</t>
        </is>
      </c>
      <c r="AC32" s="86" t="inlineStr">
        <is>
          <t>middle</t>
        </is>
      </c>
      <c r="AD32" s="86" t="n">
        <v>35948</v>
      </c>
      <c r="AE32" s="104" t="n">
        <v>0.02929231111605653</v>
      </c>
      <c r="AF32" s="104" t="n">
        <v>1053</v>
      </c>
      <c r="AG32" s="104" t="n">
        <v>34895</v>
      </c>
      <c r="AH32" s="104" t="n">
        <v>0.9116809116809117</v>
      </c>
      <c r="AI32" s="104" t="n">
        <v>0.993007594211205</v>
      </c>
      <c r="AJ32" s="86" t="n">
        <v>960</v>
      </c>
      <c r="AK32" s="86" t="n">
        <v>93</v>
      </c>
      <c r="AL32" s="86" t="n">
        <v>34651</v>
      </c>
      <c r="AM32" s="86" t="n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125"/>
  <sheetViews>
    <sheetView zoomScale="116" workbookViewId="0">
      <pane xSplit="2" ySplit="3" topLeftCell="I7" activePane="bottomRight" state="frozen"/>
      <selection pane="topRight" activeCell="C1" sqref="C1"/>
      <selection pane="bottomLeft" activeCell="A4" sqref="A4"/>
      <selection pane="bottomRight" activeCell="J2" sqref="A2:M49"/>
    </sheetView>
  </sheetViews>
  <sheetFormatPr baseColWidth="10" defaultColWidth="10.83203125" defaultRowHeight="16"/>
  <cols>
    <col width="25.5" customWidth="1" style="86" min="1" max="1"/>
    <col width="17" customWidth="1" style="86" min="2" max="2"/>
    <col width="14.6640625" customWidth="1" style="85" min="3" max="3"/>
    <col width="11" customWidth="1" style="85" min="4" max="4"/>
    <col width="16.5" customWidth="1" style="85" min="5" max="5"/>
    <col width="16" customWidth="1" style="85" min="6" max="6"/>
    <col width="14.83203125" customWidth="1" style="85" min="7" max="7"/>
    <col width="10.33203125" customWidth="1" style="85" min="8" max="8"/>
    <col width="17.6640625" customWidth="1" style="85" min="9" max="9"/>
    <col width="15.1640625" customWidth="1" style="85" min="10" max="10"/>
    <col width="11.6640625" customWidth="1" style="85" min="11" max="11"/>
    <col width="17.5" customWidth="1" style="85" min="12" max="12"/>
    <col width="15.6640625" customWidth="1" style="85" min="13" max="13"/>
    <col width="4.5" bestFit="1" customWidth="1" style="85" min="14" max="16"/>
    <col width="4.5" customWidth="1" style="85" min="17" max="18"/>
    <col width="4.5" bestFit="1" customWidth="1" style="85" min="19" max="20"/>
    <col width="4.5" customWidth="1" style="85" min="21" max="22"/>
    <col width="4.5" bestFit="1" customWidth="1" style="85" min="23" max="24"/>
    <col width="4.5" customWidth="1" style="85" min="25" max="26"/>
    <col width="4.5" bestFit="1" customWidth="1" style="85" min="27" max="30"/>
    <col width="4.5" customWidth="1" style="85" min="31" max="31"/>
    <col width="6.5" bestFit="1" customWidth="1" style="85" min="32" max="35"/>
    <col width="6.5" customWidth="1" style="85" min="36" max="36"/>
    <col width="6.33203125" bestFit="1" customWidth="1" style="85" min="37" max="39"/>
    <col width="6.5" customWidth="1" style="85" min="40" max="41"/>
    <col width="9.33203125" customWidth="1" style="85" min="42" max="42"/>
    <col width="8.6640625" customWidth="1" style="85" min="43" max="44"/>
    <col width="6.33203125" bestFit="1" customWidth="1" style="85" min="45" max="48"/>
    <col width="7.5" customWidth="1" style="86" min="49" max="49"/>
    <col width="10.83203125" customWidth="1" style="86" min="50" max="51"/>
    <col width="10.83203125" customWidth="1" style="86" min="52" max="16384"/>
  </cols>
  <sheetData>
    <row r="1" ht="17" customHeight="1" s="55" thickBot="1"/>
    <row r="2" ht="17" customFormat="1" customHeight="1" s="88" thickBot="1">
      <c r="C2" s="87" t="inlineStr">
        <is>
          <t>Risk of bias</t>
        </is>
      </c>
      <c r="D2" s="78" t="n"/>
      <c r="E2" s="78" t="n"/>
      <c r="F2" s="77" t="n"/>
      <c r="G2" s="87" t="inlineStr">
        <is>
          <t>Concern of applicability</t>
        </is>
      </c>
      <c r="H2" s="78" t="n"/>
      <c r="I2" s="77" t="n"/>
      <c r="J2" s="94" t="inlineStr">
        <is>
          <t>Risk of bias: Compare</t>
        </is>
      </c>
      <c r="K2" s="78" t="n"/>
      <c r="L2" s="78" t="n"/>
      <c r="M2" s="77" t="n"/>
      <c r="N2" s="87" t="inlineStr">
        <is>
          <t>Patient selection</t>
        </is>
      </c>
      <c r="O2" s="78" t="n"/>
      <c r="P2" s="78" t="n"/>
      <c r="Q2" s="78" t="n"/>
      <c r="R2" s="77" t="n"/>
      <c r="S2" s="87" t="inlineStr">
        <is>
          <t>INDEX TEST</t>
        </is>
      </c>
      <c r="T2" s="78" t="n"/>
      <c r="U2" s="78" t="n"/>
      <c r="V2" s="77" t="n"/>
      <c r="W2" s="87" t="inlineStr">
        <is>
          <t>Reference Standard</t>
        </is>
      </c>
      <c r="X2" s="78" t="n"/>
      <c r="Y2" s="78" t="n"/>
      <c r="Z2" s="77" t="n"/>
      <c r="AA2" s="87" t="inlineStr">
        <is>
          <t>Flow and Timing</t>
        </is>
      </c>
      <c r="AB2" s="78" t="n"/>
      <c r="AC2" s="78" t="n"/>
      <c r="AD2" s="78" t="n"/>
      <c r="AE2" s="77" t="n"/>
      <c r="AF2" s="92" t="inlineStr">
        <is>
          <t>Patient selection</t>
        </is>
      </c>
      <c r="AG2" s="90" t="n"/>
      <c r="AH2" s="90" t="n"/>
      <c r="AI2" s="90" t="n"/>
      <c r="AJ2" s="93" t="n"/>
      <c r="AK2" s="89" t="inlineStr">
        <is>
          <t>INDEX TEST</t>
        </is>
      </c>
      <c r="AL2" s="90" t="n"/>
      <c r="AM2" s="90" t="n"/>
      <c r="AN2" s="90" t="n"/>
      <c r="AO2" s="90" t="n"/>
      <c r="AP2" s="87" t="inlineStr">
        <is>
          <t>Reference Standard</t>
        </is>
      </c>
      <c r="AQ2" s="78" t="n"/>
      <c r="AR2" s="77" t="n"/>
      <c r="AS2" s="87" t="inlineStr">
        <is>
          <t>Flow and Timing</t>
        </is>
      </c>
      <c r="AT2" s="78" t="n"/>
      <c r="AU2" s="78" t="n"/>
      <c r="AV2" s="78" t="n"/>
      <c r="AW2" s="77" t="n"/>
    </row>
    <row r="3" ht="17" customFormat="1" customHeight="1" s="88" thickBot="1">
      <c r="C3" s="36" t="inlineStr">
        <is>
          <t>Patient selection</t>
        </is>
      </c>
      <c r="D3" s="37" t="inlineStr">
        <is>
          <t>INDEX TEST</t>
        </is>
      </c>
      <c r="E3" s="37" t="inlineStr">
        <is>
          <t>Reference Standard</t>
        </is>
      </c>
      <c r="F3" s="38" t="inlineStr">
        <is>
          <t>Flow and Timing</t>
        </is>
      </c>
      <c r="G3" s="36" t="inlineStr">
        <is>
          <t>Patient selection</t>
        </is>
      </c>
      <c r="H3" s="37" t="inlineStr">
        <is>
          <t>INDEX TEST</t>
        </is>
      </c>
      <c r="I3" s="38" t="inlineStr">
        <is>
          <t>Reference Standard</t>
        </is>
      </c>
      <c r="J3" s="37" t="inlineStr">
        <is>
          <t>Patient selection</t>
        </is>
      </c>
      <c r="K3" s="37" t="inlineStr">
        <is>
          <t>INDEX TEST</t>
        </is>
      </c>
      <c r="L3" s="37" t="inlineStr">
        <is>
          <t>Reference Standard</t>
        </is>
      </c>
      <c r="M3" s="38" t="inlineStr">
        <is>
          <t>Flow and Timing</t>
        </is>
      </c>
      <c r="N3" s="36" t="inlineStr">
        <is>
          <t>P1</t>
        </is>
      </c>
      <c r="O3" s="37" t="inlineStr">
        <is>
          <t>P2</t>
        </is>
      </c>
      <c r="P3" s="37" t="inlineStr">
        <is>
          <t>P3</t>
        </is>
      </c>
      <c r="Q3" s="37" t="inlineStr">
        <is>
          <t>P4</t>
        </is>
      </c>
      <c r="R3" s="38" t="inlineStr">
        <is>
          <t>P5</t>
        </is>
      </c>
      <c r="S3" s="36" t="inlineStr">
        <is>
          <t>T1</t>
        </is>
      </c>
      <c r="T3" s="37" t="inlineStr">
        <is>
          <t>T2</t>
        </is>
      </c>
      <c r="U3" s="37" t="inlineStr">
        <is>
          <t>T3</t>
        </is>
      </c>
      <c r="V3" s="38" t="inlineStr">
        <is>
          <t>T4</t>
        </is>
      </c>
      <c r="W3" s="36" t="inlineStr">
        <is>
          <t>R1</t>
        </is>
      </c>
      <c r="X3" s="37" t="inlineStr">
        <is>
          <t>R2</t>
        </is>
      </c>
      <c r="Y3" s="37" t="inlineStr">
        <is>
          <t>R3</t>
        </is>
      </c>
      <c r="Z3" s="38" t="inlineStr">
        <is>
          <t>R4</t>
        </is>
      </c>
      <c r="AA3" s="36" t="inlineStr">
        <is>
          <t>F1</t>
        </is>
      </c>
      <c r="AB3" s="37" t="inlineStr">
        <is>
          <t>F2</t>
        </is>
      </c>
      <c r="AC3" s="37" t="inlineStr">
        <is>
          <t>F3</t>
        </is>
      </c>
      <c r="AD3" s="37" t="inlineStr">
        <is>
          <t>F4</t>
        </is>
      </c>
      <c r="AE3" s="38" t="inlineStr">
        <is>
          <t>F5</t>
        </is>
      </c>
      <c r="AF3" s="29" t="inlineStr">
        <is>
          <t>CP1</t>
        </is>
      </c>
      <c r="AG3" s="22" t="inlineStr">
        <is>
          <t>CP2</t>
        </is>
      </c>
      <c r="AH3" s="22" t="inlineStr">
        <is>
          <t>CP3</t>
        </is>
      </c>
      <c r="AI3" s="22" t="inlineStr">
        <is>
          <t>CP4</t>
        </is>
      </c>
      <c r="AJ3" s="94" t="inlineStr">
        <is>
          <t>CP5</t>
        </is>
      </c>
      <c r="AK3" s="29" t="inlineStr">
        <is>
          <t>CT1</t>
        </is>
      </c>
      <c r="AL3" s="22" t="inlineStr">
        <is>
          <t>CT2</t>
        </is>
      </c>
      <c r="AM3" s="22" t="inlineStr">
        <is>
          <t>CT3</t>
        </is>
      </c>
      <c r="AN3" s="22" t="inlineStr">
        <is>
          <t>CT4</t>
        </is>
      </c>
      <c r="AO3" s="94" t="inlineStr">
        <is>
          <t>CT5</t>
        </is>
      </c>
      <c r="AP3" s="36" t="inlineStr">
        <is>
          <t>CR1</t>
        </is>
      </c>
      <c r="AQ3" s="37" t="inlineStr">
        <is>
          <t>CR2</t>
        </is>
      </c>
      <c r="AR3" s="38" t="inlineStr">
        <is>
          <t>CR3</t>
        </is>
      </c>
      <c r="AS3" s="29" t="inlineStr">
        <is>
          <t>CF1</t>
        </is>
      </c>
      <c r="AT3" s="22" t="inlineStr">
        <is>
          <t>CF2</t>
        </is>
      </c>
      <c r="AU3" s="22" t="inlineStr">
        <is>
          <t>CF3</t>
        </is>
      </c>
      <c r="AV3" s="22" t="inlineStr">
        <is>
          <t>CF4</t>
        </is>
      </c>
      <c r="AW3" s="45" t="inlineStr">
        <is>
          <t>CF5</t>
        </is>
      </c>
    </row>
    <row r="4" customFormat="1" s="88">
      <c r="A4" s="88" t="inlineStr">
        <is>
          <t>Similié et al. (2025)</t>
        </is>
      </c>
      <c r="B4" s="5" t="inlineStr">
        <is>
          <t>index test</t>
        </is>
      </c>
      <c r="C4" s="40" t="inlineStr">
        <is>
          <t>High</t>
        </is>
      </c>
      <c r="D4" s="40" t="inlineStr">
        <is>
          <t>Low</t>
        </is>
      </c>
      <c r="E4" s="39" t="inlineStr">
        <is>
          <t>Unclear</t>
        </is>
      </c>
      <c r="F4" s="85" t="inlineStr">
        <is>
          <t>Low</t>
        </is>
      </c>
      <c r="G4" s="39" t="inlineStr">
        <is>
          <t>High</t>
        </is>
      </c>
      <c r="H4" s="39" t="inlineStr">
        <is>
          <t>Low</t>
        </is>
      </c>
      <c r="I4" s="39" t="inlineStr">
        <is>
          <t>Low</t>
        </is>
      </c>
      <c r="J4" s="91" t="inlineStr">
        <is>
          <t>Low</t>
        </is>
      </c>
      <c r="K4" s="91" t="inlineStr">
        <is>
          <t>Low</t>
        </is>
      </c>
      <c r="L4" s="91" t="inlineStr">
        <is>
          <t>Low</t>
        </is>
      </c>
      <c r="M4" s="91" t="inlineStr">
        <is>
          <t>Low</t>
        </is>
      </c>
      <c r="N4" s="85" t="inlineStr">
        <is>
          <t>N</t>
        </is>
      </c>
      <c r="O4" s="85" t="inlineStr">
        <is>
          <t>N</t>
        </is>
      </c>
      <c r="P4" s="85" t="inlineStr">
        <is>
          <t>U</t>
        </is>
      </c>
      <c r="Q4" s="85" t="inlineStr">
        <is>
          <t>High</t>
        </is>
      </c>
      <c r="R4" s="85" t="inlineStr">
        <is>
          <t>High</t>
        </is>
      </c>
      <c r="S4" s="85" t="inlineStr">
        <is>
          <t>Y</t>
        </is>
      </c>
      <c r="T4" s="85" t="inlineStr">
        <is>
          <t>Y</t>
        </is>
      </c>
      <c r="U4" s="85" t="inlineStr">
        <is>
          <t>Low</t>
        </is>
      </c>
      <c r="V4" s="85" t="inlineStr">
        <is>
          <t>Low</t>
        </is>
      </c>
      <c r="W4" s="85" t="inlineStr">
        <is>
          <t>Y</t>
        </is>
      </c>
      <c r="X4" s="85" t="inlineStr">
        <is>
          <t>U</t>
        </is>
      </c>
      <c r="Y4" s="85" t="inlineStr">
        <is>
          <t>Unclear</t>
        </is>
      </c>
      <c r="Z4" s="85" t="inlineStr">
        <is>
          <t>Low</t>
        </is>
      </c>
      <c r="AA4" s="85" t="inlineStr">
        <is>
          <t>Y</t>
        </is>
      </c>
      <c r="AB4" s="85" t="inlineStr">
        <is>
          <t>Y</t>
        </is>
      </c>
      <c r="AC4" s="85" t="inlineStr">
        <is>
          <t>Y</t>
        </is>
      </c>
      <c r="AD4" s="85" t="inlineStr">
        <is>
          <t>Y</t>
        </is>
      </c>
      <c r="AE4" s="85" t="inlineStr">
        <is>
          <t>Low</t>
        </is>
      </c>
      <c r="AF4" s="85" t="inlineStr">
        <is>
          <t>N</t>
        </is>
      </c>
      <c r="AG4" s="85" t="inlineStr">
        <is>
          <t>Y</t>
        </is>
      </c>
      <c r="AH4" s="85" t="inlineStr">
        <is>
          <t>NA</t>
        </is>
      </c>
      <c r="AI4" s="85" t="inlineStr">
        <is>
          <t>NA</t>
        </is>
      </c>
      <c r="AJ4" s="85" t="inlineStr">
        <is>
          <t>Low</t>
        </is>
      </c>
      <c r="AK4" s="85" t="inlineStr">
        <is>
          <t>Y</t>
        </is>
      </c>
      <c r="AL4" s="85" t="inlineStr">
        <is>
          <t>Y</t>
        </is>
      </c>
      <c r="AM4" s="85" t="inlineStr">
        <is>
          <t>Y</t>
        </is>
      </c>
      <c r="AN4" s="85" t="inlineStr">
        <is>
          <t>Y</t>
        </is>
      </c>
      <c r="AO4" s="85" t="inlineStr">
        <is>
          <t>Low</t>
        </is>
      </c>
      <c r="AP4" s="85" t="inlineStr">
        <is>
          <t>N</t>
        </is>
      </c>
      <c r="AQ4" s="85" t="inlineStr">
        <is>
          <t>Y</t>
        </is>
      </c>
      <c r="AR4" s="85" t="inlineStr">
        <is>
          <t>Low</t>
        </is>
      </c>
      <c r="AS4" s="85" t="inlineStr">
        <is>
          <t>Y</t>
        </is>
      </c>
      <c r="AT4" s="85" t="inlineStr">
        <is>
          <t>Y</t>
        </is>
      </c>
      <c r="AU4" s="85" t="inlineStr">
        <is>
          <t>Y</t>
        </is>
      </c>
      <c r="AV4" s="85" t="inlineStr">
        <is>
          <t>Y</t>
        </is>
      </c>
      <c r="AW4" s="85" t="inlineStr">
        <is>
          <t>Low</t>
        </is>
      </c>
    </row>
    <row r="5" customFormat="1" s="88">
      <c r="B5" s="86" t="inlineStr">
        <is>
          <t>reference standard</t>
        </is>
      </c>
      <c r="C5" s="40" t="inlineStr">
        <is>
          <t>High</t>
        </is>
      </c>
      <c r="D5" s="40" t="inlineStr">
        <is>
          <t>Low</t>
        </is>
      </c>
      <c r="E5" s="39" t="inlineStr">
        <is>
          <t>Unclear</t>
        </is>
      </c>
      <c r="F5" s="85" t="inlineStr">
        <is>
          <t>Low</t>
        </is>
      </c>
      <c r="G5" s="39" t="inlineStr">
        <is>
          <t>High</t>
        </is>
      </c>
      <c r="H5" s="39" t="inlineStr">
        <is>
          <t>Low</t>
        </is>
      </c>
      <c r="I5" s="39" t="inlineStr">
        <is>
          <t>Low</t>
        </is>
      </c>
      <c r="N5" s="85" t="inlineStr">
        <is>
          <t>N</t>
        </is>
      </c>
      <c r="O5" s="85" t="inlineStr">
        <is>
          <t>N</t>
        </is>
      </c>
      <c r="P5" s="85" t="inlineStr">
        <is>
          <t>U</t>
        </is>
      </c>
      <c r="Q5" s="85" t="inlineStr">
        <is>
          <t>High</t>
        </is>
      </c>
      <c r="R5" s="85" t="inlineStr">
        <is>
          <t>High</t>
        </is>
      </c>
      <c r="S5" s="85" t="inlineStr">
        <is>
          <t>Y</t>
        </is>
      </c>
      <c r="T5" s="85" t="inlineStr">
        <is>
          <t>Y</t>
        </is>
      </c>
      <c r="U5" s="85" t="inlineStr">
        <is>
          <t>Low</t>
        </is>
      </c>
      <c r="V5" s="85" t="inlineStr">
        <is>
          <t>Low</t>
        </is>
      </c>
      <c r="W5" s="85" t="inlineStr">
        <is>
          <t>Y</t>
        </is>
      </c>
      <c r="X5" s="85" t="inlineStr">
        <is>
          <t>U</t>
        </is>
      </c>
      <c r="Y5" s="85" t="inlineStr">
        <is>
          <t>Unclear</t>
        </is>
      </c>
      <c r="Z5" s="85" t="inlineStr">
        <is>
          <t>Low</t>
        </is>
      </c>
      <c r="AA5" s="85" t="inlineStr">
        <is>
          <t>Y</t>
        </is>
      </c>
      <c r="AB5" s="85" t="inlineStr">
        <is>
          <t>Y</t>
        </is>
      </c>
      <c r="AC5" s="85" t="inlineStr">
        <is>
          <t>Y</t>
        </is>
      </c>
      <c r="AD5" s="85" t="inlineStr">
        <is>
          <t>Y</t>
        </is>
      </c>
      <c r="AE5" s="85" t="inlineStr">
        <is>
          <t>Low</t>
        </is>
      </c>
    </row>
    <row r="6">
      <c r="A6" s="5" t="inlineStr">
        <is>
          <t>Šín et al. (2025)</t>
        </is>
      </c>
      <c r="B6" s="5" t="inlineStr">
        <is>
          <t>index test</t>
        </is>
      </c>
      <c r="C6" s="39" t="inlineStr">
        <is>
          <t>Low</t>
        </is>
      </c>
      <c r="D6" s="39" t="inlineStr">
        <is>
          <t>Low</t>
        </is>
      </c>
      <c r="E6" s="39" t="inlineStr">
        <is>
          <t>Low</t>
        </is>
      </c>
      <c r="F6" s="85" t="inlineStr">
        <is>
          <t>High</t>
        </is>
      </c>
      <c r="G6" s="39" t="inlineStr">
        <is>
          <t>Low</t>
        </is>
      </c>
      <c r="H6" s="39" t="inlineStr">
        <is>
          <t>Low</t>
        </is>
      </c>
      <c r="I6" s="39" t="inlineStr">
        <is>
          <t>Low</t>
        </is>
      </c>
      <c r="J6" s="85" t="inlineStr">
        <is>
          <t>Low</t>
        </is>
      </c>
      <c r="K6" s="85" t="inlineStr">
        <is>
          <t>Low</t>
        </is>
      </c>
      <c r="L6" s="85" t="inlineStr">
        <is>
          <t>Low</t>
        </is>
      </c>
      <c r="M6" s="85" t="inlineStr">
        <is>
          <t>High</t>
        </is>
      </c>
      <c r="N6" s="85" t="inlineStr">
        <is>
          <t>Y</t>
        </is>
      </c>
      <c r="O6" s="85" t="inlineStr">
        <is>
          <t>Y</t>
        </is>
      </c>
      <c r="P6" s="85" t="inlineStr">
        <is>
          <t>Y</t>
        </is>
      </c>
      <c r="Q6" s="85" t="inlineStr">
        <is>
          <t>Low</t>
        </is>
      </c>
      <c r="R6" s="85" t="inlineStr">
        <is>
          <t>Low</t>
        </is>
      </c>
      <c r="S6" s="85" t="inlineStr">
        <is>
          <t>Y</t>
        </is>
      </c>
      <c r="T6" s="85" t="inlineStr">
        <is>
          <t>Y</t>
        </is>
      </c>
      <c r="U6" s="85" t="inlineStr">
        <is>
          <t>Low</t>
        </is>
      </c>
      <c r="V6" s="85" t="inlineStr">
        <is>
          <t>Low</t>
        </is>
      </c>
      <c r="W6" s="85" t="inlineStr">
        <is>
          <t>Y</t>
        </is>
      </c>
      <c r="X6" s="85" t="inlineStr">
        <is>
          <t>Y</t>
        </is>
      </c>
      <c r="Y6" s="85" t="inlineStr">
        <is>
          <t>Low</t>
        </is>
      </c>
      <c r="Z6" s="85" t="inlineStr">
        <is>
          <t>Low</t>
        </is>
      </c>
      <c r="AA6" s="85" t="inlineStr">
        <is>
          <t>Y</t>
        </is>
      </c>
      <c r="AB6" s="85" t="inlineStr">
        <is>
          <t>N</t>
        </is>
      </c>
      <c r="AC6" s="85" t="inlineStr">
        <is>
          <t>Y</t>
        </is>
      </c>
      <c r="AD6" s="85" t="inlineStr">
        <is>
          <t>N</t>
        </is>
      </c>
      <c r="AE6" s="85" t="inlineStr">
        <is>
          <t>High</t>
        </is>
      </c>
      <c r="AF6" s="85" t="inlineStr">
        <is>
          <t>Y</t>
        </is>
      </c>
      <c r="AG6" s="85" t="inlineStr">
        <is>
          <t>Y</t>
        </is>
      </c>
      <c r="AH6" s="85" t="inlineStr">
        <is>
          <t>NA</t>
        </is>
      </c>
      <c r="AI6" s="85" t="inlineStr">
        <is>
          <t>NA</t>
        </is>
      </c>
      <c r="AJ6" s="85" t="inlineStr">
        <is>
          <t>Low</t>
        </is>
      </c>
      <c r="AK6" s="85" t="inlineStr">
        <is>
          <t>Y</t>
        </is>
      </c>
      <c r="AL6" s="85" t="inlineStr">
        <is>
          <t>Y</t>
        </is>
      </c>
      <c r="AM6" s="85" t="inlineStr">
        <is>
          <t>Y</t>
        </is>
      </c>
      <c r="AN6" s="85" t="inlineStr">
        <is>
          <t>Y</t>
        </is>
      </c>
      <c r="AO6" s="85" t="inlineStr">
        <is>
          <t>Low</t>
        </is>
      </c>
      <c r="AP6" s="85" t="inlineStr">
        <is>
          <t>Y</t>
        </is>
      </c>
      <c r="AQ6" s="85" t="inlineStr">
        <is>
          <t>Y</t>
        </is>
      </c>
      <c r="AR6" s="85" t="inlineStr">
        <is>
          <t>Low</t>
        </is>
      </c>
      <c r="AS6" s="85" t="inlineStr">
        <is>
          <t>N</t>
        </is>
      </c>
      <c r="AT6" s="85" t="inlineStr">
        <is>
          <t>Y</t>
        </is>
      </c>
      <c r="AU6" s="85" t="inlineStr">
        <is>
          <t>Y</t>
        </is>
      </c>
      <c r="AV6" s="85" t="inlineStr">
        <is>
          <t>N</t>
        </is>
      </c>
      <c r="AW6" s="85" t="inlineStr">
        <is>
          <t>High</t>
        </is>
      </c>
    </row>
    <row r="7">
      <c r="B7" s="86" t="inlineStr">
        <is>
          <t>reference standard</t>
        </is>
      </c>
      <c r="C7" s="39" t="inlineStr">
        <is>
          <t>Low</t>
        </is>
      </c>
      <c r="D7" s="39" t="inlineStr">
        <is>
          <t>Low</t>
        </is>
      </c>
      <c r="E7" s="39" t="inlineStr">
        <is>
          <t>Low</t>
        </is>
      </c>
      <c r="F7" s="85" t="inlineStr">
        <is>
          <t>High</t>
        </is>
      </c>
      <c r="G7" s="39" t="inlineStr">
        <is>
          <t>Low</t>
        </is>
      </c>
      <c r="H7" s="39" t="inlineStr">
        <is>
          <t>Low</t>
        </is>
      </c>
      <c r="I7" s="39" t="inlineStr">
        <is>
          <t>Low</t>
        </is>
      </c>
      <c r="N7" s="85" t="inlineStr">
        <is>
          <t>Y</t>
        </is>
      </c>
      <c r="O7" s="85" t="inlineStr">
        <is>
          <t>Y</t>
        </is>
      </c>
      <c r="P7" s="85" t="inlineStr">
        <is>
          <t>Y</t>
        </is>
      </c>
      <c r="Q7" s="85" t="inlineStr">
        <is>
          <t>Low</t>
        </is>
      </c>
      <c r="R7" s="85" t="inlineStr">
        <is>
          <t>Low</t>
        </is>
      </c>
      <c r="S7" s="85" t="inlineStr">
        <is>
          <t>Y</t>
        </is>
      </c>
      <c r="T7" s="85" t="inlineStr">
        <is>
          <t>Y</t>
        </is>
      </c>
      <c r="U7" s="85" t="inlineStr">
        <is>
          <t>Low</t>
        </is>
      </c>
      <c r="V7" s="85" t="inlineStr">
        <is>
          <t>Low</t>
        </is>
      </c>
      <c r="W7" s="85" t="inlineStr">
        <is>
          <t>Y</t>
        </is>
      </c>
      <c r="X7" s="85" t="inlineStr">
        <is>
          <t>Y</t>
        </is>
      </c>
      <c r="Y7" s="85" t="inlineStr">
        <is>
          <t>Low</t>
        </is>
      </c>
      <c r="Z7" s="85" t="inlineStr">
        <is>
          <t>Low</t>
        </is>
      </c>
      <c r="AA7" s="85" t="inlineStr">
        <is>
          <t>Y</t>
        </is>
      </c>
      <c r="AB7" s="85" t="inlineStr">
        <is>
          <t>N</t>
        </is>
      </c>
      <c r="AC7" s="85" t="inlineStr">
        <is>
          <t>Y</t>
        </is>
      </c>
      <c r="AD7" s="85" t="inlineStr">
        <is>
          <t>N</t>
        </is>
      </c>
      <c r="AE7" s="85" t="inlineStr">
        <is>
          <t>High</t>
        </is>
      </c>
    </row>
    <row r="8">
      <c r="A8" s="86" t="inlineStr">
        <is>
          <t>Zhao et al. (2025)</t>
        </is>
      </c>
      <c r="B8" s="5" t="inlineStr">
        <is>
          <t>index test</t>
        </is>
      </c>
      <c r="C8" s="39" t="inlineStr">
        <is>
          <t>High</t>
        </is>
      </c>
      <c r="D8" s="39" t="inlineStr">
        <is>
          <t>High</t>
        </is>
      </c>
      <c r="E8" s="39" t="inlineStr">
        <is>
          <t>Unclear</t>
        </is>
      </c>
      <c r="F8" s="85" t="inlineStr">
        <is>
          <t>Low</t>
        </is>
      </c>
      <c r="G8" s="85" t="inlineStr">
        <is>
          <t>Low</t>
        </is>
      </c>
      <c r="H8" s="85" t="inlineStr">
        <is>
          <t>Low</t>
        </is>
      </c>
      <c r="I8" s="85" t="inlineStr">
        <is>
          <t>Low</t>
        </is>
      </c>
      <c r="J8" s="85" t="inlineStr">
        <is>
          <t>Low</t>
        </is>
      </c>
      <c r="K8" s="85" t="inlineStr">
        <is>
          <t>Low</t>
        </is>
      </c>
      <c r="L8" s="85" t="inlineStr">
        <is>
          <t>Low</t>
        </is>
      </c>
      <c r="M8" s="85" t="inlineStr">
        <is>
          <t>Low</t>
        </is>
      </c>
      <c r="N8" s="85" t="inlineStr">
        <is>
          <t>N</t>
        </is>
      </c>
      <c r="O8" s="85" t="inlineStr">
        <is>
          <t>Y</t>
        </is>
      </c>
      <c r="P8" s="85" t="inlineStr">
        <is>
          <t>Y</t>
        </is>
      </c>
      <c r="Q8" s="85" t="inlineStr">
        <is>
          <t>High</t>
        </is>
      </c>
      <c r="R8" s="85" t="inlineStr">
        <is>
          <t>Low</t>
        </is>
      </c>
      <c r="S8" s="85" t="inlineStr">
        <is>
          <t>Y</t>
        </is>
      </c>
      <c r="T8" s="85" t="inlineStr">
        <is>
          <t>N</t>
        </is>
      </c>
      <c r="U8" s="85" t="inlineStr">
        <is>
          <t>High</t>
        </is>
      </c>
      <c r="V8" s="85" t="inlineStr">
        <is>
          <t>Low</t>
        </is>
      </c>
      <c r="W8" s="85" t="inlineStr">
        <is>
          <t>Y</t>
        </is>
      </c>
      <c r="X8" s="85" t="inlineStr">
        <is>
          <t>U</t>
        </is>
      </c>
      <c r="Y8" s="85" t="inlineStr">
        <is>
          <t>Unclear</t>
        </is>
      </c>
      <c r="Z8" s="85" t="inlineStr">
        <is>
          <t>Low</t>
        </is>
      </c>
      <c r="AA8" s="85" t="inlineStr">
        <is>
          <t>Y</t>
        </is>
      </c>
      <c r="AB8" s="85" t="inlineStr">
        <is>
          <t>Y</t>
        </is>
      </c>
      <c r="AC8" s="85" t="inlineStr">
        <is>
          <t>Y</t>
        </is>
      </c>
      <c r="AD8" s="85" t="inlineStr">
        <is>
          <t>Y</t>
        </is>
      </c>
      <c r="AE8" s="85" t="inlineStr">
        <is>
          <t>Low</t>
        </is>
      </c>
      <c r="AF8" s="85" t="inlineStr">
        <is>
          <t>N</t>
        </is>
      </c>
      <c r="AG8" s="85" t="inlineStr">
        <is>
          <t>Y</t>
        </is>
      </c>
      <c r="AH8" s="85" t="inlineStr">
        <is>
          <t>NA</t>
        </is>
      </c>
      <c r="AI8" s="85" t="inlineStr">
        <is>
          <t>NA</t>
        </is>
      </c>
      <c r="AJ8" s="85" t="inlineStr">
        <is>
          <t>Low</t>
        </is>
      </c>
      <c r="AK8" s="85" t="inlineStr">
        <is>
          <t>N</t>
        </is>
      </c>
      <c r="AL8" s="85" t="inlineStr">
        <is>
          <t>Y</t>
        </is>
      </c>
      <c r="AM8" s="85" t="inlineStr">
        <is>
          <t>Y</t>
        </is>
      </c>
      <c r="AN8" s="85" t="inlineStr">
        <is>
          <t>U</t>
        </is>
      </c>
      <c r="AO8" s="85" t="inlineStr">
        <is>
          <t>Low</t>
        </is>
      </c>
      <c r="AP8" s="85" t="inlineStr">
        <is>
          <t>Y</t>
        </is>
      </c>
      <c r="AQ8" s="85" t="inlineStr">
        <is>
          <t>U</t>
        </is>
      </c>
      <c r="AR8" s="85" t="inlineStr">
        <is>
          <t>Low</t>
        </is>
      </c>
      <c r="AS8" s="85" t="inlineStr">
        <is>
          <t>Y</t>
        </is>
      </c>
      <c r="AT8" s="85" t="inlineStr">
        <is>
          <t>Y</t>
        </is>
      </c>
      <c r="AU8" s="85" t="inlineStr">
        <is>
          <t>Y</t>
        </is>
      </c>
      <c r="AV8" s="85" t="inlineStr">
        <is>
          <t>Y</t>
        </is>
      </c>
      <c r="AW8" s="85" t="inlineStr">
        <is>
          <t>Low</t>
        </is>
      </c>
    </row>
    <row r="9">
      <c r="B9" s="86" t="inlineStr">
        <is>
          <t>reference standard</t>
        </is>
      </c>
      <c r="C9" s="39" t="inlineStr">
        <is>
          <t>High</t>
        </is>
      </c>
      <c r="D9" s="39" t="inlineStr">
        <is>
          <t>High</t>
        </is>
      </c>
      <c r="E9" s="39" t="inlineStr">
        <is>
          <t>Unclear</t>
        </is>
      </c>
      <c r="F9" s="85" t="inlineStr">
        <is>
          <t>Low</t>
        </is>
      </c>
      <c r="G9" s="85" t="inlineStr">
        <is>
          <t>Low</t>
        </is>
      </c>
      <c r="H9" s="39" t="inlineStr">
        <is>
          <t>Unclear</t>
        </is>
      </c>
      <c r="I9" s="85" t="inlineStr">
        <is>
          <t>Low</t>
        </is>
      </c>
      <c r="N9" s="85" t="inlineStr">
        <is>
          <t>N</t>
        </is>
      </c>
      <c r="O9" s="85" t="inlineStr">
        <is>
          <t>Y</t>
        </is>
      </c>
      <c r="P9" s="85" t="inlineStr">
        <is>
          <t>Y</t>
        </is>
      </c>
      <c r="Q9" s="85" t="inlineStr">
        <is>
          <t>High</t>
        </is>
      </c>
      <c r="R9" s="85" t="inlineStr">
        <is>
          <t>Low</t>
        </is>
      </c>
      <c r="S9" s="85" t="inlineStr">
        <is>
          <t>N</t>
        </is>
      </c>
      <c r="T9" s="85" t="inlineStr">
        <is>
          <t>Y</t>
        </is>
      </c>
      <c r="U9" s="85" t="inlineStr">
        <is>
          <t>High</t>
        </is>
      </c>
      <c r="V9" s="85" t="inlineStr">
        <is>
          <t>Low</t>
        </is>
      </c>
      <c r="W9" s="85" t="inlineStr">
        <is>
          <t>Y</t>
        </is>
      </c>
      <c r="X9" s="85" t="inlineStr">
        <is>
          <t>U</t>
        </is>
      </c>
      <c r="Y9" s="85" t="inlineStr">
        <is>
          <t>Unclear</t>
        </is>
      </c>
      <c r="Z9" s="85" t="inlineStr">
        <is>
          <t>Unclear</t>
        </is>
      </c>
      <c r="AA9" s="85" t="inlineStr">
        <is>
          <t>Y</t>
        </is>
      </c>
      <c r="AB9" s="85" t="inlineStr">
        <is>
          <t>Y</t>
        </is>
      </c>
      <c r="AC9" s="85" t="inlineStr">
        <is>
          <t>Y</t>
        </is>
      </c>
      <c r="AD9" s="85" t="inlineStr">
        <is>
          <t>Y</t>
        </is>
      </c>
      <c r="AE9" s="85" t="inlineStr">
        <is>
          <t>Low</t>
        </is>
      </c>
    </row>
    <row r="10">
      <c r="A10" s="5" t="inlineStr">
        <is>
          <t>Chia et al. (2024)</t>
        </is>
      </c>
      <c r="B10" s="5" t="inlineStr">
        <is>
          <t>index test</t>
        </is>
      </c>
      <c r="C10" s="39" t="inlineStr">
        <is>
          <t>Low</t>
        </is>
      </c>
      <c r="D10" s="39" t="inlineStr">
        <is>
          <t>Low</t>
        </is>
      </c>
      <c r="E10" s="39" t="inlineStr">
        <is>
          <t>Low</t>
        </is>
      </c>
      <c r="F10" s="85" t="inlineStr">
        <is>
          <t>High</t>
        </is>
      </c>
      <c r="G10" s="39" t="inlineStr">
        <is>
          <t>Low</t>
        </is>
      </c>
      <c r="H10" s="39" t="inlineStr">
        <is>
          <t>Low</t>
        </is>
      </c>
      <c r="I10" s="39" t="inlineStr">
        <is>
          <t>Low</t>
        </is>
      </c>
      <c r="J10" s="85" t="inlineStr">
        <is>
          <t>Low</t>
        </is>
      </c>
      <c r="K10" s="85" t="inlineStr">
        <is>
          <t>Low</t>
        </is>
      </c>
      <c r="L10" s="85" t="inlineStr">
        <is>
          <t>Low</t>
        </is>
      </c>
      <c r="M10" s="85" t="inlineStr">
        <is>
          <t>High</t>
        </is>
      </c>
      <c r="N10" s="85" t="inlineStr">
        <is>
          <t>Y</t>
        </is>
      </c>
      <c r="O10" s="85" t="inlineStr">
        <is>
          <t>Y</t>
        </is>
      </c>
      <c r="P10" s="85" t="inlineStr">
        <is>
          <t>Y</t>
        </is>
      </c>
      <c r="Q10" s="85" t="inlineStr">
        <is>
          <t>Low</t>
        </is>
      </c>
      <c r="R10" s="85" t="inlineStr">
        <is>
          <t>Low</t>
        </is>
      </c>
      <c r="S10" s="85" t="inlineStr">
        <is>
          <t>Y</t>
        </is>
      </c>
      <c r="T10" s="85" t="inlineStr">
        <is>
          <t>Y</t>
        </is>
      </c>
      <c r="U10" s="85" t="inlineStr">
        <is>
          <t>Low</t>
        </is>
      </c>
      <c r="V10" s="85" t="inlineStr">
        <is>
          <t>Low</t>
        </is>
      </c>
      <c r="W10" s="85" t="inlineStr">
        <is>
          <t>Y</t>
        </is>
      </c>
      <c r="X10" s="85" t="inlineStr">
        <is>
          <t>Y</t>
        </is>
      </c>
      <c r="Y10" s="85" t="inlineStr">
        <is>
          <t>Low</t>
        </is>
      </c>
      <c r="Z10" s="85" t="inlineStr">
        <is>
          <t>Low</t>
        </is>
      </c>
      <c r="AA10" s="85" t="inlineStr">
        <is>
          <t>Y</t>
        </is>
      </c>
      <c r="AB10" s="85" t="inlineStr">
        <is>
          <t>N</t>
        </is>
      </c>
      <c r="AC10" s="85" t="inlineStr">
        <is>
          <t>Y</t>
        </is>
      </c>
      <c r="AD10" s="85" t="inlineStr">
        <is>
          <t>N</t>
        </is>
      </c>
      <c r="AE10" s="85" t="inlineStr">
        <is>
          <t>High</t>
        </is>
      </c>
      <c r="AF10" s="85" t="inlineStr">
        <is>
          <t>Y</t>
        </is>
      </c>
      <c r="AG10" s="85" t="inlineStr">
        <is>
          <t>Y</t>
        </is>
      </c>
      <c r="AH10" s="85" t="inlineStr">
        <is>
          <t>NA</t>
        </is>
      </c>
      <c r="AI10" s="85" t="inlineStr">
        <is>
          <t>NA</t>
        </is>
      </c>
      <c r="AJ10" s="85" t="inlineStr">
        <is>
          <t>Low</t>
        </is>
      </c>
      <c r="AK10" s="85" t="inlineStr">
        <is>
          <t>Y</t>
        </is>
      </c>
      <c r="AL10" s="85" t="inlineStr">
        <is>
          <t>Y</t>
        </is>
      </c>
      <c r="AM10" s="85" t="inlineStr">
        <is>
          <t>Y</t>
        </is>
      </c>
      <c r="AN10" s="85" t="inlineStr">
        <is>
          <t>Y</t>
        </is>
      </c>
      <c r="AO10" s="85" t="inlineStr">
        <is>
          <t>Low</t>
        </is>
      </c>
      <c r="AP10" s="85" t="inlineStr">
        <is>
          <t>Y</t>
        </is>
      </c>
      <c r="AQ10" s="85" t="inlineStr">
        <is>
          <t>Y</t>
        </is>
      </c>
      <c r="AR10" s="85" t="inlineStr">
        <is>
          <t>Low</t>
        </is>
      </c>
      <c r="AS10" s="85" t="inlineStr">
        <is>
          <t>N</t>
        </is>
      </c>
      <c r="AT10" s="85" t="inlineStr">
        <is>
          <t>Y</t>
        </is>
      </c>
      <c r="AU10" s="85" t="inlineStr">
        <is>
          <t>Y</t>
        </is>
      </c>
      <c r="AV10" s="85" t="inlineStr">
        <is>
          <t>N</t>
        </is>
      </c>
      <c r="AW10" s="85" t="inlineStr">
        <is>
          <t>High</t>
        </is>
      </c>
    </row>
    <row r="11">
      <c r="B11" s="86" t="inlineStr">
        <is>
          <t>reference standard</t>
        </is>
      </c>
      <c r="C11" s="39" t="inlineStr">
        <is>
          <t>Low</t>
        </is>
      </c>
      <c r="D11" s="39" t="inlineStr">
        <is>
          <t>Low</t>
        </is>
      </c>
      <c r="E11" s="39" t="inlineStr">
        <is>
          <t>Low</t>
        </is>
      </c>
      <c r="F11" s="85" t="inlineStr">
        <is>
          <t>High</t>
        </is>
      </c>
      <c r="G11" s="39" t="inlineStr">
        <is>
          <t>Low</t>
        </is>
      </c>
      <c r="H11" s="39" t="inlineStr">
        <is>
          <t>Low</t>
        </is>
      </c>
      <c r="I11" s="39" t="inlineStr">
        <is>
          <t>Low</t>
        </is>
      </c>
      <c r="N11" s="85" t="inlineStr">
        <is>
          <t>Y</t>
        </is>
      </c>
      <c r="O11" s="85" t="inlineStr">
        <is>
          <t>Y</t>
        </is>
      </c>
      <c r="P11" s="85" t="inlineStr">
        <is>
          <t>Y</t>
        </is>
      </c>
      <c r="Q11" s="85" t="inlineStr">
        <is>
          <t>Low</t>
        </is>
      </c>
      <c r="R11" s="85" t="inlineStr">
        <is>
          <t>Low</t>
        </is>
      </c>
      <c r="S11" s="85" t="inlineStr">
        <is>
          <t>Y</t>
        </is>
      </c>
      <c r="T11" s="85" t="inlineStr">
        <is>
          <t>Y</t>
        </is>
      </c>
      <c r="U11" s="85" t="inlineStr">
        <is>
          <t>Low</t>
        </is>
      </c>
      <c r="V11" s="85" t="inlineStr">
        <is>
          <t>Low</t>
        </is>
      </c>
      <c r="W11" s="85" t="inlineStr">
        <is>
          <t>Y</t>
        </is>
      </c>
      <c r="X11" s="85" t="inlineStr">
        <is>
          <t>Y</t>
        </is>
      </c>
      <c r="Y11" s="85" t="inlineStr">
        <is>
          <t>Low</t>
        </is>
      </c>
      <c r="Z11" s="85" t="inlineStr">
        <is>
          <t>Low</t>
        </is>
      </c>
      <c r="AA11" s="85" t="inlineStr">
        <is>
          <t>Y</t>
        </is>
      </c>
      <c r="AB11" s="85" t="inlineStr">
        <is>
          <t>N</t>
        </is>
      </c>
      <c r="AC11" s="85" t="inlineStr">
        <is>
          <t>Y</t>
        </is>
      </c>
      <c r="AD11" s="85" t="inlineStr">
        <is>
          <t>N</t>
        </is>
      </c>
      <c r="AE11" s="85" t="inlineStr">
        <is>
          <t>High</t>
        </is>
      </c>
    </row>
    <row r="12">
      <c r="A12" s="5" t="inlineStr">
        <is>
          <t>Hu et al. (2024)</t>
        </is>
      </c>
      <c r="B12" s="5" t="inlineStr">
        <is>
          <t>index test</t>
        </is>
      </c>
      <c r="C12" s="39" t="inlineStr">
        <is>
          <t>Low</t>
        </is>
      </c>
      <c r="D12" s="39" t="inlineStr">
        <is>
          <t>Low</t>
        </is>
      </c>
      <c r="E12" s="39" t="inlineStr">
        <is>
          <t>Low</t>
        </is>
      </c>
      <c r="F12" s="85" t="inlineStr">
        <is>
          <t>Unclear</t>
        </is>
      </c>
      <c r="G12" s="39" t="inlineStr">
        <is>
          <t>Low</t>
        </is>
      </c>
      <c r="H12" s="39" t="inlineStr">
        <is>
          <t>Low</t>
        </is>
      </c>
      <c r="I12" s="39" t="inlineStr">
        <is>
          <t>Low</t>
        </is>
      </c>
      <c r="J12" s="85" t="inlineStr">
        <is>
          <t>Low</t>
        </is>
      </c>
      <c r="K12" s="85" t="inlineStr">
        <is>
          <t>Low</t>
        </is>
      </c>
      <c r="L12" s="85" t="inlineStr">
        <is>
          <t>Low</t>
        </is>
      </c>
      <c r="M12" s="85" t="inlineStr">
        <is>
          <t>Unclear</t>
        </is>
      </c>
      <c r="N12" s="85" t="inlineStr">
        <is>
          <t>Y</t>
        </is>
      </c>
      <c r="O12" s="85" t="inlineStr">
        <is>
          <t>Y</t>
        </is>
      </c>
      <c r="P12" s="85" t="inlineStr">
        <is>
          <t>Y</t>
        </is>
      </c>
      <c r="Q12" s="85" t="inlineStr">
        <is>
          <t>Low</t>
        </is>
      </c>
      <c r="R12" s="85" t="inlineStr">
        <is>
          <t>Low</t>
        </is>
      </c>
      <c r="S12" s="85" t="inlineStr">
        <is>
          <t>Y</t>
        </is>
      </c>
      <c r="T12" s="85" t="inlineStr">
        <is>
          <t>Y</t>
        </is>
      </c>
      <c r="U12" s="85" t="inlineStr">
        <is>
          <t>Low</t>
        </is>
      </c>
      <c r="V12" s="85" t="inlineStr">
        <is>
          <t>Low</t>
        </is>
      </c>
      <c r="W12" s="85" t="inlineStr">
        <is>
          <t>Y</t>
        </is>
      </c>
      <c r="X12" s="85" t="inlineStr">
        <is>
          <t>Y</t>
        </is>
      </c>
      <c r="Y12" s="85" t="inlineStr">
        <is>
          <t>Low</t>
        </is>
      </c>
      <c r="Z12" s="85" t="inlineStr">
        <is>
          <t>Low</t>
        </is>
      </c>
      <c r="AA12" s="85" t="inlineStr">
        <is>
          <t>Y</t>
        </is>
      </c>
      <c r="AB12" s="85" t="inlineStr">
        <is>
          <t>Y</t>
        </is>
      </c>
      <c r="AC12" s="85" t="inlineStr">
        <is>
          <t>Y</t>
        </is>
      </c>
      <c r="AD12" s="85" t="inlineStr">
        <is>
          <t>N</t>
        </is>
      </c>
      <c r="AE12" s="85" t="inlineStr">
        <is>
          <t>Unclear</t>
        </is>
      </c>
      <c r="AF12" s="85" t="inlineStr">
        <is>
          <t>Y</t>
        </is>
      </c>
      <c r="AG12" s="85" t="inlineStr">
        <is>
          <t>Y</t>
        </is>
      </c>
      <c r="AH12" s="85" t="inlineStr">
        <is>
          <t>NA</t>
        </is>
      </c>
      <c r="AI12" s="85" t="inlineStr">
        <is>
          <t>NA</t>
        </is>
      </c>
      <c r="AJ12" s="85" t="inlineStr">
        <is>
          <t>Low</t>
        </is>
      </c>
      <c r="AK12" s="85" t="inlineStr">
        <is>
          <t>Y</t>
        </is>
      </c>
      <c r="AL12" s="85" t="inlineStr">
        <is>
          <t>Y</t>
        </is>
      </c>
      <c r="AM12" s="85" t="inlineStr">
        <is>
          <t>Y</t>
        </is>
      </c>
      <c r="AN12" s="85" t="inlineStr">
        <is>
          <t>Y</t>
        </is>
      </c>
      <c r="AO12" s="85" t="inlineStr">
        <is>
          <t>Low</t>
        </is>
      </c>
      <c r="AP12" s="85" t="inlineStr">
        <is>
          <t>Y</t>
        </is>
      </c>
      <c r="AQ12" s="85" t="inlineStr">
        <is>
          <t>Y</t>
        </is>
      </c>
      <c r="AR12" s="85" t="inlineStr">
        <is>
          <t>Low</t>
        </is>
      </c>
      <c r="AS12" s="85" t="inlineStr">
        <is>
          <t>N</t>
        </is>
      </c>
      <c r="AT12" s="85" t="inlineStr">
        <is>
          <t>Y</t>
        </is>
      </c>
      <c r="AU12" s="85" t="inlineStr">
        <is>
          <t>Y</t>
        </is>
      </c>
      <c r="AV12" s="85" t="inlineStr">
        <is>
          <t>Y</t>
        </is>
      </c>
      <c r="AW12" s="85" t="inlineStr">
        <is>
          <t>Unclear</t>
        </is>
      </c>
    </row>
    <row r="13">
      <c r="B13" s="86" t="inlineStr">
        <is>
          <t>reference standard</t>
        </is>
      </c>
      <c r="C13" s="39" t="inlineStr">
        <is>
          <t>Low</t>
        </is>
      </c>
      <c r="D13" s="39" t="inlineStr">
        <is>
          <t>Low</t>
        </is>
      </c>
      <c r="E13" s="39" t="inlineStr">
        <is>
          <t>Low</t>
        </is>
      </c>
      <c r="F13" s="85" t="inlineStr">
        <is>
          <t>Unclear</t>
        </is>
      </c>
      <c r="G13" s="39" t="inlineStr">
        <is>
          <t>Low</t>
        </is>
      </c>
      <c r="H13" s="39" t="inlineStr">
        <is>
          <t>Low</t>
        </is>
      </c>
      <c r="I13" s="39" t="inlineStr">
        <is>
          <t>Low</t>
        </is>
      </c>
      <c r="N13" s="85" t="inlineStr">
        <is>
          <t>Y</t>
        </is>
      </c>
      <c r="O13" s="85" t="inlineStr">
        <is>
          <t>Y</t>
        </is>
      </c>
      <c r="P13" s="85" t="inlineStr">
        <is>
          <t>Y</t>
        </is>
      </c>
      <c r="Q13" s="85" t="inlineStr">
        <is>
          <t>Low</t>
        </is>
      </c>
      <c r="R13" s="85" t="inlineStr">
        <is>
          <t>Low</t>
        </is>
      </c>
      <c r="S13" s="85" t="inlineStr">
        <is>
          <t>Y</t>
        </is>
      </c>
      <c r="T13" s="85" t="inlineStr">
        <is>
          <t>Y</t>
        </is>
      </c>
      <c r="U13" s="85" t="inlineStr">
        <is>
          <t>Low</t>
        </is>
      </c>
      <c r="V13" s="85" t="inlineStr">
        <is>
          <t>Low</t>
        </is>
      </c>
      <c r="W13" s="85" t="inlineStr">
        <is>
          <t>Y</t>
        </is>
      </c>
      <c r="X13" s="85" t="inlineStr">
        <is>
          <t>Y</t>
        </is>
      </c>
      <c r="Y13" s="85" t="inlineStr">
        <is>
          <t>Low</t>
        </is>
      </c>
      <c r="Z13" s="85" t="inlineStr">
        <is>
          <t>Low</t>
        </is>
      </c>
      <c r="AA13" s="85" t="inlineStr">
        <is>
          <t>Y</t>
        </is>
      </c>
      <c r="AB13" s="85" t="inlineStr">
        <is>
          <t>Y</t>
        </is>
      </c>
      <c r="AC13" s="85" t="inlineStr">
        <is>
          <t>Y</t>
        </is>
      </c>
      <c r="AD13" s="85" t="inlineStr">
        <is>
          <t>N</t>
        </is>
      </c>
      <c r="AE13" s="85" t="inlineStr">
        <is>
          <t>Unclear</t>
        </is>
      </c>
    </row>
    <row r="14">
      <c r="A14" s="86" t="inlineStr">
        <is>
          <t xml:space="preserve">Li et al. (2024) </t>
        </is>
      </c>
      <c r="B14" s="5" t="inlineStr">
        <is>
          <t>index test</t>
        </is>
      </c>
      <c r="C14" s="85" t="inlineStr">
        <is>
          <t>Low</t>
        </is>
      </c>
      <c r="D14" s="85" t="inlineStr">
        <is>
          <t>Low</t>
        </is>
      </c>
      <c r="E14" s="85" t="inlineStr">
        <is>
          <t>Low</t>
        </is>
      </c>
      <c r="F14" s="85" t="inlineStr">
        <is>
          <t>Low</t>
        </is>
      </c>
      <c r="G14" s="85" t="inlineStr">
        <is>
          <t>Low</t>
        </is>
      </c>
      <c r="H14" s="85" t="inlineStr">
        <is>
          <t>Low</t>
        </is>
      </c>
      <c r="I14" s="85" t="inlineStr">
        <is>
          <t>Low</t>
        </is>
      </c>
      <c r="J14" s="85" t="inlineStr">
        <is>
          <t>Low</t>
        </is>
      </c>
      <c r="K14" s="85" t="inlineStr">
        <is>
          <t>Low</t>
        </is>
      </c>
      <c r="L14" s="85" t="inlineStr">
        <is>
          <t>Low</t>
        </is>
      </c>
      <c r="M14" s="85" t="inlineStr">
        <is>
          <t>Low</t>
        </is>
      </c>
      <c r="N14" s="85" t="inlineStr">
        <is>
          <t>Y</t>
        </is>
      </c>
      <c r="O14" s="85" t="inlineStr">
        <is>
          <t>Y</t>
        </is>
      </c>
      <c r="P14" s="85" t="inlineStr">
        <is>
          <t>Y</t>
        </is>
      </c>
      <c r="Q14" s="85" t="inlineStr">
        <is>
          <t>Low</t>
        </is>
      </c>
      <c r="R14" s="85" t="inlineStr">
        <is>
          <t>Low</t>
        </is>
      </c>
      <c r="S14" s="85" t="inlineStr">
        <is>
          <t>Y</t>
        </is>
      </c>
      <c r="T14" s="85" t="inlineStr">
        <is>
          <t>Y</t>
        </is>
      </c>
      <c r="U14" s="85" t="inlineStr">
        <is>
          <t>Low</t>
        </is>
      </c>
      <c r="V14" s="85" t="inlineStr">
        <is>
          <t>Low</t>
        </is>
      </c>
      <c r="W14" s="85" t="inlineStr">
        <is>
          <t>Y</t>
        </is>
      </c>
      <c r="X14" s="85" t="inlineStr">
        <is>
          <t>Y</t>
        </is>
      </c>
      <c r="Y14" s="85" t="inlineStr">
        <is>
          <t>Low</t>
        </is>
      </c>
      <c r="Z14" s="85" t="inlineStr">
        <is>
          <t>Low</t>
        </is>
      </c>
      <c r="AA14" s="85" t="inlineStr">
        <is>
          <t>Y</t>
        </is>
      </c>
      <c r="AB14" s="85" t="inlineStr">
        <is>
          <t>Y</t>
        </is>
      </c>
      <c r="AC14" s="85" t="inlineStr">
        <is>
          <t>Y</t>
        </is>
      </c>
      <c r="AD14" s="85" t="inlineStr">
        <is>
          <t>Y</t>
        </is>
      </c>
      <c r="AE14" s="85" t="inlineStr">
        <is>
          <t>Low</t>
        </is>
      </c>
      <c r="AF14" s="85" t="inlineStr">
        <is>
          <t>Y</t>
        </is>
      </c>
      <c r="AG14" s="85" t="inlineStr">
        <is>
          <t>Y</t>
        </is>
      </c>
      <c r="AH14" s="85" t="inlineStr">
        <is>
          <t>NA</t>
        </is>
      </c>
      <c r="AI14" s="85" t="inlineStr">
        <is>
          <t>NA</t>
        </is>
      </c>
      <c r="AJ14" s="85" t="inlineStr">
        <is>
          <t>Low</t>
        </is>
      </c>
      <c r="AK14" s="85" t="inlineStr">
        <is>
          <t>Y</t>
        </is>
      </c>
      <c r="AL14" s="85" t="inlineStr">
        <is>
          <t>Y</t>
        </is>
      </c>
      <c r="AM14" s="85" t="inlineStr">
        <is>
          <t>Y</t>
        </is>
      </c>
      <c r="AN14" s="85" t="inlineStr">
        <is>
          <t>Y</t>
        </is>
      </c>
      <c r="AO14" s="85" t="inlineStr">
        <is>
          <t>Low</t>
        </is>
      </c>
      <c r="AP14" s="85" t="inlineStr">
        <is>
          <t>Y</t>
        </is>
      </c>
      <c r="AQ14" s="85" t="inlineStr">
        <is>
          <t>Y</t>
        </is>
      </c>
      <c r="AR14" s="85" t="inlineStr">
        <is>
          <t>Low</t>
        </is>
      </c>
      <c r="AS14" s="85" t="inlineStr">
        <is>
          <t>Y</t>
        </is>
      </c>
      <c r="AT14" s="85" t="inlineStr">
        <is>
          <t>Y</t>
        </is>
      </c>
      <c r="AU14" s="85" t="inlineStr">
        <is>
          <t>N</t>
        </is>
      </c>
      <c r="AV14" s="85" t="inlineStr">
        <is>
          <t>N</t>
        </is>
      </c>
      <c r="AW14" s="85" t="inlineStr">
        <is>
          <t>Low</t>
        </is>
      </c>
    </row>
    <row r="15">
      <c r="B15" s="86" t="inlineStr">
        <is>
          <t>reference standard</t>
        </is>
      </c>
      <c r="C15" s="85" t="inlineStr">
        <is>
          <t>Low</t>
        </is>
      </c>
      <c r="D15" s="85" t="inlineStr">
        <is>
          <t>Low</t>
        </is>
      </c>
      <c r="E15" s="85" t="inlineStr">
        <is>
          <t>Low</t>
        </is>
      </c>
      <c r="F15" s="85" t="inlineStr">
        <is>
          <t>Low</t>
        </is>
      </c>
      <c r="G15" s="85" t="inlineStr">
        <is>
          <t>Low</t>
        </is>
      </c>
      <c r="H15" s="85" t="inlineStr">
        <is>
          <t>Low</t>
        </is>
      </c>
      <c r="I15" s="85" t="inlineStr">
        <is>
          <t>Low</t>
        </is>
      </c>
      <c r="N15" s="85" t="inlineStr">
        <is>
          <t>Y</t>
        </is>
      </c>
      <c r="O15" s="85" t="inlineStr">
        <is>
          <t>Y</t>
        </is>
      </c>
      <c r="P15" s="85" t="inlineStr">
        <is>
          <t>Y</t>
        </is>
      </c>
      <c r="Q15" s="85" t="inlineStr">
        <is>
          <t>Low</t>
        </is>
      </c>
      <c r="R15" s="85" t="inlineStr">
        <is>
          <t>Low</t>
        </is>
      </c>
      <c r="S15" s="85" t="inlineStr">
        <is>
          <t>Y</t>
        </is>
      </c>
      <c r="T15" s="85" t="inlineStr">
        <is>
          <t>Y</t>
        </is>
      </c>
      <c r="U15" s="85" t="inlineStr">
        <is>
          <t>Low</t>
        </is>
      </c>
      <c r="V15" s="85" t="inlineStr">
        <is>
          <t>Low</t>
        </is>
      </c>
      <c r="W15" s="85" t="inlineStr">
        <is>
          <t>Y</t>
        </is>
      </c>
      <c r="X15" s="85" t="inlineStr">
        <is>
          <t>Y</t>
        </is>
      </c>
      <c r="Y15" s="85" t="inlineStr">
        <is>
          <t>Low</t>
        </is>
      </c>
      <c r="Z15" s="85" t="inlineStr">
        <is>
          <t>Low</t>
        </is>
      </c>
      <c r="AA15" s="85" t="inlineStr">
        <is>
          <t>Y</t>
        </is>
      </c>
      <c r="AB15" s="85" t="inlineStr">
        <is>
          <t>Y</t>
        </is>
      </c>
      <c r="AC15" s="85" t="inlineStr">
        <is>
          <t>Y</t>
        </is>
      </c>
      <c r="AD15" s="85" t="inlineStr">
        <is>
          <t>Y</t>
        </is>
      </c>
      <c r="AE15" s="85" t="inlineStr">
        <is>
          <t>Low</t>
        </is>
      </c>
    </row>
    <row r="16">
      <c r="A16" s="5" t="inlineStr">
        <is>
          <t>Pandey et al. (2024)</t>
        </is>
      </c>
      <c r="B16" s="5" t="inlineStr">
        <is>
          <t>index test</t>
        </is>
      </c>
      <c r="C16" s="39" t="inlineStr">
        <is>
          <t>High</t>
        </is>
      </c>
      <c r="D16" s="39" t="inlineStr">
        <is>
          <t>Low</t>
        </is>
      </c>
      <c r="E16" s="39" t="inlineStr">
        <is>
          <t>Unclear</t>
        </is>
      </c>
      <c r="F16" s="85" t="inlineStr">
        <is>
          <t>Low</t>
        </is>
      </c>
      <c r="G16" s="39" t="inlineStr">
        <is>
          <t>High</t>
        </is>
      </c>
      <c r="H16" s="39" t="inlineStr">
        <is>
          <t>Low</t>
        </is>
      </c>
      <c r="I16" s="39" t="inlineStr">
        <is>
          <t>High</t>
        </is>
      </c>
      <c r="J16" s="85" t="inlineStr">
        <is>
          <t>High</t>
        </is>
      </c>
      <c r="K16" s="85" t="inlineStr">
        <is>
          <t>Low</t>
        </is>
      </c>
      <c r="L16" s="85" t="inlineStr">
        <is>
          <t>Unclear</t>
        </is>
      </c>
      <c r="M16" s="85" t="inlineStr">
        <is>
          <t>Low</t>
        </is>
      </c>
      <c r="N16" s="85" t="inlineStr">
        <is>
          <t>N</t>
        </is>
      </c>
      <c r="O16" s="85" t="inlineStr">
        <is>
          <t>N</t>
        </is>
      </c>
      <c r="P16" s="85" t="inlineStr">
        <is>
          <t>Y</t>
        </is>
      </c>
      <c r="Q16" s="85" t="inlineStr">
        <is>
          <t>High</t>
        </is>
      </c>
      <c r="R16" s="85" t="inlineStr">
        <is>
          <t>High</t>
        </is>
      </c>
      <c r="S16" s="85" t="inlineStr">
        <is>
          <t>Y</t>
        </is>
      </c>
      <c r="T16" s="85" t="inlineStr">
        <is>
          <t>Y</t>
        </is>
      </c>
      <c r="U16" s="85" t="inlineStr">
        <is>
          <t>Low</t>
        </is>
      </c>
      <c r="V16" s="85" t="inlineStr">
        <is>
          <t>Low</t>
        </is>
      </c>
      <c r="W16" s="85" t="inlineStr">
        <is>
          <t>U</t>
        </is>
      </c>
      <c r="X16" s="85" t="inlineStr">
        <is>
          <t>Y</t>
        </is>
      </c>
      <c r="Y16" s="85" t="inlineStr">
        <is>
          <t>Unclear</t>
        </is>
      </c>
      <c r="Z16" s="85" t="inlineStr">
        <is>
          <t>Unclear</t>
        </is>
      </c>
      <c r="AA16" s="85" t="inlineStr">
        <is>
          <t>Y</t>
        </is>
      </c>
      <c r="AB16" s="85" t="inlineStr">
        <is>
          <t>Y</t>
        </is>
      </c>
      <c r="AC16" s="85" t="inlineStr">
        <is>
          <t>Y</t>
        </is>
      </c>
      <c r="AD16" s="85" t="inlineStr">
        <is>
          <t>Y</t>
        </is>
      </c>
      <c r="AE16" s="85" t="inlineStr">
        <is>
          <t>Low</t>
        </is>
      </c>
      <c r="AF16" s="85" t="inlineStr">
        <is>
          <t>N</t>
        </is>
      </c>
      <c r="AG16" s="85" t="inlineStr">
        <is>
          <t>Y</t>
        </is>
      </c>
      <c r="AH16" s="85" t="inlineStr">
        <is>
          <t>NA</t>
        </is>
      </c>
      <c r="AI16" s="85" t="inlineStr">
        <is>
          <t>NA</t>
        </is>
      </c>
      <c r="AJ16" s="85" t="inlineStr">
        <is>
          <t>High</t>
        </is>
      </c>
      <c r="AK16" s="85" t="inlineStr">
        <is>
          <t>Y</t>
        </is>
      </c>
      <c r="AL16" s="85" t="inlineStr">
        <is>
          <t>Y</t>
        </is>
      </c>
      <c r="AM16" s="85" t="inlineStr">
        <is>
          <t>Y</t>
        </is>
      </c>
      <c r="AN16" s="85" t="inlineStr">
        <is>
          <t>Y</t>
        </is>
      </c>
      <c r="AO16" s="85" t="inlineStr">
        <is>
          <t>Low</t>
        </is>
      </c>
      <c r="AP16" s="85" t="inlineStr">
        <is>
          <t>N</t>
        </is>
      </c>
      <c r="AQ16" s="85" t="inlineStr">
        <is>
          <t>U</t>
        </is>
      </c>
      <c r="AR16" s="85" t="inlineStr">
        <is>
          <t>Unclear</t>
        </is>
      </c>
      <c r="AS16" s="85" t="inlineStr">
        <is>
          <t>Y</t>
        </is>
      </c>
      <c r="AT16" s="85" t="inlineStr">
        <is>
          <t>Y</t>
        </is>
      </c>
      <c r="AU16" s="85" t="inlineStr">
        <is>
          <t>Y</t>
        </is>
      </c>
      <c r="AV16" s="85" t="inlineStr">
        <is>
          <t>Y</t>
        </is>
      </c>
      <c r="AW16" s="85" t="inlineStr">
        <is>
          <t>Low</t>
        </is>
      </c>
    </row>
    <row r="17">
      <c r="B17" s="86" t="inlineStr">
        <is>
          <t>reference standard</t>
        </is>
      </c>
      <c r="C17" s="39" t="inlineStr">
        <is>
          <t>High</t>
        </is>
      </c>
      <c r="D17" s="39" t="inlineStr">
        <is>
          <t>Low</t>
        </is>
      </c>
      <c r="E17" s="39" t="inlineStr">
        <is>
          <t>Unclear</t>
        </is>
      </c>
      <c r="F17" s="85" t="inlineStr">
        <is>
          <t>Low</t>
        </is>
      </c>
      <c r="G17" s="39" t="inlineStr">
        <is>
          <t>High</t>
        </is>
      </c>
      <c r="H17" s="39" t="inlineStr">
        <is>
          <t>Low</t>
        </is>
      </c>
      <c r="I17" s="39" t="inlineStr">
        <is>
          <t>High</t>
        </is>
      </c>
      <c r="N17" s="85" t="inlineStr">
        <is>
          <t>N</t>
        </is>
      </c>
      <c r="O17" s="85" t="inlineStr">
        <is>
          <t>N</t>
        </is>
      </c>
      <c r="P17" s="85" t="inlineStr">
        <is>
          <t>Y</t>
        </is>
      </c>
      <c r="Q17" s="85" t="inlineStr">
        <is>
          <t>High</t>
        </is>
      </c>
      <c r="R17" s="85" t="inlineStr">
        <is>
          <t>High</t>
        </is>
      </c>
      <c r="S17" s="85" t="inlineStr">
        <is>
          <t>Y</t>
        </is>
      </c>
      <c r="T17" s="85" t="inlineStr">
        <is>
          <t>Y</t>
        </is>
      </c>
      <c r="U17" s="85" t="inlineStr">
        <is>
          <t>Low</t>
        </is>
      </c>
      <c r="V17" s="85" t="inlineStr">
        <is>
          <t>Low</t>
        </is>
      </c>
      <c r="W17" s="85" t="inlineStr">
        <is>
          <t>U</t>
        </is>
      </c>
      <c r="X17" s="85" t="inlineStr">
        <is>
          <t>Y</t>
        </is>
      </c>
      <c r="Y17" s="85" t="inlineStr">
        <is>
          <t>Unclear</t>
        </is>
      </c>
      <c r="Z17" s="85" t="inlineStr">
        <is>
          <t>Unclear</t>
        </is>
      </c>
      <c r="AA17" s="85" t="inlineStr">
        <is>
          <t>Y</t>
        </is>
      </c>
      <c r="AB17" s="85" t="inlineStr">
        <is>
          <t>Y</t>
        </is>
      </c>
      <c r="AC17" s="85" t="inlineStr">
        <is>
          <t>Y</t>
        </is>
      </c>
      <c r="AD17" s="85" t="inlineStr">
        <is>
          <t>Y</t>
        </is>
      </c>
      <c r="AE17" s="85" t="inlineStr">
        <is>
          <t>Low</t>
        </is>
      </c>
    </row>
    <row r="18">
      <c r="A18" s="86" t="inlineStr">
        <is>
          <t>Dow et al. (2023)</t>
        </is>
      </c>
      <c r="B18" s="5" t="inlineStr">
        <is>
          <t>index test</t>
        </is>
      </c>
      <c r="C18" s="39" t="inlineStr">
        <is>
          <t>Low</t>
        </is>
      </c>
      <c r="D18" s="39" t="inlineStr">
        <is>
          <t>Low</t>
        </is>
      </c>
      <c r="E18" s="39" t="inlineStr">
        <is>
          <t>Low</t>
        </is>
      </c>
      <c r="F18" s="85" t="inlineStr">
        <is>
          <t>High</t>
        </is>
      </c>
      <c r="G18" s="39" t="inlineStr">
        <is>
          <t>Low</t>
        </is>
      </c>
      <c r="H18" s="39" t="inlineStr">
        <is>
          <t>Low</t>
        </is>
      </c>
      <c r="I18" s="39" t="inlineStr">
        <is>
          <t>Low</t>
        </is>
      </c>
      <c r="J18" s="85" t="inlineStr">
        <is>
          <t>High</t>
        </is>
      </c>
      <c r="K18" s="85" t="inlineStr">
        <is>
          <t>Unclear</t>
        </is>
      </c>
      <c r="L18" s="85" t="inlineStr">
        <is>
          <t>Low</t>
        </is>
      </c>
      <c r="M18" s="85" t="inlineStr">
        <is>
          <t>High</t>
        </is>
      </c>
      <c r="N18" s="85" t="inlineStr">
        <is>
          <t>Y</t>
        </is>
      </c>
      <c r="O18" s="85" t="inlineStr">
        <is>
          <t>Y</t>
        </is>
      </c>
      <c r="P18" s="85" t="inlineStr">
        <is>
          <t>Y</t>
        </is>
      </c>
      <c r="Q18" s="85" t="inlineStr">
        <is>
          <t>Low</t>
        </is>
      </c>
      <c r="R18" s="85" t="inlineStr">
        <is>
          <t>Low</t>
        </is>
      </c>
      <c r="S18" s="85" t="inlineStr">
        <is>
          <t>Y</t>
        </is>
      </c>
      <c r="T18" s="85" t="inlineStr">
        <is>
          <t>Y</t>
        </is>
      </c>
      <c r="U18" s="85" t="inlineStr">
        <is>
          <t>Low</t>
        </is>
      </c>
      <c r="V18" s="85" t="inlineStr">
        <is>
          <t>Low</t>
        </is>
      </c>
      <c r="W18" s="85" t="inlineStr">
        <is>
          <t>Y</t>
        </is>
      </c>
      <c r="X18" s="85" t="inlineStr">
        <is>
          <t>Y</t>
        </is>
      </c>
      <c r="Y18" s="85" t="inlineStr">
        <is>
          <t>Low</t>
        </is>
      </c>
      <c r="Z18" s="85" t="inlineStr">
        <is>
          <t>Low</t>
        </is>
      </c>
      <c r="AA18" s="85" t="inlineStr">
        <is>
          <t>Y</t>
        </is>
      </c>
      <c r="AB18" s="85" t="inlineStr">
        <is>
          <t>N</t>
        </is>
      </c>
      <c r="AC18" s="85" t="inlineStr">
        <is>
          <t>Y</t>
        </is>
      </c>
      <c r="AD18" s="85" t="inlineStr">
        <is>
          <t>N</t>
        </is>
      </c>
      <c r="AE18" s="85" t="inlineStr">
        <is>
          <t>High</t>
        </is>
      </c>
      <c r="AF18" s="85" t="inlineStr">
        <is>
          <t>Y</t>
        </is>
      </c>
      <c r="AG18" s="85" t="inlineStr">
        <is>
          <t>N</t>
        </is>
      </c>
      <c r="AH18" s="85" t="inlineStr">
        <is>
          <t>NA</t>
        </is>
      </c>
      <c r="AI18" s="85" t="inlineStr">
        <is>
          <t>NA</t>
        </is>
      </c>
      <c r="AJ18" s="85" t="inlineStr">
        <is>
          <t>High</t>
        </is>
      </c>
      <c r="AK18" s="85" t="inlineStr">
        <is>
          <t>Y</t>
        </is>
      </c>
      <c r="AL18" s="85" t="inlineStr">
        <is>
          <t>Y</t>
        </is>
      </c>
      <c r="AM18" s="85" t="inlineStr">
        <is>
          <t>Y</t>
        </is>
      </c>
      <c r="AN18" s="85" t="inlineStr">
        <is>
          <t>U</t>
        </is>
      </c>
      <c r="AO18" s="85" t="inlineStr">
        <is>
          <t>Unclear</t>
        </is>
      </c>
      <c r="AP18" s="85" t="inlineStr">
        <is>
          <t>Y</t>
        </is>
      </c>
      <c r="AQ18" s="85" t="inlineStr">
        <is>
          <t>Y</t>
        </is>
      </c>
      <c r="AR18" s="85" t="inlineStr">
        <is>
          <t>Low</t>
        </is>
      </c>
      <c r="AS18" s="85" t="inlineStr">
        <is>
          <t>N</t>
        </is>
      </c>
      <c r="AT18" s="85" t="inlineStr">
        <is>
          <t>N</t>
        </is>
      </c>
      <c r="AU18" s="85" t="inlineStr">
        <is>
          <t>Y</t>
        </is>
      </c>
      <c r="AV18" s="85" t="inlineStr">
        <is>
          <t>N</t>
        </is>
      </c>
      <c r="AW18" s="85" t="inlineStr">
        <is>
          <t>High</t>
        </is>
      </c>
    </row>
    <row r="19">
      <c r="B19" s="86" t="inlineStr">
        <is>
          <t>reference standard</t>
        </is>
      </c>
      <c r="C19" s="39" t="inlineStr">
        <is>
          <t>Low</t>
        </is>
      </c>
      <c r="D19" s="39" t="inlineStr">
        <is>
          <t>Low</t>
        </is>
      </c>
      <c r="E19" s="39" t="inlineStr">
        <is>
          <t>Low</t>
        </is>
      </c>
      <c r="F19" s="85" t="inlineStr">
        <is>
          <t>High</t>
        </is>
      </c>
      <c r="G19" s="39" t="inlineStr">
        <is>
          <t>Low</t>
        </is>
      </c>
      <c r="H19" s="39" t="inlineStr">
        <is>
          <t>Low</t>
        </is>
      </c>
      <c r="I19" s="39" t="inlineStr">
        <is>
          <t>Low</t>
        </is>
      </c>
      <c r="N19" s="85" t="inlineStr">
        <is>
          <t>Y</t>
        </is>
      </c>
      <c r="O19" s="85" t="inlineStr">
        <is>
          <t>Y</t>
        </is>
      </c>
      <c r="P19" s="85" t="inlineStr">
        <is>
          <t>Y</t>
        </is>
      </c>
      <c r="Q19" s="85" t="inlineStr">
        <is>
          <t>Low</t>
        </is>
      </c>
      <c r="R19" s="85" t="inlineStr">
        <is>
          <t>Low</t>
        </is>
      </c>
      <c r="S19" s="85" t="inlineStr">
        <is>
          <t>Y</t>
        </is>
      </c>
      <c r="T19" s="85" t="inlineStr">
        <is>
          <t>Y</t>
        </is>
      </c>
      <c r="U19" s="85" t="inlineStr">
        <is>
          <t>Low</t>
        </is>
      </c>
      <c r="V19" s="85" t="inlineStr">
        <is>
          <t>Low</t>
        </is>
      </c>
      <c r="W19" s="85" t="inlineStr">
        <is>
          <t>Y</t>
        </is>
      </c>
      <c r="X19" s="85" t="inlineStr">
        <is>
          <t>Y</t>
        </is>
      </c>
      <c r="Y19" s="85" t="inlineStr">
        <is>
          <t>Low</t>
        </is>
      </c>
      <c r="Z19" s="85" t="inlineStr">
        <is>
          <t>Low</t>
        </is>
      </c>
      <c r="AA19" s="85" t="inlineStr">
        <is>
          <t>Y</t>
        </is>
      </c>
      <c r="AB19" s="85" t="inlineStr">
        <is>
          <t>N</t>
        </is>
      </c>
      <c r="AC19" s="85" t="inlineStr">
        <is>
          <t>Y</t>
        </is>
      </c>
      <c r="AD19" s="85" t="inlineStr">
        <is>
          <t>N</t>
        </is>
      </c>
      <c r="AE19" s="85" t="inlineStr">
        <is>
          <t>High</t>
        </is>
      </c>
    </row>
    <row r="20">
      <c r="A20" s="5" t="inlineStr">
        <is>
          <t>Lim et al. (2023)</t>
        </is>
      </c>
      <c r="B20" s="5" t="inlineStr">
        <is>
          <t>index test</t>
        </is>
      </c>
      <c r="C20" s="39" t="inlineStr">
        <is>
          <t>Low</t>
        </is>
      </c>
      <c r="D20" s="39" t="inlineStr">
        <is>
          <t>Low</t>
        </is>
      </c>
      <c r="E20" s="39" t="inlineStr">
        <is>
          <t>Low</t>
        </is>
      </c>
      <c r="F20" s="85" t="inlineStr">
        <is>
          <t>High</t>
        </is>
      </c>
      <c r="G20" s="39" t="inlineStr">
        <is>
          <t>Low</t>
        </is>
      </c>
      <c r="H20" s="39" t="inlineStr">
        <is>
          <t>Low</t>
        </is>
      </c>
      <c r="I20" s="39" t="inlineStr">
        <is>
          <t>Low</t>
        </is>
      </c>
      <c r="J20" s="85" t="inlineStr">
        <is>
          <t>Low</t>
        </is>
      </c>
      <c r="K20" s="85" t="inlineStr">
        <is>
          <t>Low</t>
        </is>
      </c>
      <c r="L20" s="85" t="inlineStr">
        <is>
          <t>Low</t>
        </is>
      </c>
      <c r="M20" s="85" t="inlineStr">
        <is>
          <t>High</t>
        </is>
      </c>
      <c r="N20" s="85" t="inlineStr">
        <is>
          <t>Y</t>
        </is>
      </c>
      <c r="O20" s="85" t="inlineStr">
        <is>
          <t>Y</t>
        </is>
      </c>
      <c r="P20" s="85" t="inlineStr">
        <is>
          <t>Y</t>
        </is>
      </c>
      <c r="Q20" s="85" t="inlineStr">
        <is>
          <t>Low</t>
        </is>
      </c>
      <c r="R20" s="85" t="inlineStr">
        <is>
          <t>Low</t>
        </is>
      </c>
      <c r="S20" s="85" t="inlineStr">
        <is>
          <t>Y</t>
        </is>
      </c>
      <c r="T20" s="85" t="inlineStr">
        <is>
          <t>Y</t>
        </is>
      </c>
      <c r="U20" s="85" t="inlineStr">
        <is>
          <t>Low</t>
        </is>
      </c>
      <c r="V20" s="85" t="inlineStr">
        <is>
          <t>Low</t>
        </is>
      </c>
      <c r="W20" s="85" t="inlineStr">
        <is>
          <t>Y</t>
        </is>
      </c>
      <c r="X20" s="85" t="inlineStr">
        <is>
          <t>Y</t>
        </is>
      </c>
      <c r="Y20" s="85" t="inlineStr">
        <is>
          <t>Low</t>
        </is>
      </c>
      <c r="Z20" s="85" t="inlineStr">
        <is>
          <t>Low</t>
        </is>
      </c>
      <c r="AA20" s="85" t="inlineStr">
        <is>
          <t>Y</t>
        </is>
      </c>
      <c r="AB20" s="85" t="inlineStr">
        <is>
          <t>Y</t>
        </is>
      </c>
      <c r="AC20" s="85" t="inlineStr">
        <is>
          <t>Y</t>
        </is>
      </c>
      <c r="AD20" s="85" t="inlineStr">
        <is>
          <t>N</t>
        </is>
      </c>
      <c r="AE20" s="85" t="inlineStr">
        <is>
          <t>High</t>
        </is>
      </c>
      <c r="AF20" s="85" t="inlineStr">
        <is>
          <t>Y</t>
        </is>
      </c>
      <c r="AG20" s="85" t="inlineStr">
        <is>
          <t>Y</t>
        </is>
      </c>
      <c r="AH20" s="85" t="inlineStr">
        <is>
          <t>Y</t>
        </is>
      </c>
      <c r="AI20" s="85" t="inlineStr">
        <is>
          <t>Y</t>
        </is>
      </c>
      <c r="AJ20" s="85" t="inlineStr">
        <is>
          <t>Low</t>
        </is>
      </c>
      <c r="AK20" s="85" t="inlineStr">
        <is>
          <t>Y</t>
        </is>
      </c>
      <c r="AL20" s="85" t="inlineStr">
        <is>
          <t>Y</t>
        </is>
      </c>
      <c r="AM20" s="85" t="inlineStr">
        <is>
          <t>Y</t>
        </is>
      </c>
      <c r="AN20" s="85" t="inlineStr">
        <is>
          <t>Y</t>
        </is>
      </c>
      <c r="AO20" s="85" t="inlineStr">
        <is>
          <t>Low</t>
        </is>
      </c>
      <c r="AP20" s="85" t="inlineStr">
        <is>
          <t>Y</t>
        </is>
      </c>
      <c r="AQ20" s="85" t="inlineStr">
        <is>
          <t>Y</t>
        </is>
      </c>
      <c r="AR20" s="85" t="inlineStr">
        <is>
          <t>Low</t>
        </is>
      </c>
      <c r="AS20" s="85" t="inlineStr">
        <is>
          <t>N</t>
        </is>
      </c>
      <c r="AT20" s="85" t="inlineStr">
        <is>
          <t>Y</t>
        </is>
      </c>
      <c r="AU20" s="85" t="inlineStr">
        <is>
          <t>Y</t>
        </is>
      </c>
      <c r="AV20" s="85" t="inlineStr">
        <is>
          <t>N</t>
        </is>
      </c>
      <c r="AW20" s="85" t="inlineStr">
        <is>
          <t>High</t>
        </is>
      </c>
    </row>
    <row r="21">
      <c r="B21" s="86" t="inlineStr">
        <is>
          <t>reference standard</t>
        </is>
      </c>
      <c r="C21" s="39" t="inlineStr">
        <is>
          <t>Low</t>
        </is>
      </c>
      <c r="D21" s="39" t="inlineStr">
        <is>
          <t>Low</t>
        </is>
      </c>
      <c r="E21" s="39" t="inlineStr">
        <is>
          <t>Low</t>
        </is>
      </c>
      <c r="F21" s="85" t="inlineStr">
        <is>
          <t>High</t>
        </is>
      </c>
      <c r="G21" s="39" t="inlineStr">
        <is>
          <t>Low</t>
        </is>
      </c>
      <c r="H21" s="39" t="inlineStr">
        <is>
          <t>Low</t>
        </is>
      </c>
      <c r="I21" s="39" t="inlineStr">
        <is>
          <t>Low</t>
        </is>
      </c>
      <c r="N21" s="85" t="inlineStr">
        <is>
          <t>Y</t>
        </is>
      </c>
      <c r="O21" s="85" t="inlineStr">
        <is>
          <t>Y</t>
        </is>
      </c>
      <c r="P21" s="85" t="inlineStr">
        <is>
          <t>Y</t>
        </is>
      </c>
      <c r="Q21" s="85" t="inlineStr">
        <is>
          <t>Low</t>
        </is>
      </c>
      <c r="R21" s="85" t="inlineStr">
        <is>
          <t>Low</t>
        </is>
      </c>
      <c r="S21" s="85" t="inlineStr">
        <is>
          <t>Y</t>
        </is>
      </c>
      <c r="T21" s="85" t="inlineStr">
        <is>
          <t>Y</t>
        </is>
      </c>
      <c r="U21" s="85" t="inlineStr">
        <is>
          <t>Low</t>
        </is>
      </c>
      <c r="V21" s="85" t="inlineStr">
        <is>
          <t>Low</t>
        </is>
      </c>
      <c r="W21" s="85" t="inlineStr">
        <is>
          <t>Y</t>
        </is>
      </c>
      <c r="X21" s="85" t="inlineStr">
        <is>
          <t>Y</t>
        </is>
      </c>
      <c r="Y21" s="85" t="inlineStr">
        <is>
          <t>Low</t>
        </is>
      </c>
      <c r="Z21" s="85" t="inlineStr">
        <is>
          <t>Low</t>
        </is>
      </c>
      <c r="AA21" s="85" t="inlineStr">
        <is>
          <t>Y</t>
        </is>
      </c>
      <c r="AB21" s="85" t="inlineStr">
        <is>
          <t>Y</t>
        </is>
      </c>
      <c r="AC21" s="85" t="inlineStr">
        <is>
          <t>Y</t>
        </is>
      </c>
      <c r="AD21" s="85" t="inlineStr">
        <is>
          <t>N</t>
        </is>
      </c>
      <c r="AE21" s="85" t="inlineStr">
        <is>
          <t>High</t>
        </is>
      </c>
    </row>
    <row r="22">
      <c r="A22" s="5" t="inlineStr">
        <is>
          <t>Núñez do Rio et al. (2023)</t>
        </is>
      </c>
      <c r="B22" s="5" t="inlineStr">
        <is>
          <t>index test</t>
        </is>
      </c>
      <c r="C22" s="39" t="inlineStr">
        <is>
          <t>Low</t>
        </is>
      </c>
      <c r="D22" s="39" t="inlineStr">
        <is>
          <t>Low</t>
        </is>
      </c>
      <c r="E22" s="39" t="inlineStr">
        <is>
          <t>Low</t>
        </is>
      </c>
      <c r="F22" s="85" t="inlineStr">
        <is>
          <t>High</t>
        </is>
      </c>
      <c r="G22" s="39" t="inlineStr">
        <is>
          <t>Low</t>
        </is>
      </c>
      <c r="H22" s="39" t="inlineStr">
        <is>
          <t>Low</t>
        </is>
      </c>
      <c r="I22" s="39" t="inlineStr">
        <is>
          <t>Low</t>
        </is>
      </c>
      <c r="J22" s="85" t="inlineStr">
        <is>
          <t>Low</t>
        </is>
      </c>
      <c r="K22" s="85" t="inlineStr">
        <is>
          <t>Low</t>
        </is>
      </c>
      <c r="L22" s="85" t="inlineStr">
        <is>
          <t>Low</t>
        </is>
      </c>
      <c r="M22" s="85" t="inlineStr">
        <is>
          <t>High</t>
        </is>
      </c>
      <c r="N22" s="85" t="inlineStr">
        <is>
          <t>Y</t>
        </is>
      </c>
      <c r="O22" s="85" t="inlineStr">
        <is>
          <t>Y</t>
        </is>
      </c>
      <c r="P22" s="85" t="inlineStr">
        <is>
          <t>Y</t>
        </is>
      </c>
      <c r="Q22" s="85" t="inlineStr">
        <is>
          <t>Low</t>
        </is>
      </c>
      <c r="R22" s="85" t="inlineStr">
        <is>
          <t>Low</t>
        </is>
      </c>
      <c r="S22" s="85" t="inlineStr">
        <is>
          <t>Y</t>
        </is>
      </c>
      <c r="T22" s="85" t="inlineStr">
        <is>
          <t>Y</t>
        </is>
      </c>
      <c r="U22" s="85" t="inlineStr">
        <is>
          <t>Low</t>
        </is>
      </c>
      <c r="V22" s="85" t="inlineStr">
        <is>
          <t>Low</t>
        </is>
      </c>
      <c r="W22" s="85" t="inlineStr">
        <is>
          <t>Y</t>
        </is>
      </c>
      <c r="X22" s="85" t="inlineStr">
        <is>
          <t>Y</t>
        </is>
      </c>
      <c r="Y22" s="85" t="inlineStr">
        <is>
          <t>Low</t>
        </is>
      </c>
      <c r="Z22" s="85" t="inlineStr">
        <is>
          <t>Low</t>
        </is>
      </c>
      <c r="AA22" s="85" t="inlineStr">
        <is>
          <t>Y</t>
        </is>
      </c>
      <c r="AB22" s="85" t="inlineStr">
        <is>
          <t>N</t>
        </is>
      </c>
      <c r="AC22" s="85" t="inlineStr">
        <is>
          <t>Y</t>
        </is>
      </c>
      <c r="AD22" s="85" t="inlineStr">
        <is>
          <t>N</t>
        </is>
      </c>
      <c r="AE22" s="85" t="inlineStr">
        <is>
          <t>High</t>
        </is>
      </c>
      <c r="AF22" s="85" t="inlineStr">
        <is>
          <t>Y</t>
        </is>
      </c>
      <c r="AG22" s="85" t="inlineStr">
        <is>
          <t>Y</t>
        </is>
      </c>
      <c r="AH22" s="85" t="inlineStr">
        <is>
          <t>NA</t>
        </is>
      </c>
      <c r="AI22" s="85" t="inlineStr">
        <is>
          <t>NA</t>
        </is>
      </c>
      <c r="AJ22" s="85" t="inlineStr">
        <is>
          <t>Low</t>
        </is>
      </c>
      <c r="AK22" s="85" t="inlineStr">
        <is>
          <t>Y</t>
        </is>
      </c>
      <c r="AL22" s="85" t="inlineStr">
        <is>
          <t>Y</t>
        </is>
      </c>
      <c r="AM22" s="85" t="inlineStr">
        <is>
          <t>Y</t>
        </is>
      </c>
      <c r="AN22" s="85" t="inlineStr">
        <is>
          <t>Y</t>
        </is>
      </c>
      <c r="AO22" s="85" t="inlineStr">
        <is>
          <t>Low</t>
        </is>
      </c>
      <c r="AP22" s="85" t="inlineStr">
        <is>
          <t>Y</t>
        </is>
      </c>
      <c r="AQ22" s="85" t="inlineStr">
        <is>
          <t>Y</t>
        </is>
      </c>
      <c r="AR22" s="85" t="inlineStr">
        <is>
          <t>Low</t>
        </is>
      </c>
      <c r="AS22" s="85" t="inlineStr">
        <is>
          <t>N</t>
        </is>
      </c>
      <c r="AT22" s="85" t="inlineStr">
        <is>
          <t>Y</t>
        </is>
      </c>
      <c r="AU22" s="85" t="inlineStr">
        <is>
          <t>Y</t>
        </is>
      </c>
      <c r="AV22" s="85" t="inlineStr">
        <is>
          <t>Y</t>
        </is>
      </c>
      <c r="AW22" s="85" t="inlineStr">
        <is>
          <t>High</t>
        </is>
      </c>
    </row>
    <row r="23">
      <c r="B23" s="86" t="inlineStr">
        <is>
          <t>reference standard</t>
        </is>
      </c>
      <c r="C23" s="39" t="inlineStr">
        <is>
          <t>Low</t>
        </is>
      </c>
      <c r="D23" s="39" t="inlineStr">
        <is>
          <t>Low</t>
        </is>
      </c>
      <c r="E23" s="39" t="inlineStr">
        <is>
          <t>Low</t>
        </is>
      </c>
      <c r="F23" s="85" t="inlineStr">
        <is>
          <t>High</t>
        </is>
      </c>
      <c r="G23" s="39" t="inlineStr">
        <is>
          <t>Low</t>
        </is>
      </c>
      <c r="H23" s="39" t="inlineStr">
        <is>
          <t>Low</t>
        </is>
      </c>
      <c r="I23" s="39" t="inlineStr">
        <is>
          <t>Low</t>
        </is>
      </c>
      <c r="N23" s="85" t="inlineStr">
        <is>
          <t>Y</t>
        </is>
      </c>
      <c r="O23" s="85" t="inlineStr">
        <is>
          <t>Y</t>
        </is>
      </c>
      <c r="P23" s="85" t="inlineStr">
        <is>
          <t>Y</t>
        </is>
      </c>
      <c r="Q23" s="85" t="inlineStr">
        <is>
          <t>Low</t>
        </is>
      </c>
      <c r="R23" s="85" t="inlineStr">
        <is>
          <t>Low</t>
        </is>
      </c>
      <c r="S23" s="85" t="inlineStr">
        <is>
          <t>Y</t>
        </is>
      </c>
      <c r="T23" s="85" t="inlineStr">
        <is>
          <t>Y</t>
        </is>
      </c>
      <c r="U23" s="85" t="inlineStr">
        <is>
          <t>Low</t>
        </is>
      </c>
      <c r="V23" s="85" t="inlineStr">
        <is>
          <t>Low</t>
        </is>
      </c>
      <c r="W23" s="85" t="inlineStr">
        <is>
          <t>Y</t>
        </is>
      </c>
      <c r="X23" s="85" t="inlineStr">
        <is>
          <t>Y</t>
        </is>
      </c>
      <c r="Y23" s="85" t="inlineStr">
        <is>
          <t>Low</t>
        </is>
      </c>
      <c r="Z23" s="85" t="inlineStr">
        <is>
          <t>Low</t>
        </is>
      </c>
      <c r="AA23" s="85" t="inlineStr">
        <is>
          <t>Y</t>
        </is>
      </c>
      <c r="AB23" s="85" t="inlineStr">
        <is>
          <t>N</t>
        </is>
      </c>
      <c r="AC23" s="85" t="inlineStr">
        <is>
          <t>Y</t>
        </is>
      </c>
      <c r="AD23" s="85" t="inlineStr">
        <is>
          <t>N</t>
        </is>
      </c>
      <c r="AE23" s="85" t="inlineStr">
        <is>
          <t>High</t>
        </is>
      </c>
    </row>
    <row r="24">
      <c r="A24" s="5" t="inlineStr">
        <is>
          <t>Li et al. (2022)</t>
        </is>
      </c>
      <c r="B24" s="5" t="inlineStr">
        <is>
          <t>index test</t>
        </is>
      </c>
      <c r="C24" s="39" t="inlineStr">
        <is>
          <t>Low</t>
        </is>
      </c>
      <c r="D24" s="39" t="inlineStr">
        <is>
          <t>Low</t>
        </is>
      </c>
      <c r="E24" s="39" t="inlineStr">
        <is>
          <t>Low</t>
        </is>
      </c>
      <c r="F24" s="85" t="inlineStr">
        <is>
          <t>Unclear</t>
        </is>
      </c>
      <c r="G24" s="39" t="inlineStr">
        <is>
          <t>Low</t>
        </is>
      </c>
      <c r="H24" s="39" t="inlineStr">
        <is>
          <t>Low</t>
        </is>
      </c>
      <c r="I24" s="39" t="inlineStr">
        <is>
          <t>Low</t>
        </is>
      </c>
      <c r="J24" s="85" t="inlineStr">
        <is>
          <t>Low</t>
        </is>
      </c>
      <c r="K24" s="85" t="inlineStr">
        <is>
          <t>Low</t>
        </is>
      </c>
      <c r="L24" s="85" t="inlineStr">
        <is>
          <t>Low</t>
        </is>
      </c>
      <c r="M24" s="85" t="inlineStr">
        <is>
          <t>Unclear</t>
        </is>
      </c>
      <c r="N24" s="85" t="inlineStr">
        <is>
          <t>Y</t>
        </is>
      </c>
      <c r="O24" s="85" t="inlineStr">
        <is>
          <t>Y</t>
        </is>
      </c>
      <c r="P24" s="85" t="inlineStr">
        <is>
          <t>Y</t>
        </is>
      </c>
      <c r="Q24" s="85" t="inlineStr">
        <is>
          <t>Low</t>
        </is>
      </c>
      <c r="R24" s="85" t="inlineStr">
        <is>
          <t>Low</t>
        </is>
      </c>
      <c r="S24" s="85" t="inlineStr">
        <is>
          <t>Y</t>
        </is>
      </c>
      <c r="T24" s="85" t="inlineStr">
        <is>
          <t>Y</t>
        </is>
      </c>
      <c r="U24" s="85" t="inlineStr">
        <is>
          <t>Low</t>
        </is>
      </c>
      <c r="V24" s="85" t="inlineStr">
        <is>
          <t>Low</t>
        </is>
      </c>
      <c r="W24" s="85" t="inlineStr">
        <is>
          <t>Y</t>
        </is>
      </c>
      <c r="X24" s="85" t="inlineStr">
        <is>
          <t>Y</t>
        </is>
      </c>
      <c r="Y24" s="85" t="inlineStr">
        <is>
          <t>Low</t>
        </is>
      </c>
      <c r="Z24" s="85" t="inlineStr">
        <is>
          <t>Low</t>
        </is>
      </c>
      <c r="AA24" s="85" t="inlineStr">
        <is>
          <t>Y</t>
        </is>
      </c>
      <c r="AB24" s="85" t="inlineStr">
        <is>
          <t>N</t>
        </is>
      </c>
      <c r="AC24" s="85" t="inlineStr">
        <is>
          <t>Y</t>
        </is>
      </c>
      <c r="AD24" s="85" t="inlineStr">
        <is>
          <t>N</t>
        </is>
      </c>
      <c r="AE24" s="85" t="inlineStr">
        <is>
          <t>Unclear</t>
        </is>
      </c>
      <c r="AF24" s="85" t="inlineStr">
        <is>
          <t>Y</t>
        </is>
      </c>
      <c r="AG24" s="85" t="inlineStr">
        <is>
          <t>Y</t>
        </is>
      </c>
      <c r="AH24" s="85" t="inlineStr">
        <is>
          <t>NA</t>
        </is>
      </c>
      <c r="AI24" s="85" t="inlineStr">
        <is>
          <t>NA</t>
        </is>
      </c>
      <c r="AJ24" s="85" t="inlineStr">
        <is>
          <t>Low</t>
        </is>
      </c>
      <c r="AK24" s="85" t="inlineStr">
        <is>
          <t>Y</t>
        </is>
      </c>
      <c r="AL24" s="85" t="inlineStr">
        <is>
          <t>Y</t>
        </is>
      </c>
      <c r="AM24" s="85" t="inlineStr">
        <is>
          <t>Y</t>
        </is>
      </c>
      <c r="AN24" s="85" t="inlineStr">
        <is>
          <t>Y</t>
        </is>
      </c>
      <c r="AO24" s="85" t="inlineStr">
        <is>
          <t>Low</t>
        </is>
      </c>
      <c r="AP24" s="85" t="inlineStr">
        <is>
          <t>Y</t>
        </is>
      </c>
      <c r="AQ24" s="85" t="inlineStr">
        <is>
          <t>Y</t>
        </is>
      </c>
      <c r="AR24" s="85" t="inlineStr">
        <is>
          <t>Low</t>
        </is>
      </c>
      <c r="AS24" s="85" t="inlineStr">
        <is>
          <t>N</t>
        </is>
      </c>
      <c r="AT24" s="85" t="inlineStr">
        <is>
          <t>Y</t>
        </is>
      </c>
      <c r="AU24" s="85" t="inlineStr">
        <is>
          <t>Y</t>
        </is>
      </c>
      <c r="AV24" s="85" t="inlineStr">
        <is>
          <t>Y</t>
        </is>
      </c>
      <c r="AW24" s="85" t="inlineStr">
        <is>
          <t>Unclear</t>
        </is>
      </c>
    </row>
    <row r="25">
      <c r="B25" s="86" t="inlineStr">
        <is>
          <t>reference standard</t>
        </is>
      </c>
      <c r="C25" s="39" t="inlineStr">
        <is>
          <t>Low</t>
        </is>
      </c>
      <c r="D25" s="39" t="inlineStr">
        <is>
          <t>Low</t>
        </is>
      </c>
      <c r="E25" s="39" t="inlineStr">
        <is>
          <t>Low</t>
        </is>
      </c>
      <c r="F25" s="85" t="inlineStr">
        <is>
          <t>Unclear</t>
        </is>
      </c>
      <c r="G25" s="39" t="inlineStr">
        <is>
          <t>Low</t>
        </is>
      </c>
      <c r="H25" s="39" t="inlineStr">
        <is>
          <t>Low</t>
        </is>
      </c>
      <c r="I25" s="39" t="inlineStr">
        <is>
          <t>Low</t>
        </is>
      </c>
      <c r="N25" s="85" t="inlineStr">
        <is>
          <t>Y</t>
        </is>
      </c>
      <c r="O25" s="85" t="inlineStr">
        <is>
          <t>Y</t>
        </is>
      </c>
      <c r="P25" s="85" t="inlineStr">
        <is>
          <t>Y</t>
        </is>
      </c>
      <c r="Q25" s="85" t="inlineStr">
        <is>
          <t>Low</t>
        </is>
      </c>
      <c r="R25" s="85" t="inlineStr">
        <is>
          <t>Low</t>
        </is>
      </c>
      <c r="S25" s="85" t="inlineStr">
        <is>
          <t>Y</t>
        </is>
      </c>
      <c r="T25" s="85" t="inlineStr">
        <is>
          <t>Y</t>
        </is>
      </c>
      <c r="U25" s="85" t="inlineStr">
        <is>
          <t>Low</t>
        </is>
      </c>
      <c r="V25" s="85" t="inlineStr">
        <is>
          <t>Low</t>
        </is>
      </c>
      <c r="W25" s="85" t="inlineStr">
        <is>
          <t>Y</t>
        </is>
      </c>
      <c r="X25" s="85" t="inlineStr">
        <is>
          <t>Y</t>
        </is>
      </c>
      <c r="Y25" s="85" t="inlineStr">
        <is>
          <t>Low</t>
        </is>
      </c>
      <c r="Z25" s="85" t="inlineStr">
        <is>
          <t>Low</t>
        </is>
      </c>
      <c r="AA25" s="85" t="inlineStr">
        <is>
          <t>Y</t>
        </is>
      </c>
      <c r="AB25" s="85" t="inlineStr">
        <is>
          <t>N</t>
        </is>
      </c>
      <c r="AC25" s="85" t="inlineStr">
        <is>
          <t>Y</t>
        </is>
      </c>
      <c r="AD25" s="85" t="inlineStr">
        <is>
          <t>N</t>
        </is>
      </c>
      <c r="AE25" s="85" t="inlineStr">
        <is>
          <t>Unclear</t>
        </is>
      </c>
    </row>
    <row r="26">
      <c r="A26" s="5" t="inlineStr">
        <is>
          <t>Ruamviboonsuk et al. (2022)</t>
        </is>
      </c>
      <c r="B26" s="5" t="inlineStr">
        <is>
          <t>index test</t>
        </is>
      </c>
      <c r="C26" s="39" t="inlineStr">
        <is>
          <t>Low</t>
        </is>
      </c>
      <c r="D26" s="39" t="inlineStr">
        <is>
          <t>Low</t>
        </is>
      </c>
      <c r="E26" s="39" t="inlineStr">
        <is>
          <t>Low</t>
        </is>
      </c>
      <c r="F26" s="85" t="inlineStr">
        <is>
          <t>High</t>
        </is>
      </c>
      <c r="G26" s="39" t="inlineStr">
        <is>
          <t>Low</t>
        </is>
      </c>
      <c r="H26" s="39" t="inlineStr">
        <is>
          <t>Low</t>
        </is>
      </c>
      <c r="I26" s="39" t="inlineStr">
        <is>
          <t>Low</t>
        </is>
      </c>
      <c r="J26" s="85" t="inlineStr">
        <is>
          <t>Low</t>
        </is>
      </c>
      <c r="K26" s="85" t="inlineStr">
        <is>
          <t>Low</t>
        </is>
      </c>
      <c r="L26" s="85" t="inlineStr">
        <is>
          <t>Low</t>
        </is>
      </c>
      <c r="M26" s="85" t="inlineStr">
        <is>
          <t>High</t>
        </is>
      </c>
      <c r="N26" s="85" t="inlineStr">
        <is>
          <t>Y</t>
        </is>
      </c>
      <c r="O26" s="85" t="inlineStr">
        <is>
          <t>Y</t>
        </is>
      </c>
      <c r="P26" s="85" t="inlineStr">
        <is>
          <t>Y</t>
        </is>
      </c>
      <c r="Q26" s="85" t="inlineStr">
        <is>
          <t>Low</t>
        </is>
      </c>
      <c r="R26" s="85" t="inlineStr">
        <is>
          <t>Low</t>
        </is>
      </c>
      <c r="S26" s="85" t="inlineStr">
        <is>
          <t>Y</t>
        </is>
      </c>
      <c r="T26" s="85" t="inlineStr">
        <is>
          <t>Y</t>
        </is>
      </c>
      <c r="U26" s="85" t="inlineStr">
        <is>
          <t>Low</t>
        </is>
      </c>
      <c r="V26" s="85" t="inlineStr">
        <is>
          <t>Low</t>
        </is>
      </c>
      <c r="W26" s="85" t="inlineStr">
        <is>
          <t>Y</t>
        </is>
      </c>
      <c r="X26" s="85" t="inlineStr">
        <is>
          <t>Y</t>
        </is>
      </c>
      <c r="Y26" s="85" t="inlineStr">
        <is>
          <t>Low</t>
        </is>
      </c>
      <c r="Z26" s="85" t="inlineStr">
        <is>
          <t>Low</t>
        </is>
      </c>
      <c r="AA26" s="85" t="inlineStr">
        <is>
          <t>Y</t>
        </is>
      </c>
      <c r="AB26" s="85" t="inlineStr">
        <is>
          <t>N</t>
        </is>
      </c>
      <c r="AC26" s="85" t="inlineStr">
        <is>
          <t>Y</t>
        </is>
      </c>
      <c r="AD26" s="85" t="inlineStr">
        <is>
          <t>N</t>
        </is>
      </c>
      <c r="AE26" s="85" t="inlineStr">
        <is>
          <t>High</t>
        </is>
      </c>
      <c r="AF26" s="85" t="inlineStr">
        <is>
          <t>Y</t>
        </is>
      </c>
      <c r="AG26" s="85" t="inlineStr">
        <is>
          <t>Y</t>
        </is>
      </c>
      <c r="AH26" s="85" t="inlineStr">
        <is>
          <t>NA</t>
        </is>
      </c>
      <c r="AI26" s="85" t="inlineStr">
        <is>
          <t>NA</t>
        </is>
      </c>
      <c r="AJ26" s="85" t="inlineStr">
        <is>
          <t>Low</t>
        </is>
      </c>
      <c r="AK26" s="85" t="inlineStr">
        <is>
          <t>Y</t>
        </is>
      </c>
      <c r="AL26" s="85" t="inlineStr">
        <is>
          <t>Y</t>
        </is>
      </c>
      <c r="AM26" s="85" t="inlineStr">
        <is>
          <t>Y</t>
        </is>
      </c>
      <c r="AN26" s="85" t="inlineStr">
        <is>
          <t>Y</t>
        </is>
      </c>
      <c r="AO26" s="85" t="inlineStr">
        <is>
          <t>Low</t>
        </is>
      </c>
      <c r="AP26" s="85" t="inlineStr">
        <is>
          <t>Y</t>
        </is>
      </c>
      <c r="AQ26" s="85" t="inlineStr">
        <is>
          <t>Y</t>
        </is>
      </c>
      <c r="AR26" s="85" t="inlineStr">
        <is>
          <t>Low</t>
        </is>
      </c>
      <c r="AS26" s="85" t="inlineStr">
        <is>
          <t>N</t>
        </is>
      </c>
      <c r="AT26" s="85" t="inlineStr">
        <is>
          <t>Y</t>
        </is>
      </c>
      <c r="AU26" s="85" t="inlineStr">
        <is>
          <t>Y</t>
        </is>
      </c>
      <c r="AV26" s="85" t="inlineStr">
        <is>
          <t>Y</t>
        </is>
      </c>
      <c r="AW26" s="85" t="inlineStr">
        <is>
          <t>High</t>
        </is>
      </c>
    </row>
    <row r="27">
      <c r="B27" s="86" t="inlineStr">
        <is>
          <t>reference standard</t>
        </is>
      </c>
      <c r="C27" s="39" t="inlineStr">
        <is>
          <t>Low</t>
        </is>
      </c>
      <c r="D27" s="39" t="inlineStr">
        <is>
          <t>Low</t>
        </is>
      </c>
      <c r="E27" s="39" t="inlineStr">
        <is>
          <t>Low</t>
        </is>
      </c>
      <c r="F27" s="85" t="inlineStr">
        <is>
          <t>High</t>
        </is>
      </c>
      <c r="G27" s="39" t="inlineStr">
        <is>
          <t>Low</t>
        </is>
      </c>
      <c r="H27" s="39" t="inlineStr">
        <is>
          <t>Low</t>
        </is>
      </c>
      <c r="I27" s="39" t="inlineStr">
        <is>
          <t>Low</t>
        </is>
      </c>
      <c r="N27" s="85" t="inlineStr">
        <is>
          <t>Y</t>
        </is>
      </c>
      <c r="O27" s="85" t="inlineStr">
        <is>
          <t>Y</t>
        </is>
      </c>
      <c r="P27" s="85" t="inlineStr">
        <is>
          <t>Y</t>
        </is>
      </c>
      <c r="Q27" s="85" t="inlineStr">
        <is>
          <t>Low</t>
        </is>
      </c>
      <c r="R27" s="85" t="inlineStr">
        <is>
          <t>Low</t>
        </is>
      </c>
      <c r="S27" s="85" t="inlineStr">
        <is>
          <t>Y</t>
        </is>
      </c>
      <c r="T27" s="85" t="inlineStr">
        <is>
          <t>Y</t>
        </is>
      </c>
      <c r="U27" s="85" t="inlineStr">
        <is>
          <t>Low</t>
        </is>
      </c>
      <c r="V27" s="85" t="inlineStr">
        <is>
          <t>Low</t>
        </is>
      </c>
      <c r="W27" s="85" t="inlineStr">
        <is>
          <t>Y</t>
        </is>
      </c>
      <c r="X27" s="85" t="inlineStr">
        <is>
          <t>Y</t>
        </is>
      </c>
      <c r="Y27" s="85" t="inlineStr">
        <is>
          <t>Low</t>
        </is>
      </c>
      <c r="Z27" s="85" t="inlineStr">
        <is>
          <t>Low</t>
        </is>
      </c>
      <c r="AA27" s="85" t="inlineStr">
        <is>
          <t>Y</t>
        </is>
      </c>
      <c r="AB27" s="85" t="inlineStr">
        <is>
          <t>N</t>
        </is>
      </c>
      <c r="AC27" s="85" t="inlineStr">
        <is>
          <t>Y</t>
        </is>
      </c>
      <c r="AD27" s="85" t="inlineStr">
        <is>
          <t>N</t>
        </is>
      </c>
      <c r="AE27" s="85" t="inlineStr">
        <is>
          <t>High</t>
        </is>
      </c>
    </row>
    <row r="28">
      <c r="A28" s="5" t="inlineStr">
        <is>
          <t>Zhang et al. (2022)</t>
        </is>
      </c>
      <c r="B28" s="5" t="inlineStr">
        <is>
          <t>index test</t>
        </is>
      </c>
      <c r="C28" s="39" t="inlineStr">
        <is>
          <t>High</t>
        </is>
      </c>
      <c r="D28" s="39" t="inlineStr">
        <is>
          <t>Low</t>
        </is>
      </c>
      <c r="E28" s="39" t="inlineStr">
        <is>
          <t>Unclear</t>
        </is>
      </c>
      <c r="F28" s="39" t="inlineStr">
        <is>
          <t>Low</t>
        </is>
      </c>
      <c r="G28" s="39" t="inlineStr">
        <is>
          <t>High</t>
        </is>
      </c>
      <c r="H28" s="39" t="inlineStr">
        <is>
          <t>Low</t>
        </is>
      </c>
      <c r="I28" s="39" t="inlineStr">
        <is>
          <t>High</t>
        </is>
      </c>
      <c r="J28" s="85" t="inlineStr">
        <is>
          <t>High</t>
        </is>
      </c>
      <c r="K28" s="85" t="inlineStr">
        <is>
          <t>Low</t>
        </is>
      </c>
      <c r="L28" s="85" t="inlineStr">
        <is>
          <t>Unclear</t>
        </is>
      </c>
      <c r="M28" s="85" t="inlineStr">
        <is>
          <t>Low</t>
        </is>
      </c>
      <c r="N28" s="85" t="inlineStr">
        <is>
          <t>N</t>
        </is>
      </c>
      <c r="O28" s="85" t="inlineStr">
        <is>
          <t>N</t>
        </is>
      </c>
      <c r="P28" s="85" t="inlineStr">
        <is>
          <t>Y</t>
        </is>
      </c>
      <c r="Q28" s="85" t="inlineStr">
        <is>
          <t>High</t>
        </is>
      </c>
      <c r="R28" s="85" t="inlineStr">
        <is>
          <t>High</t>
        </is>
      </c>
      <c r="S28" s="85" t="inlineStr">
        <is>
          <t>Y</t>
        </is>
      </c>
      <c r="T28" s="85" t="inlineStr">
        <is>
          <t>Y</t>
        </is>
      </c>
      <c r="U28" s="85" t="inlineStr">
        <is>
          <t>Low</t>
        </is>
      </c>
      <c r="V28" s="85" t="inlineStr">
        <is>
          <t>Low</t>
        </is>
      </c>
      <c r="W28" s="85" t="inlineStr">
        <is>
          <t>U</t>
        </is>
      </c>
      <c r="X28" s="85" t="inlineStr">
        <is>
          <t>Y</t>
        </is>
      </c>
      <c r="Y28" s="85" t="inlineStr">
        <is>
          <t>Unclear</t>
        </is>
      </c>
      <c r="Z28" s="85" t="inlineStr">
        <is>
          <t>Unclear</t>
        </is>
      </c>
      <c r="AA28" s="85" t="inlineStr">
        <is>
          <t>Y</t>
        </is>
      </c>
      <c r="AB28" s="85" t="inlineStr">
        <is>
          <t>Y</t>
        </is>
      </c>
      <c r="AC28" s="85" t="inlineStr">
        <is>
          <t>Y</t>
        </is>
      </c>
      <c r="AD28" s="85" t="inlineStr">
        <is>
          <t>Y</t>
        </is>
      </c>
      <c r="AE28" s="85" t="inlineStr">
        <is>
          <t>Low</t>
        </is>
      </c>
      <c r="AF28" s="85" t="inlineStr">
        <is>
          <t>N</t>
        </is>
      </c>
      <c r="AG28" s="85" t="inlineStr">
        <is>
          <t>Y</t>
        </is>
      </c>
      <c r="AH28" s="85" t="inlineStr">
        <is>
          <t>NA</t>
        </is>
      </c>
      <c r="AI28" s="85" t="inlineStr">
        <is>
          <t>NA</t>
        </is>
      </c>
      <c r="AJ28" s="85" t="inlineStr">
        <is>
          <t>High</t>
        </is>
      </c>
      <c r="AK28" s="85" t="inlineStr">
        <is>
          <t>Y</t>
        </is>
      </c>
      <c r="AL28" s="85" t="inlineStr">
        <is>
          <t>Y</t>
        </is>
      </c>
      <c r="AM28" s="85" t="inlineStr">
        <is>
          <t>Y</t>
        </is>
      </c>
      <c r="AN28" s="85" t="inlineStr">
        <is>
          <t>Y</t>
        </is>
      </c>
      <c r="AO28" s="85" t="inlineStr">
        <is>
          <t>Low</t>
        </is>
      </c>
      <c r="AP28" s="85" t="inlineStr">
        <is>
          <t>N</t>
        </is>
      </c>
      <c r="AQ28" s="85" t="inlineStr">
        <is>
          <t>U</t>
        </is>
      </c>
      <c r="AR28" s="85" t="inlineStr">
        <is>
          <t>Unclear</t>
        </is>
      </c>
      <c r="AS28" s="85" t="inlineStr">
        <is>
          <t>Y</t>
        </is>
      </c>
      <c r="AT28" s="85" t="inlineStr">
        <is>
          <t>Y</t>
        </is>
      </c>
      <c r="AU28" s="85" t="inlineStr">
        <is>
          <t>Y</t>
        </is>
      </c>
      <c r="AV28" s="85" t="inlineStr">
        <is>
          <t>Y</t>
        </is>
      </c>
      <c r="AW28" s="85" t="inlineStr">
        <is>
          <t>Low</t>
        </is>
      </c>
    </row>
    <row r="29">
      <c r="B29" s="86" t="inlineStr">
        <is>
          <t>reference standard</t>
        </is>
      </c>
      <c r="C29" s="39" t="inlineStr">
        <is>
          <t>High</t>
        </is>
      </c>
      <c r="D29" s="39" t="inlineStr">
        <is>
          <t>Low</t>
        </is>
      </c>
      <c r="E29" s="39" t="inlineStr">
        <is>
          <t>Unclear</t>
        </is>
      </c>
      <c r="F29" s="39" t="inlineStr">
        <is>
          <t>Low</t>
        </is>
      </c>
      <c r="G29" s="39" t="inlineStr">
        <is>
          <t>High</t>
        </is>
      </c>
      <c r="H29" s="39" t="inlineStr">
        <is>
          <t>Low</t>
        </is>
      </c>
      <c r="I29" s="39" t="inlineStr">
        <is>
          <t>High</t>
        </is>
      </c>
      <c r="N29" s="85" t="inlineStr">
        <is>
          <t>N</t>
        </is>
      </c>
      <c r="O29" s="85" t="inlineStr">
        <is>
          <t>N</t>
        </is>
      </c>
      <c r="P29" s="85" t="inlineStr">
        <is>
          <t>Y</t>
        </is>
      </c>
      <c r="Q29" s="85" t="inlineStr">
        <is>
          <t>High</t>
        </is>
      </c>
      <c r="R29" s="85" t="inlineStr">
        <is>
          <t>High</t>
        </is>
      </c>
      <c r="S29" s="85" t="inlineStr">
        <is>
          <t>Y</t>
        </is>
      </c>
      <c r="T29" s="85" t="inlineStr">
        <is>
          <t>Y</t>
        </is>
      </c>
      <c r="U29" s="85" t="inlineStr">
        <is>
          <t>Low</t>
        </is>
      </c>
      <c r="V29" s="85" t="inlineStr">
        <is>
          <t>Low</t>
        </is>
      </c>
      <c r="W29" s="85" t="inlineStr">
        <is>
          <t>U</t>
        </is>
      </c>
      <c r="X29" s="85" t="inlineStr">
        <is>
          <t>Y</t>
        </is>
      </c>
      <c r="Y29" s="85" t="inlineStr">
        <is>
          <t>Unclear</t>
        </is>
      </c>
      <c r="Z29" s="85" t="inlineStr">
        <is>
          <t>Unclear</t>
        </is>
      </c>
      <c r="AA29" s="85" t="inlineStr">
        <is>
          <t>Y</t>
        </is>
      </c>
      <c r="AB29" s="85" t="inlineStr">
        <is>
          <t>Y</t>
        </is>
      </c>
      <c r="AC29" s="85" t="inlineStr">
        <is>
          <t>Y</t>
        </is>
      </c>
      <c r="AD29" s="85" t="inlineStr">
        <is>
          <t>Y</t>
        </is>
      </c>
      <c r="AE29" s="85" t="inlineStr">
        <is>
          <t>Low</t>
        </is>
      </c>
    </row>
    <row r="30">
      <c r="A30" s="5" t="inlineStr">
        <is>
          <t>Hsieh et al. (2021)</t>
        </is>
      </c>
      <c r="B30" s="5" t="inlineStr">
        <is>
          <t>index test</t>
        </is>
      </c>
      <c r="C30" s="39" t="inlineStr">
        <is>
          <t>Unclear</t>
        </is>
      </c>
      <c r="D30" s="39" t="inlineStr">
        <is>
          <t>Low</t>
        </is>
      </c>
      <c r="E30" s="39" t="inlineStr">
        <is>
          <t>Low</t>
        </is>
      </c>
      <c r="F30" s="85" t="inlineStr">
        <is>
          <t>High</t>
        </is>
      </c>
      <c r="G30" s="39" t="inlineStr">
        <is>
          <t>Low</t>
        </is>
      </c>
      <c r="H30" s="39" t="inlineStr">
        <is>
          <t>Low</t>
        </is>
      </c>
      <c r="I30" s="39" t="inlineStr">
        <is>
          <t>Low</t>
        </is>
      </c>
      <c r="J30" s="85" t="inlineStr">
        <is>
          <t>Unclear</t>
        </is>
      </c>
      <c r="K30" s="85" t="inlineStr">
        <is>
          <t>Low</t>
        </is>
      </c>
      <c r="L30" s="85" t="inlineStr">
        <is>
          <t>Low</t>
        </is>
      </c>
      <c r="M30" s="85" t="inlineStr">
        <is>
          <t>High</t>
        </is>
      </c>
      <c r="N30" s="85" t="inlineStr">
        <is>
          <t>Y</t>
        </is>
      </c>
      <c r="O30" s="85" t="inlineStr">
        <is>
          <t>Y</t>
        </is>
      </c>
      <c r="P30" s="85" t="inlineStr">
        <is>
          <t>N</t>
        </is>
      </c>
      <c r="Q30" s="85" t="inlineStr">
        <is>
          <t>Unclear</t>
        </is>
      </c>
      <c r="R30" s="85" t="inlineStr">
        <is>
          <t>Low</t>
        </is>
      </c>
      <c r="S30" s="85" t="inlineStr">
        <is>
          <t>Y</t>
        </is>
      </c>
      <c r="T30" s="85" t="inlineStr">
        <is>
          <t>Y</t>
        </is>
      </c>
      <c r="U30" s="85" t="inlineStr">
        <is>
          <t>Low</t>
        </is>
      </c>
      <c r="V30" s="85" t="inlineStr">
        <is>
          <t>Low</t>
        </is>
      </c>
      <c r="W30" s="85" t="inlineStr">
        <is>
          <t>Y</t>
        </is>
      </c>
      <c r="X30" s="85" t="inlineStr">
        <is>
          <t>Y</t>
        </is>
      </c>
      <c r="Y30" s="85" t="inlineStr">
        <is>
          <t>Low</t>
        </is>
      </c>
      <c r="Z30" s="85" t="inlineStr">
        <is>
          <t>Low</t>
        </is>
      </c>
      <c r="AA30" s="85" t="inlineStr">
        <is>
          <t>Y</t>
        </is>
      </c>
      <c r="AB30" s="85" t="inlineStr">
        <is>
          <t>N</t>
        </is>
      </c>
      <c r="AC30" s="85" t="inlineStr">
        <is>
          <t>Y</t>
        </is>
      </c>
      <c r="AD30" s="85" t="inlineStr">
        <is>
          <t>N</t>
        </is>
      </c>
      <c r="AE30" s="85" t="inlineStr">
        <is>
          <t>High</t>
        </is>
      </c>
      <c r="AF30" s="85" t="inlineStr">
        <is>
          <t>Y</t>
        </is>
      </c>
      <c r="AG30" s="85" t="inlineStr">
        <is>
          <t>Y</t>
        </is>
      </c>
      <c r="AH30" s="85" t="inlineStr">
        <is>
          <t>NA</t>
        </is>
      </c>
      <c r="AI30" s="85" t="inlineStr">
        <is>
          <t>NA</t>
        </is>
      </c>
      <c r="AJ30" s="85" t="inlineStr">
        <is>
          <t>Unclear</t>
        </is>
      </c>
      <c r="AK30" s="85" t="inlineStr">
        <is>
          <t>Y</t>
        </is>
      </c>
      <c r="AL30" s="85" t="inlineStr">
        <is>
          <t>Y</t>
        </is>
      </c>
      <c r="AM30" s="85" t="inlineStr">
        <is>
          <t>Y</t>
        </is>
      </c>
      <c r="AN30" s="85" t="inlineStr">
        <is>
          <t>Y</t>
        </is>
      </c>
      <c r="AO30" s="85" t="inlineStr">
        <is>
          <t>Low</t>
        </is>
      </c>
      <c r="AP30" s="85" t="inlineStr">
        <is>
          <t>Y</t>
        </is>
      </c>
      <c r="AQ30" s="85" t="inlineStr">
        <is>
          <t>Y</t>
        </is>
      </c>
      <c r="AR30" s="85" t="inlineStr">
        <is>
          <t>Low</t>
        </is>
      </c>
      <c r="AS30" s="85" t="inlineStr">
        <is>
          <t>N</t>
        </is>
      </c>
      <c r="AT30" s="85" t="inlineStr">
        <is>
          <t>Y</t>
        </is>
      </c>
      <c r="AU30" s="85" t="inlineStr">
        <is>
          <t>Y</t>
        </is>
      </c>
      <c r="AV30" s="85" t="inlineStr">
        <is>
          <t>Y</t>
        </is>
      </c>
      <c r="AW30" s="85" t="inlineStr">
        <is>
          <t>High</t>
        </is>
      </c>
    </row>
    <row r="31">
      <c r="B31" s="86" t="inlineStr">
        <is>
          <t>reference standard</t>
        </is>
      </c>
      <c r="C31" s="39" t="inlineStr">
        <is>
          <t>Unclear</t>
        </is>
      </c>
      <c r="D31" s="39" t="inlineStr">
        <is>
          <t>Low</t>
        </is>
      </c>
      <c r="E31" s="39" t="inlineStr">
        <is>
          <t>Low</t>
        </is>
      </c>
      <c r="F31" s="85" t="inlineStr">
        <is>
          <t>High</t>
        </is>
      </c>
      <c r="G31" s="39" t="inlineStr">
        <is>
          <t>Low</t>
        </is>
      </c>
      <c r="H31" s="39" t="inlineStr">
        <is>
          <t>Low</t>
        </is>
      </c>
      <c r="I31" s="39" t="inlineStr">
        <is>
          <t>Low</t>
        </is>
      </c>
      <c r="N31" s="85" t="inlineStr">
        <is>
          <t>Y</t>
        </is>
      </c>
      <c r="O31" s="85" t="inlineStr">
        <is>
          <t>Y</t>
        </is>
      </c>
      <c r="P31" s="85" t="inlineStr">
        <is>
          <t>N</t>
        </is>
      </c>
      <c r="Q31" s="85" t="inlineStr">
        <is>
          <t>Unclear</t>
        </is>
      </c>
      <c r="R31" s="85" t="inlineStr">
        <is>
          <t>Low</t>
        </is>
      </c>
      <c r="S31" s="85" t="inlineStr">
        <is>
          <t>Y</t>
        </is>
      </c>
      <c r="T31" s="85" t="inlineStr">
        <is>
          <t>Y</t>
        </is>
      </c>
      <c r="U31" s="85" t="inlineStr">
        <is>
          <t>Low</t>
        </is>
      </c>
      <c r="V31" s="85" t="inlineStr">
        <is>
          <t>Low</t>
        </is>
      </c>
      <c r="W31" s="85" t="inlineStr">
        <is>
          <t>Y</t>
        </is>
      </c>
      <c r="X31" s="85" t="inlineStr">
        <is>
          <t>Y</t>
        </is>
      </c>
      <c r="Y31" s="85" t="inlineStr">
        <is>
          <t>Low</t>
        </is>
      </c>
      <c r="Z31" s="85" t="inlineStr">
        <is>
          <t>Low</t>
        </is>
      </c>
      <c r="AA31" s="85" t="inlineStr">
        <is>
          <t>Y</t>
        </is>
      </c>
      <c r="AB31" s="85" t="inlineStr">
        <is>
          <t>N</t>
        </is>
      </c>
      <c r="AC31" s="85" t="inlineStr">
        <is>
          <t>Y</t>
        </is>
      </c>
      <c r="AD31" s="85" t="inlineStr">
        <is>
          <t>N</t>
        </is>
      </c>
      <c r="AE31" s="85" t="inlineStr">
        <is>
          <t>High</t>
        </is>
      </c>
    </row>
    <row r="32">
      <c r="A32" s="5" t="inlineStr">
        <is>
          <t>Kim et al. (2021)</t>
        </is>
      </c>
      <c r="B32" s="5" t="inlineStr">
        <is>
          <t>index test</t>
        </is>
      </c>
      <c r="C32" s="85" t="inlineStr">
        <is>
          <t>Low</t>
        </is>
      </c>
      <c r="D32" s="85" t="inlineStr">
        <is>
          <t>Low</t>
        </is>
      </c>
      <c r="E32" s="85" t="inlineStr">
        <is>
          <t>Low</t>
        </is>
      </c>
      <c r="F32" s="85" t="inlineStr">
        <is>
          <t>Low</t>
        </is>
      </c>
      <c r="G32" s="85" t="inlineStr">
        <is>
          <t>Low</t>
        </is>
      </c>
      <c r="H32" s="85" t="inlineStr">
        <is>
          <t>Low</t>
        </is>
      </c>
      <c r="I32" s="85" t="inlineStr">
        <is>
          <t>Low</t>
        </is>
      </c>
      <c r="J32" s="85" t="inlineStr">
        <is>
          <t>Low</t>
        </is>
      </c>
      <c r="K32" s="85" t="inlineStr">
        <is>
          <t>Low</t>
        </is>
      </c>
      <c r="L32" s="85" t="inlineStr">
        <is>
          <t>Low</t>
        </is>
      </c>
      <c r="M32" s="85" t="inlineStr">
        <is>
          <t>Low</t>
        </is>
      </c>
      <c r="N32" s="85" t="inlineStr">
        <is>
          <t>Y</t>
        </is>
      </c>
      <c r="O32" s="85" t="inlineStr">
        <is>
          <t>Y</t>
        </is>
      </c>
      <c r="P32" s="85" t="inlineStr">
        <is>
          <t>Y</t>
        </is>
      </c>
      <c r="Q32" s="85" t="inlineStr">
        <is>
          <t>Low</t>
        </is>
      </c>
      <c r="R32" s="85" t="inlineStr">
        <is>
          <t>Low</t>
        </is>
      </c>
      <c r="S32" s="85" t="inlineStr">
        <is>
          <t>Y</t>
        </is>
      </c>
      <c r="T32" s="85" t="inlineStr">
        <is>
          <t>Y</t>
        </is>
      </c>
      <c r="U32" s="85" t="inlineStr">
        <is>
          <t>Low</t>
        </is>
      </c>
      <c r="V32" s="85" t="inlineStr">
        <is>
          <t>Low</t>
        </is>
      </c>
      <c r="W32" s="85" t="inlineStr">
        <is>
          <t>Y</t>
        </is>
      </c>
      <c r="X32" s="85" t="inlineStr">
        <is>
          <t>Y</t>
        </is>
      </c>
      <c r="Y32" s="85" t="inlineStr">
        <is>
          <t>Low</t>
        </is>
      </c>
      <c r="Z32" s="85" t="inlineStr">
        <is>
          <t>Low</t>
        </is>
      </c>
      <c r="AA32" s="85" t="inlineStr">
        <is>
          <t>Y</t>
        </is>
      </c>
      <c r="AB32" s="85" t="inlineStr">
        <is>
          <t>Y</t>
        </is>
      </c>
      <c r="AC32" s="85" t="inlineStr">
        <is>
          <t>Y</t>
        </is>
      </c>
      <c r="AD32" s="85" t="inlineStr">
        <is>
          <t>Y</t>
        </is>
      </c>
      <c r="AE32" s="85" t="inlineStr">
        <is>
          <t>Low</t>
        </is>
      </c>
      <c r="AF32" s="85" t="inlineStr">
        <is>
          <t>Y</t>
        </is>
      </c>
      <c r="AG32" s="85" t="inlineStr">
        <is>
          <t>Y</t>
        </is>
      </c>
      <c r="AH32" s="85" t="inlineStr">
        <is>
          <t>Y</t>
        </is>
      </c>
      <c r="AI32" s="85" t="inlineStr">
        <is>
          <t>Y</t>
        </is>
      </c>
      <c r="AJ32" s="85" t="inlineStr">
        <is>
          <t>Low</t>
        </is>
      </c>
      <c r="AK32" s="85" t="inlineStr">
        <is>
          <t>Y</t>
        </is>
      </c>
      <c r="AL32" s="85" t="inlineStr">
        <is>
          <t>Y</t>
        </is>
      </c>
      <c r="AM32" s="85" t="inlineStr">
        <is>
          <t>Y</t>
        </is>
      </c>
      <c r="AN32" s="85" t="inlineStr">
        <is>
          <t>Y</t>
        </is>
      </c>
      <c r="AO32" s="85" t="inlineStr">
        <is>
          <t>Low</t>
        </is>
      </c>
      <c r="AP32" s="85" t="inlineStr">
        <is>
          <t>Y</t>
        </is>
      </c>
      <c r="AQ32" s="85" t="inlineStr">
        <is>
          <t>Y</t>
        </is>
      </c>
      <c r="AR32" s="85" t="inlineStr">
        <is>
          <t>Low</t>
        </is>
      </c>
      <c r="AS32" s="85" t="inlineStr">
        <is>
          <t>Y</t>
        </is>
      </c>
      <c r="AT32" s="85" t="inlineStr">
        <is>
          <t>Y</t>
        </is>
      </c>
      <c r="AU32" s="85" t="inlineStr">
        <is>
          <t>N</t>
        </is>
      </c>
      <c r="AV32" s="85" t="inlineStr">
        <is>
          <t>N</t>
        </is>
      </c>
      <c r="AW32" s="85" t="inlineStr">
        <is>
          <t>Low</t>
        </is>
      </c>
    </row>
    <row r="33">
      <c r="B33" s="86" t="inlineStr">
        <is>
          <t>reference standard</t>
        </is>
      </c>
      <c r="C33" s="85" t="inlineStr">
        <is>
          <t>Low</t>
        </is>
      </c>
      <c r="D33" s="85" t="inlineStr">
        <is>
          <t>Low</t>
        </is>
      </c>
      <c r="E33" s="85" t="inlineStr">
        <is>
          <t>Low</t>
        </is>
      </c>
      <c r="F33" s="85" t="inlineStr">
        <is>
          <t>Low</t>
        </is>
      </c>
      <c r="G33" s="85" t="inlineStr">
        <is>
          <t>Low</t>
        </is>
      </c>
      <c r="H33" s="85" t="inlineStr">
        <is>
          <t>Low</t>
        </is>
      </c>
      <c r="I33" s="85" t="inlineStr">
        <is>
          <t>Low</t>
        </is>
      </c>
      <c r="N33" s="85" t="inlineStr">
        <is>
          <t>Y</t>
        </is>
      </c>
      <c r="O33" s="85" t="inlineStr">
        <is>
          <t>Y</t>
        </is>
      </c>
      <c r="P33" s="85" t="inlineStr">
        <is>
          <t>Y</t>
        </is>
      </c>
      <c r="Q33" s="85" t="inlineStr">
        <is>
          <t>Low</t>
        </is>
      </c>
      <c r="R33" s="85" t="inlineStr">
        <is>
          <t>Low</t>
        </is>
      </c>
      <c r="S33" s="85" t="inlineStr">
        <is>
          <t>Y</t>
        </is>
      </c>
      <c r="T33" s="85" t="inlineStr">
        <is>
          <t>Y</t>
        </is>
      </c>
      <c r="U33" s="85" t="inlineStr">
        <is>
          <t>Low</t>
        </is>
      </c>
      <c r="V33" s="85" t="inlineStr">
        <is>
          <t>Low</t>
        </is>
      </c>
      <c r="W33" s="85" t="inlineStr">
        <is>
          <t>Y</t>
        </is>
      </c>
      <c r="X33" s="85" t="inlineStr">
        <is>
          <t>Y</t>
        </is>
      </c>
      <c r="Y33" s="85" t="inlineStr">
        <is>
          <t>Low</t>
        </is>
      </c>
      <c r="Z33" s="85" t="inlineStr">
        <is>
          <t>Low</t>
        </is>
      </c>
      <c r="AA33" s="85" t="inlineStr">
        <is>
          <t>Y</t>
        </is>
      </c>
      <c r="AB33" s="85" t="inlineStr">
        <is>
          <t>Y</t>
        </is>
      </c>
      <c r="AC33" s="85" t="inlineStr">
        <is>
          <t>Y</t>
        </is>
      </c>
      <c r="AD33" s="85" t="inlineStr">
        <is>
          <t>Y</t>
        </is>
      </c>
      <c r="AE33" s="85" t="inlineStr">
        <is>
          <t>Low</t>
        </is>
      </c>
    </row>
    <row r="34">
      <c r="A34" s="5" t="inlineStr">
        <is>
          <t>Li et al. (2021)</t>
        </is>
      </c>
      <c r="B34" s="5" t="inlineStr">
        <is>
          <t>index test</t>
        </is>
      </c>
      <c r="C34" s="39" t="inlineStr">
        <is>
          <t>Unclear</t>
        </is>
      </c>
      <c r="D34" s="39" t="inlineStr">
        <is>
          <t>Low</t>
        </is>
      </c>
      <c r="E34" s="39" t="inlineStr">
        <is>
          <t>Low</t>
        </is>
      </c>
      <c r="F34" s="85" t="inlineStr">
        <is>
          <t>High</t>
        </is>
      </c>
      <c r="G34" s="39" t="inlineStr">
        <is>
          <t>Low</t>
        </is>
      </c>
      <c r="H34" s="39" t="inlineStr">
        <is>
          <t>Low</t>
        </is>
      </c>
      <c r="I34" s="39" t="inlineStr">
        <is>
          <t>Low</t>
        </is>
      </c>
      <c r="J34" s="85" t="inlineStr">
        <is>
          <t>Unclear</t>
        </is>
      </c>
      <c r="K34" s="85" t="inlineStr">
        <is>
          <t>Low</t>
        </is>
      </c>
      <c r="L34" s="85" t="inlineStr">
        <is>
          <t>Low</t>
        </is>
      </c>
      <c r="M34" s="85" t="inlineStr">
        <is>
          <t>High</t>
        </is>
      </c>
      <c r="N34" s="85" t="inlineStr">
        <is>
          <t>Y</t>
        </is>
      </c>
      <c r="O34" s="85" t="inlineStr">
        <is>
          <t>Y</t>
        </is>
      </c>
      <c r="P34" s="85" t="inlineStr">
        <is>
          <t>N</t>
        </is>
      </c>
      <c r="Q34" s="85" t="inlineStr">
        <is>
          <t>Unclear</t>
        </is>
      </c>
      <c r="R34" s="85" t="inlineStr">
        <is>
          <t>Low</t>
        </is>
      </c>
      <c r="S34" s="85" t="inlineStr">
        <is>
          <t>Y</t>
        </is>
      </c>
      <c r="T34" s="85" t="inlineStr">
        <is>
          <t>Y</t>
        </is>
      </c>
      <c r="U34" s="85" t="inlineStr">
        <is>
          <t>Low</t>
        </is>
      </c>
      <c r="V34" s="85" t="inlineStr">
        <is>
          <t>Low</t>
        </is>
      </c>
      <c r="W34" s="85" t="inlineStr">
        <is>
          <t>Y</t>
        </is>
      </c>
      <c r="X34" s="85" t="inlineStr">
        <is>
          <t>Y</t>
        </is>
      </c>
      <c r="Y34" s="85" t="inlineStr">
        <is>
          <t>Low</t>
        </is>
      </c>
      <c r="Z34" s="85" t="inlineStr">
        <is>
          <t>Low</t>
        </is>
      </c>
      <c r="AA34" s="85" t="inlineStr">
        <is>
          <t>Y</t>
        </is>
      </c>
      <c r="AB34" s="85" t="inlineStr">
        <is>
          <t>N</t>
        </is>
      </c>
      <c r="AC34" s="85" t="inlineStr">
        <is>
          <t>Y</t>
        </is>
      </c>
      <c r="AD34" s="85" t="inlineStr">
        <is>
          <t>N</t>
        </is>
      </c>
      <c r="AE34" s="85" t="inlineStr">
        <is>
          <t>High</t>
        </is>
      </c>
      <c r="AF34" s="85" t="inlineStr">
        <is>
          <t>Y</t>
        </is>
      </c>
      <c r="AG34" s="85" t="inlineStr">
        <is>
          <t>Y</t>
        </is>
      </c>
      <c r="AH34" s="85" t="inlineStr">
        <is>
          <t>NA</t>
        </is>
      </c>
      <c r="AI34" s="85" t="inlineStr">
        <is>
          <t>NA</t>
        </is>
      </c>
      <c r="AJ34" s="85" t="inlineStr">
        <is>
          <t>Unclear</t>
        </is>
      </c>
      <c r="AK34" s="85" t="inlineStr">
        <is>
          <t>Y</t>
        </is>
      </c>
      <c r="AL34" s="85" t="inlineStr">
        <is>
          <t>Y</t>
        </is>
      </c>
      <c r="AM34" s="85" t="inlineStr">
        <is>
          <t>Y</t>
        </is>
      </c>
      <c r="AN34" s="85" t="inlineStr">
        <is>
          <t>Y</t>
        </is>
      </c>
      <c r="AO34" s="85" t="inlineStr">
        <is>
          <t>Low</t>
        </is>
      </c>
      <c r="AP34" s="85" t="inlineStr">
        <is>
          <t>Y</t>
        </is>
      </c>
      <c r="AQ34" s="85" t="inlineStr">
        <is>
          <t>Y</t>
        </is>
      </c>
      <c r="AR34" s="85" t="inlineStr">
        <is>
          <t>Low</t>
        </is>
      </c>
      <c r="AS34" s="85" t="inlineStr">
        <is>
          <t>N</t>
        </is>
      </c>
      <c r="AT34" s="85" t="inlineStr">
        <is>
          <t>Y</t>
        </is>
      </c>
      <c r="AU34" s="85" t="inlineStr">
        <is>
          <t>N</t>
        </is>
      </c>
      <c r="AV34" s="85" t="inlineStr">
        <is>
          <t>Y</t>
        </is>
      </c>
      <c r="AW34" s="85" t="inlineStr">
        <is>
          <t>High</t>
        </is>
      </c>
    </row>
    <row r="35">
      <c r="B35" s="86" t="inlineStr">
        <is>
          <t>reference standard</t>
        </is>
      </c>
      <c r="C35" s="39" t="inlineStr">
        <is>
          <t>Unclear</t>
        </is>
      </c>
      <c r="D35" s="39" t="inlineStr">
        <is>
          <t>Low</t>
        </is>
      </c>
      <c r="E35" s="39" t="inlineStr">
        <is>
          <t>Low</t>
        </is>
      </c>
      <c r="F35" s="85" t="inlineStr">
        <is>
          <t>High</t>
        </is>
      </c>
      <c r="G35" s="39" t="inlineStr">
        <is>
          <t>Low</t>
        </is>
      </c>
      <c r="H35" s="39" t="inlineStr">
        <is>
          <t>Low</t>
        </is>
      </c>
      <c r="I35" s="39" t="inlineStr">
        <is>
          <t>Low</t>
        </is>
      </c>
      <c r="N35" s="85" t="inlineStr">
        <is>
          <t>Y</t>
        </is>
      </c>
      <c r="O35" s="85" t="inlineStr">
        <is>
          <t>Y</t>
        </is>
      </c>
      <c r="P35" s="85" t="inlineStr">
        <is>
          <t>N</t>
        </is>
      </c>
      <c r="Q35" s="85" t="inlineStr">
        <is>
          <t>Unclear</t>
        </is>
      </c>
      <c r="R35" s="85" t="inlineStr">
        <is>
          <t>Low</t>
        </is>
      </c>
      <c r="S35" s="85" t="inlineStr">
        <is>
          <t>Y</t>
        </is>
      </c>
      <c r="T35" s="85" t="inlineStr">
        <is>
          <t>Y</t>
        </is>
      </c>
      <c r="U35" s="85" t="inlineStr">
        <is>
          <t>Low</t>
        </is>
      </c>
      <c r="V35" s="85" t="inlineStr">
        <is>
          <t>Low</t>
        </is>
      </c>
      <c r="W35" s="85" t="inlineStr">
        <is>
          <t>Y</t>
        </is>
      </c>
      <c r="X35" s="85" t="inlineStr">
        <is>
          <t>Y</t>
        </is>
      </c>
      <c r="Y35" s="85" t="inlineStr">
        <is>
          <t>Low</t>
        </is>
      </c>
      <c r="Z35" s="85" t="inlineStr">
        <is>
          <t>Low</t>
        </is>
      </c>
      <c r="AA35" s="85" t="inlineStr">
        <is>
          <t>Y</t>
        </is>
      </c>
      <c r="AB35" s="85" t="inlineStr">
        <is>
          <t>N</t>
        </is>
      </c>
      <c r="AC35" s="85" t="inlineStr">
        <is>
          <t>Y</t>
        </is>
      </c>
      <c r="AD35" s="85" t="inlineStr">
        <is>
          <t>N</t>
        </is>
      </c>
      <c r="AE35" s="85" t="inlineStr">
        <is>
          <t>High</t>
        </is>
      </c>
    </row>
    <row r="36">
      <c r="A36" s="5" t="inlineStr">
        <is>
          <t>Noriega et al. (2021)</t>
        </is>
      </c>
      <c r="B36" s="5" t="inlineStr">
        <is>
          <t>index test</t>
        </is>
      </c>
      <c r="C36" s="39" t="inlineStr">
        <is>
          <t>High</t>
        </is>
      </c>
      <c r="D36" s="39" t="inlineStr">
        <is>
          <t>Low</t>
        </is>
      </c>
      <c r="E36" s="39" t="inlineStr">
        <is>
          <t>Low</t>
        </is>
      </c>
      <c r="F36" s="39" t="inlineStr">
        <is>
          <t>Low</t>
        </is>
      </c>
      <c r="G36" s="39" t="inlineStr">
        <is>
          <t>High</t>
        </is>
      </c>
      <c r="H36" s="39" t="inlineStr">
        <is>
          <t>Low</t>
        </is>
      </c>
      <c r="I36" s="39" t="inlineStr">
        <is>
          <t>Low</t>
        </is>
      </c>
      <c r="J36" s="85" t="inlineStr">
        <is>
          <t>High</t>
        </is>
      </c>
      <c r="K36" s="85" t="inlineStr">
        <is>
          <t>Low</t>
        </is>
      </c>
      <c r="L36" s="85" t="inlineStr">
        <is>
          <t>Low</t>
        </is>
      </c>
      <c r="M36" s="85" t="inlineStr">
        <is>
          <t>Low</t>
        </is>
      </c>
      <c r="N36" s="85" t="inlineStr">
        <is>
          <t>N</t>
        </is>
      </c>
      <c r="O36" s="85" t="inlineStr">
        <is>
          <t>N</t>
        </is>
      </c>
      <c r="P36" s="85" t="inlineStr">
        <is>
          <t>N</t>
        </is>
      </c>
      <c r="Q36" s="85" t="inlineStr">
        <is>
          <t>High</t>
        </is>
      </c>
      <c r="R36" s="85" t="inlineStr">
        <is>
          <t>High</t>
        </is>
      </c>
      <c r="S36" s="85" t="inlineStr">
        <is>
          <t>Y</t>
        </is>
      </c>
      <c r="T36" s="85" t="inlineStr">
        <is>
          <t>Y</t>
        </is>
      </c>
      <c r="U36" s="85" t="inlineStr">
        <is>
          <t>Low</t>
        </is>
      </c>
      <c r="V36" s="85" t="inlineStr">
        <is>
          <t>Low</t>
        </is>
      </c>
      <c r="W36" s="85" t="inlineStr">
        <is>
          <t>Y</t>
        </is>
      </c>
      <c r="X36" s="85" t="inlineStr">
        <is>
          <t>Y</t>
        </is>
      </c>
      <c r="Y36" s="85" t="inlineStr">
        <is>
          <t>Low</t>
        </is>
      </c>
      <c r="Z36" s="85" t="inlineStr">
        <is>
          <t>Low</t>
        </is>
      </c>
      <c r="AA36" s="85" t="inlineStr">
        <is>
          <t>Y</t>
        </is>
      </c>
      <c r="AB36" s="85" t="inlineStr">
        <is>
          <t>Y</t>
        </is>
      </c>
      <c r="AC36" s="85" t="inlineStr">
        <is>
          <t>Y</t>
        </is>
      </c>
      <c r="AD36" s="85" t="inlineStr">
        <is>
          <t>Y</t>
        </is>
      </c>
      <c r="AE36" s="85" t="inlineStr">
        <is>
          <t>Low</t>
        </is>
      </c>
      <c r="AF36" s="85" t="inlineStr">
        <is>
          <t>N</t>
        </is>
      </c>
      <c r="AG36" s="85" t="inlineStr">
        <is>
          <t>U</t>
        </is>
      </c>
      <c r="AH36" s="85" t="inlineStr">
        <is>
          <t>NA</t>
        </is>
      </c>
      <c r="AI36" s="85" t="inlineStr">
        <is>
          <t>NA</t>
        </is>
      </c>
      <c r="AJ36" s="85" t="inlineStr">
        <is>
          <t>High</t>
        </is>
      </c>
      <c r="AK36" s="85" t="inlineStr">
        <is>
          <t>Y</t>
        </is>
      </c>
      <c r="AL36" s="85" t="inlineStr">
        <is>
          <t>Y</t>
        </is>
      </c>
      <c r="AM36" s="85" t="inlineStr">
        <is>
          <t>Y</t>
        </is>
      </c>
      <c r="AN36" s="85" t="inlineStr">
        <is>
          <t>Y</t>
        </is>
      </c>
      <c r="AO36" s="85" t="inlineStr">
        <is>
          <t>Low</t>
        </is>
      </c>
      <c r="AP36" s="85" t="inlineStr">
        <is>
          <t>Y</t>
        </is>
      </c>
      <c r="AQ36" s="85" t="inlineStr">
        <is>
          <t>Y</t>
        </is>
      </c>
      <c r="AR36" s="85" t="inlineStr">
        <is>
          <t>Low</t>
        </is>
      </c>
      <c r="AS36" s="85" t="inlineStr">
        <is>
          <t>Y</t>
        </is>
      </c>
      <c r="AT36" s="85" t="inlineStr">
        <is>
          <t>Y</t>
        </is>
      </c>
      <c r="AU36" s="85" t="inlineStr">
        <is>
          <t>Y</t>
        </is>
      </c>
      <c r="AV36" s="85" t="inlineStr">
        <is>
          <t>Y</t>
        </is>
      </c>
      <c r="AW36" s="85" t="inlineStr">
        <is>
          <t>Low</t>
        </is>
      </c>
    </row>
    <row r="37">
      <c r="B37" s="86" t="inlineStr">
        <is>
          <t>reference standard</t>
        </is>
      </c>
      <c r="C37" s="39" t="inlineStr">
        <is>
          <t>High</t>
        </is>
      </c>
      <c r="D37" s="39" t="inlineStr">
        <is>
          <t>Low</t>
        </is>
      </c>
      <c r="E37" s="39" t="inlineStr">
        <is>
          <t>Low</t>
        </is>
      </c>
      <c r="F37" s="39" t="inlineStr">
        <is>
          <t>Low</t>
        </is>
      </c>
      <c r="G37" s="39" t="inlineStr">
        <is>
          <t>High</t>
        </is>
      </c>
      <c r="H37" s="39" t="inlineStr">
        <is>
          <t>Low</t>
        </is>
      </c>
      <c r="I37" s="39" t="inlineStr">
        <is>
          <t>Low</t>
        </is>
      </c>
      <c r="N37" s="85" t="inlineStr">
        <is>
          <t>N</t>
        </is>
      </c>
      <c r="O37" s="85" t="inlineStr">
        <is>
          <t>N</t>
        </is>
      </c>
      <c r="P37" s="85" t="inlineStr">
        <is>
          <t>N</t>
        </is>
      </c>
      <c r="Q37" s="85" t="inlineStr">
        <is>
          <t>High</t>
        </is>
      </c>
      <c r="R37" s="85" t="inlineStr">
        <is>
          <t>High</t>
        </is>
      </c>
      <c r="S37" s="85" t="inlineStr">
        <is>
          <t>Y</t>
        </is>
      </c>
      <c r="T37" s="85" t="inlineStr">
        <is>
          <t>Y</t>
        </is>
      </c>
      <c r="U37" s="85" t="inlineStr">
        <is>
          <t>Low</t>
        </is>
      </c>
      <c r="V37" s="85" t="inlineStr">
        <is>
          <t>Low</t>
        </is>
      </c>
      <c r="W37" s="85" t="inlineStr">
        <is>
          <t>Y</t>
        </is>
      </c>
      <c r="X37" s="85" t="inlineStr">
        <is>
          <t>Y</t>
        </is>
      </c>
      <c r="Y37" s="85" t="inlineStr">
        <is>
          <t>Low</t>
        </is>
      </c>
      <c r="Z37" s="85" t="inlineStr">
        <is>
          <t>Low</t>
        </is>
      </c>
      <c r="AA37" s="85" t="inlineStr">
        <is>
          <t>Y</t>
        </is>
      </c>
      <c r="AB37" s="85" t="inlineStr">
        <is>
          <t>Y</t>
        </is>
      </c>
      <c r="AC37" s="85" t="inlineStr">
        <is>
          <t>Y</t>
        </is>
      </c>
      <c r="AD37" s="85" t="inlineStr">
        <is>
          <t>Y</t>
        </is>
      </c>
      <c r="AE37" s="85" t="inlineStr">
        <is>
          <t>Low</t>
        </is>
      </c>
    </row>
    <row r="38">
      <c r="A38" s="5" t="inlineStr">
        <is>
          <t>Wintergerst et al. (2021)</t>
        </is>
      </c>
      <c r="B38" s="5" t="inlineStr">
        <is>
          <t>index test</t>
        </is>
      </c>
      <c r="C38" s="39" t="inlineStr">
        <is>
          <t>Low</t>
        </is>
      </c>
      <c r="D38" s="39" t="inlineStr">
        <is>
          <t>Low</t>
        </is>
      </c>
      <c r="E38" s="39" t="inlineStr">
        <is>
          <t>Low</t>
        </is>
      </c>
      <c r="F38" s="85" t="inlineStr">
        <is>
          <t>High</t>
        </is>
      </c>
      <c r="G38" s="39" t="inlineStr">
        <is>
          <t>Low</t>
        </is>
      </c>
      <c r="H38" s="39" t="inlineStr">
        <is>
          <t>Low</t>
        </is>
      </c>
      <c r="I38" s="39" t="inlineStr">
        <is>
          <t>Low</t>
        </is>
      </c>
      <c r="J38" s="85" t="inlineStr">
        <is>
          <t>Low</t>
        </is>
      </c>
      <c r="K38" s="85" t="inlineStr">
        <is>
          <t>Low</t>
        </is>
      </c>
      <c r="L38" s="85" t="inlineStr">
        <is>
          <t>Low</t>
        </is>
      </c>
      <c r="M38" s="85" t="inlineStr">
        <is>
          <t>High</t>
        </is>
      </c>
      <c r="N38" s="85" t="inlineStr">
        <is>
          <t>Y</t>
        </is>
      </c>
      <c r="O38" s="85" t="inlineStr">
        <is>
          <t>Y</t>
        </is>
      </c>
      <c r="P38" s="85" t="inlineStr">
        <is>
          <t>Y</t>
        </is>
      </c>
      <c r="Q38" s="85" t="inlineStr">
        <is>
          <t>Low</t>
        </is>
      </c>
      <c r="R38" s="85" t="inlineStr">
        <is>
          <t>Low</t>
        </is>
      </c>
      <c r="S38" s="85" t="inlineStr">
        <is>
          <t>Y</t>
        </is>
      </c>
      <c r="T38" s="85" t="inlineStr">
        <is>
          <t>Y</t>
        </is>
      </c>
      <c r="U38" s="85" t="inlineStr">
        <is>
          <t>Low</t>
        </is>
      </c>
      <c r="V38" s="85" t="inlineStr">
        <is>
          <t>Low</t>
        </is>
      </c>
      <c r="W38" s="85" t="inlineStr">
        <is>
          <t>Y</t>
        </is>
      </c>
      <c r="X38" s="85" t="inlineStr">
        <is>
          <t>Y</t>
        </is>
      </c>
      <c r="Y38" s="85" t="inlineStr">
        <is>
          <t>Low</t>
        </is>
      </c>
      <c r="Z38" s="85" t="inlineStr">
        <is>
          <t>Low</t>
        </is>
      </c>
      <c r="AA38" s="85" t="inlineStr">
        <is>
          <t>Y</t>
        </is>
      </c>
      <c r="AB38" s="85" t="inlineStr">
        <is>
          <t>N</t>
        </is>
      </c>
      <c r="AC38" s="85" t="inlineStr">
        <is>
          <t>Y</t>
        </is>
      </c>
      <c r="AD38" s="85" t="inlineStr">
        <is>
          <t>N</t>
        </is>
      </c>
      <c r="AE38" s="85" t="inlineStr">
        <is>
          <t>High</t>
        </is>
      </c>
      <c r="AF38" s="85" t="inlineStr">
        <is>
          <t>Y</t>
        </is>
      </c>
      <c r="AG38" s="85" t="inlineStr">
        <is>
          <t>Y</t>
        </is>
      </c>
      <c r="AH38" s="85" t="inlineStr">
        <is>
          <t>NA</t>
        </is>
      </c>
      <c r="AI38" s="85" t="inlineStr">
        <is>
          <t>NA</t>
        </is>
      </c>
      <c r="AJ38" s="85" t="inlineStr">
        <is>
          <t>Low</t>
        </is>
      </c>
      <c r="AK38" s="85" t="inlineStr">
        <is>
          <t>Y</t>
        </is>
      </c>
      <c r="AL38" s="85" t="inlineStr">
        <is>
          <t>Y</t>
        </is>
      </c>
      <c r="AM38" s="85" t="inlineStr">
        <is>
          <t>Y</t>
        </is>
      </c>
      <c r="AN38" s="85" t="inlineStr">
        <is>
          <t>Y</t>
        </is>
      </c>
      <c r="AO38" s="85" t="inlineStr">
        <is>
          <t>Low</t>
        </is>
      </c>
      <c r="AP38" s="85" t="inlineStr">
        <is>
          <t>Y</t>
        </is>
      </c>
      <c r="AQ38" s="85" t="inlineStr">
        <is>
          <t>Y</t>
        </is>
      </c>
      <c r="AR38" s="85" t="inlineStr">
        <is>
          <t>Low</t>
        </is>
      </c>
      <c r="AS38" s="85" t="inlineStr">
        <is>
          <t>N</t>
        </is>
      </c>
      <c r="AT38" s="85" t="inlineStr">
        <is>
          <t>Y</t>
        </is>
      </c>
      <c r="AU38" s="85" t="inlineStr">
        <is>
          <t>Y</t>
        </is>
      </c>
      <c r="AV38" s="85" t="inlineStr">
        <is>
          <t>N</t>
        </is>
      </c>
      <c r="AW38" s="85" t="inlineStr">
        <is>
          <t>High</t>
        </is>
      </c>
    </row>
    <row r="39">
      <c r="B39" s="86" t="inlineStr">
        <is>
          <t>reference standard</t>
        </is>
      </c>
      <c r="C39" s="39" t="inlineStr">
        <is>
          <t>Low</t>
        </is>
      </c>
      <c r="D39" s="39" t="inlineStr">
        <is>
          <t>Low</t>
        </is>
      </c>
      <c r="E39" s="39" t="inlineStr">
        <is>
          <t>Low</t>
        </is>
      </c>
      <c r="F39" s="85" t="inlineStr">
        <is>
          <t>High</t>
        </is>
      </c>
      <c r="G39" s="39" t="inlineStr">
        <is>
          <t>Low</t>
        </is>
      </c>
      <c r="H39" s="39" t="inlineStr">
        <is>
          <t>Low</t>
        </is>
      </c>
      <c r="I39" s="39" t="inlineStr">
        <is>
          <t>Low</t>
        </is>
      </c>
      <c r="N39" s="85" t="inlineStr">
        <is>
          <t>Y</t>
        </is>
      </c>
      <c r="O39" s="85" t="inlineStr">
        <is>
          <t>Y</t>
        </is>
      </c>
      <c r="P39" s="85" t="inlineStr">
        <is>
          <t>Y</t>
        </is>
      </c>
      <c r="Q39" s="85" t="inlineStr">
        <is>
          <t>Low</t>
        </is>
      </c>
      <c r="R39" s="85" t="inlineStr">
        <is>
          <t>Low</t>
        </is>
      </c>
      <c r="S39" s="85" t="inlineStr">
        <is>
          <t>Y</t>
        </is>
      </c>
      <c r="T39" s="85" t="inlineStr">
        <is>
          <t>Y</t>
        </is>
      </c>
      <c r="U39" s="85" t="inlineStr">
        <is>
          <t>Low</t>
        </is>
      </c>
      <c r="V39" s="85" t="inlineStr">
        <is>
          <t>Low</t>
        </is>
      </c>
      <c r="W39" s="85" t="inlineStr">
        <is>
          <t>Y</t>
        </is>
      </c>
      <c r="X39" s="85" t="inlineStr">
        <is>
          <t>Y</t>
        </is>
      </c>
      <c r="Y39" s="85" t="inlineStr">
        <is>
          <t>Low</t>
        </is>
      </c>
      <c r="Z39" s="85" t="inlineStr">
        <is>
          <t>Low</t>
        </is>
      </c>
      <c r="AA39" s="85" t="inlineStr">
        <is>
          <t>Y</t>
        </is>
      </c>
      <c r="AB39" s="85" t="inlineStr">
        <is>
          <t>N</t>
        </is>
      </c>
      <c r="AC39" s="85" t="inlineStr">
        <is>
          <t>Y</t>
        </is>
      </c>
      <c r="AD39" s="85" t="inlineStr">
        <is>
          <t>N</t>
        </is>
      </c>
      <c r="AE39" s="85" t="inlineStr">
        <is>
          <t>High</t>
        </is>
      </c>
    </row>
    <row r="40">
      <c r="A40" s="86" t="inlineStr">
        <is>
          <t>Gonz_x0001_alez-Gonzalo et al. (2020)</t>
        </is>
      </c>
      <c r="B40" s="5" t="inlineStr">
        <is>
          <t>index test</t>
        </is>
      </c>
      <c r="C40" s="39" t="inlineStr">
        <is>
          <t>Unclear</t>
        </is>
      </c>
      <c r="D40" s="39" t="inlineStr">
        <is>
          <t>Low</t>
        </is>
      </c>
      <c r="E40" s="39" t="inlineStr">
        <is>
          <t>Low</t>
        </is>
      </c>
      <c r="F40" s="85" t="inlineStr">
        <is>
          <t>High</t>
        </is>
      </c>
      <c r="G40" s="39" t="inlineStr">
        <is>
          <t>Low</t>
        </is>
      </c>
      <c r="H40" s="39" t="inlineStr">
        <is>
          <t>Low</t>
        </is>
      </c>
      <c r="I40" s="39" t="inlineStr">
        <is>
          <t>Low</t>
        </is>
      </c>
      <c r="J40" s="85" t="inlineStr">
        <is>
          <t>Unclear</t>
        </is>
      </c>
      <c r="K40" s="85" t="inlineStr">
        <is>
          <t>Low</t>
        </is>
      </c>
      <c r="L40" s="85" t="inlineStr">
        <is>
          <t>Low</t>
        </is>
      </c>
      <c r="M40" s="85" t="inlineStr">
        <is>
          <t>High</t>
        </is>
      </c>
      <c r="N40" s="85" t="inlineStr">
        <is>
          <t>Y</t>
        </is>
      </c>
      <c r="O40" s="85" t="inlineStr">
        <is>
          <t>Y</t>
        </is>
      </c>
      <c r="P40" s="85" t="inlineStr">
        <is>
          <t>Y</t>
        </is>
      </c>
      <c r="Q40" s="85" t="inlineStr">
        <is>
          <t>Low</t>
        </is>
      </c>
      <c r="R40" s="85" t="inlineStr">
        <is>
          <t>Low</t>
        </is>
      </c>
      <c r="S40" s="85" t="inlineStr">
        <is>
          <t>Y</t>
        </is>
      </c>
      <c r="T40" s="85" t="inlineStr">
        <is>
          <t>Y</t>
        </is>
      </c>
      <c r="U40" s="85" t="inlineStr">
        <is>
          <t>Low</t>
        </is>
      </c>
      <c r="V40" s="85" t="inlineStr">
        <is>
          <t>Low</t>
        </is>
      </c>
      <c r="W40" s="85" t="inlineStr">
        <is>
          <t>Y</t>
        </is>
      </c>
      <c r="X40" s="85" t="inlineStr">
        <is>
          <t>Y</t>
        </is>
      </c>
      <c r="Y40" s="85" t="inlineStr">
        <is>
          <t>Low</t>
        </is>
      </c>
      <c r="Z40" s="85" t="inlineStr">
        <is>
          <t>Low</t>
        </is>
      </c>
      <c r="AA40" s="85" t="inlineStr">
        <is>
          <t>Y</t>
        </is>
      </c>
      <c r="AB40" s="85" t="inlineStr">
        <is>
          <t>N</t>
        </is>
      </c>
      <c r="AC40" s="85" t="inlineStr">
        <is>
          <t>Y</t>
        </is>
      </c>
      <c r="AD40" s="85" t="inlineStr">
        <is>
          <t>N</t>
        </is>
      </c>
      <c r="AE40" s="85" t="inlineStr">
        <is>
          <t>High</t>
        </is>
      </c>
      <c r="AF40" s="85" t="inlineStr">
        <is>
          <t>N</t>
        </is>
      </c>
      <c r="AG40" s="85" t="inlineStr">
        <is>
          <t>Y</t>
        </is>
      </c>
      <c r="AH40" s="85" t="inlineStr">
        <is>
          <t>NA</t>
        </is>
      </c>
      <c r="AI40" s="85" t="inlineStr">
        <is>
          <t>NA</t>
        </is>
      </c>
      <c r="AJ40" s="85" t="inlineStr">
        <is>
          <t>Unclear</t>
        </is>
      </c>
      <c r="AK40" s="85" t="inlineStr">
        <is>
          <t>Y</t>
        </is>
      </c>
      <c r="AL40" s="85" t="inlineStr">
        <is>
          <t>Y</t>
        </is>
      </c>
      <c r="AM40" s="85" t="inlineStr">
        <is>
          <t>Y</t>
        </is>
      </c>
      <c r="AN40" s="85" t="inlineStr">
        <is>
          <t>Y</t>
        </is>
      </c>
      <c r="AO40" s="85" t="inlineStr">
        <is>
          <t>Low</t>
        </is>
      </c>
      <c r="AP40" s="85" t="inlineStr">
        <is>
          <t>Y</t>
        </is>
      </c>
      <c r="AQ40" s="85" t="inlineStr">
        <is>
          <t>Y</t>
        </is>
      </c>
      <c r="AR40" s="85" t="inlineStr">
        <is>
          <t>Low</t>
        </is>
      </c>
      <c r="AS40" s="85" t="inlineStr">
        <is>
          <t>N</t>
        </is>
      </c>
      <c r="AT40" s="85" t="inlineStr">
        <is>
          <t>Y</t>
        </is>
      </c>
      <c r="AU40" s="85" t="inlineStr">
        <is>
          <t>Y</t>
        </is>
      </c>
      <c r="AV40" s="85" t="inlineStr">
        <is>
          <t>Y</t>
        </is>
      </c>
      <c r="AW40" s="85" t="inlineStr">
        <is>
          <t>High</t>
        </is>
      </c>
    </row>
    <row r="41">
      <c r="B41" s="86" t="inlineStr">
        <is>
          <t>reference standard</t>
        </is>
      </c>
      <c r="C41" s="39" t="inlineStr">
        <is>
          <t>Unclear</t>
        </is>
      </c>
      <c r="D41" s="39" t="inlineStr">
        <is>
          <t>Low</t>
        </is>
      </c>
      <c r="E41" s="39" t="inlineStr">
        <is>
          <t>Low</t>
        </is>
      </c>
      <c r="F41" s="85" t="inlineStr">
        <is>
          <t>High</t>
        </is>
      </c>
      <c r="G41" s="39" t="inlineStr">
        <is>
          <t>Low</t>
        </is>
      </c>
      <c r="H41" s="39" t="inlineStr">
        <is>
          <t>Low</t>
        </is>
      </c>
      <c r="I41" s="39" t="inlineStr">
        <is>
          <t>Low</t>
        </is>
      </c>
      <c r="N41" s="85" t="inlineStr">
        <is>
          <t>Y</t>
        </is>
      </c>
      <c r="O41" s="85" t="inlineStr">
        <is>
          <t>Y</t>
        </is>
      </c>
      <c r="P41" s="85" t="inlineStr">
        <is>
          <t>Y</t>
        </is>
      </c>
      <c r="Q41" s="85" t="inlineStr">
        <is>
          <t>Low</t>
        </is>
      </c>
      <c r="R41" s="85" t="inlineStr">
        <is>
          <t>Low</t>
        </is>
      </c>
      <c r="S41" s="85" t="inlineStr">
        <is>
          <t>Y</t>
        </is>
      </c>
      <c r="T41" s="85" t="inlineStr">
        <is>
          <t>Y</t>
        </is>
      </c>
      <c r="U41" s="85" t="inlineStr">
        <is>
          <t>Low</t>
        </is>
      </c>
      <c r="V41" s="85" t="inlineStr">
        <is>
          <t>Low</t>
        </is>
      </c>
      <c r="W41" s="85" t="inlineStr">
        <is>
          <t>Y</t>
        </is>
      </c>
      <c r="X41" s="85" t="inlineStr">
        <is>
          <t>Y</t>
        </is>
      </c>
      <c r="Y41" s="85" t="inlineStr">
        <is>
          <t>Low</t>
        </is>
      </c>
      <c r="Z41" s="85" t="inlineStr">
        <is>
          <t>Low</t>
        </is>
      </c>
      <c r="AA41" s="85" t="inlineStr">
        <is>
          <t>Y</t>
        </is>
      </c>
      <c r="AB41" s="85" t="inlineStr">
        <is>
          <t>N</t>
        </is>
      </c>
      <c r="AC41" s="85" t="inlineStr">
        <is>
          <t>Y</t>
        </is>
      </c>
      <c r="AD41" s="85" t="inlineStr">
        <is>
          <t>N</t>
        </is>
      </c>
      <c r="AE41" s="85" t="inlineStr">
        <is>
          <t>High</t>
        </is>
      </c>
    </row>
    <row r="42">
      <c r="A42" s="5" t="inlineStr">
        <is>
          <t>Limwattanayingyong et al .(2020)</t>
        </is>
      </c>
      <c r="B42" s="5" t="inlineStr">
        <is>
          <t>index test</t>
        </is>
      </c>
      <c r="C42" s="85" t="inlineStr">
        <is>
          <t>High</t>
        </is>
      </c>
      <c r="D42" s="85" t="inlineStr">
        <is>
          <t>Unclear</t>
        </is>
      </c>
      <c r="E42" s="85" t="inlineStr">
        <is>
          <t>Low</t>
        </is>
      </c>
      <c r="F42" s="85" t="inlineStr">
        <is>
          <t>Low</t>
        </is>
      </c>
      <c r="G42" s="85" t="inlineStr">
        <is>
          <t>High</t>
        </is>
      </c>
      <c r="H42" s="85" t="inlineStr">
        <is>
          <t>Low</t>
        </is>
      </c>
      <c r="I42" s="85" t="inlineStr">
        <is>
          <t>Low</t>
        </is>
      </c>
      <c r="J42" s="85" t="inlineStr">
        <is>
          <t>High</t>
        </is>
      </c>
      <c r="K42" s="85" t="inlineStr">
        <is>
          <t>Unclear</t>
        </is>
      </c>
      <c r="L42" s="85" t="inlineStr">
        <is>
          <t>Low</t>
        </is>
      </c>
      <c r="M42" s="85" t="inlineStr">
        <is>
          <t>Low</t>
        </is>
      </c>
      <c r="N42" s="85" t="inlineStr">
        <is>
          <t>N</t>
        </is>
      </c>
      <c r="O42" s="85" t="inlineStr">
        <is>
          <t>N</t>
        </is>
      </c>
      <c r="P42" s="85" t="inlineStr">
        <is>
          <t>N</t>
        </is>
      </c>
      <c r="Q42" s="85" t="inlineStr">
        <is>
          <t>High</t>
        </is>
      </c>
      <c r="R42" s="85" t="inlineStr">
        <is>
          <t>High</t>
        </is>
      </c>
      <c r="S42" s="85" t="inlineStr">
        <is>
          <t>Y</t>
        </is>
      </c>
      <c r="T42" s="85" t="inlineStr">
        <is>
          <t>U</t>
        </is>
      </c>
      <c r="U42" s="85" t="inlineStr">
        <is>
          <t>Unclear</t>
        </is>
      </c>
      <c r="V42" s="85" t="inlineStr">
        <is>
          <t>Unclear</t>
        </is>
      </c>
      <c r="W42" s="85" t="inlineStr">
        <is>
          <t>Y</t>
        </is>
      </c>
      <c r="X42" s="85" t="inlineStr">
        <is>
          <t>Y</t>
        </is>
      </c>
      <c r="Y42" s="85" t="inlineStr">
        <is>
          <t>Low</t>
        </is>
      </c>
      <c r="Z42" s="85" t="inlineStr">
        <is>
          <t>Low</t>
        </is>
      </c>
      <c r="AA42" s="85" t="inlineStr">
        <is>
          <t>Y</t>
        </is>
      </c>
      <c r="AB42" s="85" t="inlineStr">
        <is>
          <t>Y</t>
        </is>
      </c>
      <c r="AC42" s="85" t="inlineStr">
        <is>
          <t>Y</t>
        </is>
      </c>
      <c r="AD42" s="85" t="inlineStr">
        <is>
          <t>Y</t>
        </is>
      </c>
      <c r="AE42" s="85" t="inlineStr">
        <is>
          <t>Low</t>
        </is>
      </c>
      <c r="AF42" s="85" t="inlineStr">
        <is>
          <t>N</t>
        </is>
      </c>
      <c r="AG42" s="85" t="inlineStr">
        <is>
          <t>Y</t>
        </is>
      </c>
      <c r="AH42" s="85" t="inlineStr">
        <is>
          <t>NA</t>
        </is>
      </c>
      <c r="AI42" s="85" t="inlineStr">
        <is>
          <t>NA</t>
        </is>
      </c>
      <c r="AJ42" s="85" t="inlineStr">
        <is>
          <t>High</t>
        </is>
      </c>
      <c r="AK42" s="85" t="inlineStr">
        <is>
          <t>Y</t>
        </is>
      </c>
      <c r="AL42" s="85" t="inlineStr">
        <is>
          <t>Y</t>
        </is>
      </c>
      <c r="AM42" s="85" t="inlineStr">
        <is>
          <t>Y</t>
        </is>
      </c>
      <c r="AN42" s="85" t="inlineStr">
        <is>
          <t>Y</t>
        </is>
      </c>
      <c r="AO42" s="85" t="inlineStr">
        <is>
          <t>Unclear</t>
        </is>
      </c>
      <c r="AP42" s="85" t="inlineStr">
        <is>
          <t>Y</t>
        </is>
      </c>
      <c r="AQ42" s="85" t="inlineStr">
        <is>
          <t>Y</t>
        </is>
      </c>
      <c r="AR42" s="85" t="inlineStr">
        <is>
          <t>Low</t>
        </is>
      </c>
      <c r="AS42" s="85" t="inlineStr">
        <is>
          <t>Y</t>
        </is>
      </c>
      <c r="AT42" s="85" t="inlineStr">
        <is>
          <t>Y</t>
        </is>
      </c>
      <c r="AU42" s="85" t="inlineStr">
        <is>
          <t>Y</t>
        </is>
      </c>
      <c r="AV42" s="85" t="inlineStr">
        <is>
          <t>Y</t>
        </is>
      </c>
      <c r="AW42" s="85" t="inlineStr">
        <is>
          <t>Low</t>
        </is>
      </c>
    </row>
    <row r="43">
      <c r="B43" s="86" t="inlineStr">
        <is>
          <t>reference standard</t>
        </is>
      </c>
      <c r="C43" s="85" t="inlineStr">
        <is>
          <t>High</t>
        </is>
      </c>
      <c r="D43" s="85" t="inlineStr">
        <is>
          <t>Unclear</t>
        </is>
      </c>
      <c r="E43" s="85" t="inlineStr">
        <is>
          <t>Low</t>
        </is>
      </c>
      <c r="F43" s="85" t="inlineStr">
        <is>
          <t>Low</t>
        </is>
      </c>
      <c r="G43" s="85" t="inlineStr">
        <is>
          <t>High</t>
        </is>
      </c>
      <c r="H43" s="85" t="inlineStr">
        <is>
          <t>Low</t>
        </is>
      </c>
      <c r="I43" s="85" t="inlineStr">
        <is>
          <t>Low</t>
        </is>
      </c>
      <c r="N43" s="85" t="inlineStr">
        <is>
          <t>N</t>
        </is>
      </c>
      <c r="O43" s="85" t="inlineStr">
        <is>
          <t>N</t>
        </is>
      </c>
      <c r="P43" s="85" t="inlineStr">
        <is>
          <t>N</t>
        </is>
      </c>
      <c r="Q43" s="85" t="inlineStr">
        <is>
          <t>High</t>
        </is>
      </c>
      <c r="R43" s="85" t="inlineStr">
        <is>
          <t>High</t>
        </is>
      </c>
      <c r="S43" s="85" t="inlineStr">
        <is>
          <t>Y</t>
        </is>
      </c>
      <c r="T43" s="85" t="inlineStr">
        <is>
          <t>U</t>
        </is>
      </c>
      <c r="U43" s="85" t="inlineStr">
        <is>
          <t>Unclear</t>
        </is>
      </c>
      <c r="V43" s="85" t="inlineStr">
        <is>
          <t>Unclear</t>
        </is>
      </c>
      <c r="W43" s="85" t="inlineStr">
        <is>
          <t>Y</t>
        </is>
      </c>
      <c r="X43" s="85" t="inlineStr">
        <is>
          <t>Y</t>
        </is>
      </c>
      <c r="Y43" s="85" t="inlineStr">
        <is>
          <t>Low</t>
        </is>
      </c>
      <c r="Z43" s="85" t="inlineStr">
        <is>
          <t>Low</t>
        </is>
      </c>
      <c r="AA43" s="85" t="inlineStr">
        <is>
          <t>Y</t>
        </is>
      </c>
      <c r="AB43" s="85" t="inlineStr">
        <is>
          <t>Y</t>
        </is>
      </c>
      <c r="AC43" s="85" t="inlineStr">
        <is>
          <t>Y</t>
        </is>
      </c>
      <c r="AD43" s="85" t="inlineStr">
        <is>
          <t>Y</t>
        </is>
      </c>
      <c r="AE43" s="85" t="inlineStr">
        <is>
          <t>Low</t>
        </is>
      </c>
    </row>
    <row r="44">
      <c r="A44" s="5" t="inlineStr">
        <is>
          <t>Ruamviboonsuk et al. (2019)</t>
        </is>
      </c>
      <c r="B44" s="5" t="inlineStr">
        <is>
          <t>index test</t>
        </is>
      </c>
      <c r="C44" s="39" t="inlineStr">
        <is>
          <t>High</t>
        </is>
      </c>
      <c r="D44" s="39" t="inlineStr">
        <is>
          <t>Low</t>
        </is>
      </c>
      <c r="E44" s="39" t="inlineStr">
        <is>
          <t>Low</t>
        </is>
      </c>
      <c r="F44" s="85" t="inlineStr">
        <is>
          <t>High</t>
        </is>
      </c>
      <c r="G44" s="39" t="inlineStr">
        <is>
          <t>Low</t>
        </is>
      </c>
      <c r="H44" s="39" t="inlineStr">
        <is>
          <t>Low</t>
        </is>
      </c>
      <c r="I44" s="39" t="inlineStr">
        <is>
          <t>Low</t>
        </is>
      </c>
      <c r="J44" s="85" t="inlineStr">
        <is>
          <t>High</t>
        </is>
      </c>
      <c r="K44" s="85" t="inlineStr">
        <is>
          <t>Low</t>
        </is>
      </c>
      <c r="L44" s="85" t="inlineStr">
        <is>
          <t>Low</t>
        </is>
      </c>
      <c r="M44" s="85" t="inlineStr">
        <is>
          <t>High</t>
        </is>
      </c>
      <c r="N44" s="85" t="inlineStr">
        <is>
          <t>Y</t>
        </is>
      </c>
      <c r="O44" s="85" t="inlineStr">
        <is>
          <t>Y</t>
        </is>
      </c>
      <c r="P44" s="85" t="inlineStr">
        <is>
          <t>N</t>
        </is>
      </c>
      <c r="Q44" s="85" t="inlineStr">
        <is>
          <t>High</t>
        </is>
      </c>
      <c r="R44" s="85" t="inlineStr">
        <is>
          <t>Low</t>
        </is>
      </c>
      <c r="S44" s="85" t="inlineStr">
        <is>
          <t>Y</t>
        </is>
      </c>
      <c r="T44" s="85" t="inlineStr">
        <is>
          <t>Y</t>
        </is>
      </c>
      <c r="U44" s="85" t="inlineStr">
        <is>
          <t>Low</t>
        </is>
      </c>
      <c r="V44" s="85" t="inlineStr">
        <is>
          <t>Low</t>
        </is>
      </c>
      <c r="W44" s="85" t="inlineStr">
        <is>
          <t>Y</t>
        </is>
      </c>
      <c r="X44" s="85" t="inlineStr">
        <is>
          <t>Y</t>
        </is>
      </c>
      <c r="Y44" s="85" t="inlineStr">
        <is>
          <t>Low</t>
        </is>
      </c>
      <c r="Z44" s="85" t="inlineStr">
        <is>
          <t>Low</t>
        </is>
      </c>
      <c r="AA44" s="85" t="inlineStr">
        <is>
          <t>Y</t>
        </is>
      </c>
      <c r="AB44" s="85" t="inlineStr">
        <is>
          <t>N</t>
        </is>
      </c>
      <c r="AC44" s="85" t="inlineStr">
        <is>
          <t>Y</t>
        </is>
      </c>
      <c r="AD44" s="85" t="inlineStr">
        <is>
          <t>N</t>
        </is>
      </c>
      <c r="AE44" s="85" t="inlineStr">
        <is>
          <t>High</t>
        </is>
      </c>
      <c r="AF44" s="85" t="inlineStr">
        <is>
          <t>N</t>
        </is>
      </c>
      <c r="AG44" s="85" t="inlineStr">
        <is>
          <t>Y</t>
        </is>
      </c>
      <c r="AH44" s="85" t="inlineStr">
        <is>
          <t>NA</t>
        </is>
      </c>
      <c r="AI44" s="85" t="inlineStr">
        <is>
          <t>NA</t>
        </is>
      </c>
      <c r="AJ44" s="85" t="inlineStr">
        <is>
          <t>High</t>
        </is>
      </c>
      <c r="AK44" s="85" t="inlineStr">
        <is>
          <t>Y</t>
        </is>
      </c>
      <c r="AL44" s="85" t="inlineStr">
        <is>
          <t>Y</t>
        </is>
      </c>
      <c r="AM44" s="85" t="inlineStr">
        <is>
          <t>Y</t>
        </is>
      </c>
      <c r="AN44" s="85" t="inlineStr">
        <is>
          <t>Y</t>
        </is>
      </c>
      <c r="AO44" s="85" t="inlineStr">
        <is>
          <t>Low</t>
        </is>
      </c>
      <c r="AP44" s="85" t="inlineStr">
        <is>
          <t>Y</t>
        </is>
      </c>
      <c r="AQ44" s="85" t="inlineStr">
        <is>
          <t>Y</t>
        </is>
      </c>
      <c r="AR44" s="85" t="inlineStr">
        <is>
          <t>Low</t>
        </is>
      </c>
      <c r="AS44" s="85" t="inlineStr">
        <is>
          <t>N</t>
        </is>
      </c>
      <c r="AT44" s="85" t="inlineStr">
        <is>
          <t>Y</t>
        </is>
      </c>
      <c r="AU44" s="85" t="inlineStr">
        <is>
          <t>Y</t>
        </is>
      </c>
      <c r="AV44" s="85" t="inlineStr">
        <is>
          <t>Y</t>
        </is>
      </c>
      <c r="AW44" s="85" t="inlineStr">
        <is>
          <t>High</t>
        </is>
      </c>
    </row>
    <row r="45">
      <c r="B45" s="86" t="inlineStr">
        <is>
          <t>reference standard</t>
        </is>
      </c>
      <c r="C45" s="39" t="inlineStr">
        <is>
          <t>High</t>
        </is>
      </c>
      <c r="D45" s="39" t="inlineStr">
        <is>
          <t>Low</t>
        </is>
      </c>
      <c r="E45" s="39" t="inlineStr">
        <is>
          <t>Low</t>
        </is>
      </c>
      <c r="F45" s="85" t="inlineStr">
        <is>
          <t>High</t>
        </is>
      </c>
      <c r="G45" s="39" t="inlineStr">
        <is>
          <t>Low</t>
        </is>
      </c>
      <c r="H45" s="39" t="inlineStr">
        <is>
          <t>Low</t>
        </is>
      </c>
      <c r="I45" s="39" t="inlineStr">
        <is>
          <t>Low</t>
        </is>
      </c>
      <c r="N45" s="85" t="inlineStr">
        <is>
          <t>Y</t>
        </is>
      </c>
      <c r="O45" s="85" t="inlineStr">
        <is>
          <t>Y</t>
        </is>
      </c>
      <c r="P45" s="85" t="inlineStr">
        <is>
          <t>N</t>
        </is>
      </c>
      <c r="Q45" s="85" t="inlineStr">
        <is>
          <t>High</t>
        </is>
      </c>
      <c r="R45" s="85" t="inlineStr">
        <is>
          <t>Low</t>
        </is>
      </c>
      <c r="S45" s="85" t="inlineStr">
        <is>
          <t>Y</t>
        </is>
      </c>
      <c r="T45" s="85" t="inlineStr">
        <is>
          <t>Y</t>
        </is>
      </c>
      <c r="U45" s="85" t="inlineStr">
        <is>
          <t>Low</t>
        </is>
      </c>
      <c r="V45" s="85" t="inlineStr">
        <is>
          <t>Low</t>
        </is>
      </c>
      <c r="W45" s="85" t="inlineStr">
        <is>
          <t>Y</t>
        </is>
      </c>
      <c r="X45" s="85" t="inlineStr">
        <is>
          <t>Y</t>
        </is>
      </c>
      <c r="Y45" s="85" t="inlineStr">
        <is>
          <t>Low</t>
        </is>
      </c>
      <c r="Z45" s="85" t="inlineStr">
        <is>
          <t>Low</t>
        </is>
      </c>
      <c r="AA45" s="85" t="inlineStr">
        <is>
          <t>Y</t>
        </is>
      </c>
      <c r="AB45" s="85" t="inlineStr">
        <is>
          <t>N</t>
        </is>
      </c>
      <c r="AC45" s="85" t="inlineStr">
        <is>
          <t>Y</t>
        </is>
      </c>
      <c r="AD45" s="85" t="inlineStr">
        <is>
          <t>N</t>
        </is>
      </c>
      <c r="AE45" s="85" t="inlineStr">
        <is>
          <t>High</t>
        </is>
      </c>
    </row>
    <row r="46">
      <c r="A46" s="86" t="inlineStr">
        <is>
          <t>Krause et al. (2018)</t>
        </is>
      </c>
      <c r="B46" s="5" t="inlineStr">
        <is>
          <t>index test</t>
        </is>
      </c>
      <c r="C46" s="85" t="inlineStr">
        <is>
          <t>Unclear</t>
        </is>
      </c>
      <c r="D46" s="85" t="inlineStr">
        <is>
          <t>Unclear</t>
        </is>
      </c>
      <c r="E46" s="39" t="inlineStr">
        <is>
          <t>Low</t>
        </is>
      </c>
      <c r="F46" s="39" t="inlineStr">
        <is>
          <t>Low</t>
        </is>
      </c>
      <c r="G46" s="39" t="inlineStr">
        <is>
          <t>Low</t>
        </is>
      </c>
      <c r="H46" s="39" t="inlineStr">
        <is>
          <t>Low</t>
        </is>
      </c>
      <c r="I46" s="39" t="inlineStr">
        <is>
          <t>Low</t>
        </is>
      </c>
      <c r="J46" s="85" t="inlineStr">
        <is>
          <t>Unclear</t>
        </is>
      </c>
      <c r="K46" s="85" t="inlineStr">
        <is>
          <t>Unclear</t>
        </is>
      </c>
      <c r="L46" s="85" t="inlineStr">
        <is>
          <t>Low</t>
        </is>
      </c>
      <c r="M46" s="85" t="inlineStr">
        <is>
          <t>Low</t>
        </is>
      </c>
      <c r="N46" s="85" t="inlineStr">
        <is>
          <t>U</t>
        </is>
      </c>
      <c r="O46" s="85" t="inlineStr">
        <is>
          <t>Y</t>
        </is>
      </c>
      <c r="P46" s="85" t="inlineStr">
        <is>
          <t>N</t>
        </is>
      </c>
      <c r="Q46" s="85" t="inlineStr">
        <is>
          <t>Unclear</t>
        </is>
      </c>
      <c r="R46" s="85" t="inlineStr">
        <is>
          <t>Low</t>
        </is>
      </c>
      <c r="S46" s="85" t="inlineStr">
        <is>
          <t>Y</t>
        </is>
      </c>
      <c r="T46" s="85" t="inlineStr">
        <is>
          <t>U</t>
        </is>
      </c>
      <c r="U46" s="85" t="inlineStr">
        <is>
          <t>Unclear</t>
        </is>
      </c>
      <c r="V46" s="85" t="inlineStr">
        <is>
          <t>Low</t>
        </is>
      </c>
      <c r="W46" s="85" t="inlineStr">
        <is>
          <t>Y</t>
        </is>
      </c>
      <c r="X46" s="85" t="inlineStr">
        <is>
          <t>Y</t>
        </is>
      </c>
      <c r="Y46" s="85" t="inlineStr">
        <is>
          <t>Low</t>
        </is>
      </c>
      <c r="Z46" s="85" t="inlineStr">
        <is>
          <t>Low</t>
        </is>
      </c>
      <c r="AA46" s="85" t="inlineStr">
        <is>
          <t>Y</t>
        </is>
      </c>
      <c r="AB46" s="85" t="inlineStr">
        <is>
          <t>Y</t>
        </is>
      </c>
      <c r="AC46" s="85" t="inlineStr">
        <is>
          <t>Y</t>
        </is>
      </c>
      <c r="AD46" s="85" t="inlineStr">
        <is>
          <t>Y</t>
        </is>
      </c>
      <c r="AE46" s="85" t="inlineStr">
        <is>
          <t>Low</t>
        </is>
      </c>
      <c r="AF46" s="85" t="inlineStr">
        <is>
          <t>N</t>
        </is>
      </c>
      <c r="AG46" s="85" t="inlineStr">
        <is>
          <t>Y</t>
        </is>
      </c>
      <c r="AH46" s="85" t="inlineStr">
        <is>
          <t>NA</t>
        </is>
      </c>
      <c r="AI46" s="85" t="inlineStr">
        <is>
          <t>NA</t>
        </is>
      </c>
      <c r="AJ46" s="85" t="inlineStr">
        <is>
          <t>Unclear</t>
        </is>
      </c>
      <c r="AK46" s="85" t="inlineStr">
        <is>
          <t>Y</t>
        </is>
      </c>
      <c r="AL46" s="85" t="inlineStr">
        <is>
          <t>Y</t>
        </is>
      </c>
      <c r="AM46" s="85" t="inlineStr">
        <is>
          <t>Y</t>
        </is>
      </c>
      <c r="AN46" s="85" t="inlineStr">
        <is>
          <t>Y</t>
        </is>
      </c>
      <c r="AO46" s="85" t="inlineStr">
        <is>
          <t>Unclear</t>
        </is>
      </c>
      <c r="AP46" s="85" t="inlineStr">
        <is>
          <t>Y</t>
        </is>
      </c>
      <c r="AQ46" s="85" t="inlineStr">
        <is>
          <t>Y</t>
        </is>
      </c>
      <c r="AR46" s="85" t="inlineStr">
        <is>
          <t>Low</t>
        </is>
      </c>
      <c r="AS46" s="85" t="inlineStr">
        <is>
          <t>Y</t>
        </is>
      </c>
      <c r="AT46" s="85" t="inlineStr">
        <is>
          <t>Y</t>
        </is>
      </c>
      <c r="AU46" s="85" t="inlineStr">
        <is>
          <t>Y</t>
        </is>
      </c>
      <c r="AV46" s="85" t="inlineStr">
        <is>
          <t>Y</t>
        </is>
      </c>
      <c r="AW46" s="85" t="inlineStr">
        <is>
          <t>Low</t>
        </is>
      </c>
    </row>
    <row r="47">
      <c r="B47" s="86" t="inlineStr">
        <is>
          <t>reference standard</t>
        </is>
      </c>
      <c r="C47" s="85" t="inlineStr">
        <is>
          <t>Unclear</t>
        </is>
      </c>
      <c r="D47" s="85" t="inlineStr">
        <is>
          <t>Unclear</t>
        </is>
      </c>
      <c r="E47" s="39" t="inlineStr">
        <is>
          <t>Low</t>
        </is>
      </c>
      <c r="F47" s="39" t="inlineStr">
        <is>
          <t>Low</t>
        </is>
      </c>
      <c r="G47" s="39" t="inlineStr">
        <is>
          <t>Low</t>
        </is>
      </c>
      <c r="H47" s="39" t="inlineStr">
        <is>
          <t>Low</t>
        </is>
      </c>
      <c r="I47" s="39" t="inlineStr">
        <is>
          <t>Low</t>
        </is>
      </c>
      <c r="N47" s="85" t="inlineStr">
        <is>
          <t>U</t>
        </is>
      </c>
      <c r="O47" s="85" t="inlineStr">
        <is>
          <t>Y</t>
        </is>
      </c>
      <c r="P47" s="85" t="inlineStr">
        <is>
          <t>N</t>
        </is>
      </c>
      <c r="Q47" s="85" t="inlineStr">
        <is>
          <t>Unclear</t>
        </is>
      </c>
      <c r="R47" s="85" t="inlineStr">
        <is>
          <t>Low</t>
        </is>
      </c>
      <c r="S47" s="85" t="inlineStr">
        <is>
          <t>Y</t>
        </is>
      </c>
      <c r="T47" s="85" t="inlineStr">
        <is>
          <t>U</t>
        </is>
      </c>
      <c r="U47" s="85" t="inlineStr">
        <is>
          <t>Unclear</t>
        </is>
      </c>
      <c r="V47" s="85" t="inlineStr">
        <is>
          <t>Low</t>
        </is>
      </c>
      <c r="W47" s="85" t="inlineStr">
        <is>
          <t>Y</t>
        </is>
      </c>
      <c r="X47" s="85" t="inlineStr">
        <is>
          <t>Y</t>
        </is>
      </c>
      <c r="Y47" s="85" t="inlineStr">
        <is>
          <t>Low</t>
        </is>
      </c>
      <c r="Z47" s="85" t="inlineStr">
        <is>
          <t>Low</t>
        </is>
      </c>
      <c r="AA47" s="85" t="inlineStr">
        <is>
          <t>Y</t>
        </is>
      </c>
      <c r="AB47" s="85" t="inlineStr">
        <is>
          <t>Y</t>
        </is>
      </c>
      <c r="AC47" s="85" t="inlineStr">
        <is>
          <t>Y</t>
        </is>
      </c>
      <c r="AD47" s="85" t="inlineStr">
        <is>
          <t>Y</t>
        </is>
      </c>
      <c r="AE47" s="85" t="inlineStr">
        <is>
          <t>Low</t>
        </is>
      </c>
    </row>
    <row r="48">
      <c r="A48" s="5" t="inlineStr">
        <is>
          <t>Shu et al. (2017)</t>
        </is>
      </c>
      <c r="B48" s="5" t="inlineStr">
        <is>
          <t>index test</t>
        </is>
      </c>
      <c r="C48" s="39" t="inlineStr">
        <is>
          <t>Low</t>
        </is>
      </c>
      <c r="D48" s="39" t="inlineStr">
        <is>
          <t>Low</t>
        </is>
      </c>
      <c r="E48" s="39" t="inlineStr">
        <is>
          <t>Low</t>
        </is>
      </c>
      <c r="F48" s="85" t="inlineStr">
        <is>
          <t>High</t>
        </is>
      </c>
      <c r="G48" s="39" t="inlineStr">
        <is>
          <t>Low</t>
        </is>
      </c>
      <c r="H48" s="39" t="inlineStr">
        <is>
          <t>Low</t>
        </is>
      </c>
      <c r="I48" s="39" t="inlineStr">
        <is>
          <t>Low</t>
        </is>
      </c>
      <c r="J48" s="85" t="inlineStr">
        <is>
          <t>Low</t>
        </is>
      </c>
      <c r="K48" s="85" t="inlineStr">
        <is>
          <t>Low</t>
        </is>
      </c>
      <c r="L48" s="85" t="inlineStr">
        <is>
          <t>Low</t>
        </is>
      </c>
      <c r="M48" s="85" t="inlineStr">
        <is>
          <t>Low</t>
        </is>
      </c>
      <c r="N48" s="85" t="inlineStr">
        <is>
          <t>Y</t>
        </is>
      </c>
      <c r="O48" s="85" t="inlineStr">
        <is>
          <t>Y</t>
        </is>
      </c>
      <c r="P48" s="85" t="inlineStr">
        <is>
          <t>Y</t>
        </is>
      </c>
      <c r="Q48" s="85" t="inlineStr">
        <is>
          <t>Low</t>
        </is>
      </c>
      <c r="R48" s="85" t="inlineStr">
        <is>
          <t>Low</t>
        </is>
      </c>
      <c r="S48" s="85" t="inlineStr">
        <is>
          <t>Y</t>
        </is>
      </c>
      <c r="T48" s="85" t="inlineStr">
        <is>
          <t>Y</t>
        </is>
      </c>
      <c r="U48" s="85" t="inlineStr">
        <is>
          <t>Low</t>
        </is>
      </c>
      <c r="V48" s="85" t="inlineStr">
        <is>
          <t>Low</t>
        </is>
      </c>
      <c r="W48" s="85" t="inlineStr">
        <is>
          <t>Y</t>
        </is>
      </c>
      <c r="X48" s="85" t="inlineStr">
        <is>
          <t>Y</t>
        </is>
      </c>
      <c r="Y48" s="85" t="inlineStr">
        <is>
          <t>Low</t>
        </is>
      </c>
      <c r="Z48" s="85" t="inlineStr">
        <is>
          <t>Low</t>
        </is>
      </c>
      <c r="AA48" s="85" t="inlineStr">
        <is>
          <t>Y</t>
        </is>
      </c>
      <c r="AB48" s="85" t="inlineStr">
        <is>
          <t>Y</t>
        </is>
      </c>
      <c r="AC48" s="85" t="inlineStr">
        <is>
          <t>Y</t>
        </is>
      </c>
      <c r="AD48" s="85" t="inlineStr">
        <is>
          <t>Y</t>
        </is>
      </c>
      <c r="AE48" s="85" t="inlineStr">
        <is>
          <t>Low</t>
        </is>
      </c>
      <c r="AF48" s="85" t="inlineStr">
        <is>
          <t>Y</t>
        </is>
      </c>
      <c r="AG48" s="85" t="inlineStr">
        <is>
          <t>Y</t>
        </is>
      </c>
      <c r="AH48" s="85" t="inlineStr">
        <is>
          <t>NA</t>
        </is>
      </c>
      <c r="AI48" s="85" t="inlineStr">
        <is>
          <t>NA</t>
        </is>
      </c>
      <c r="AJ48" s="85" t="inlineStr">
        <is>
          <t>Low</t>
        </is>
      </c>
      <c r="AK48" s="85" t="inlineStr">
        <is>
          <t>Y</t>
        </is>
      </c>
      <c r="AL48" s="85" t="inlineStr">
        <is>
          <t>Y</t>
        </is>
      </c>
      <c r="AM48" s="85" t="inlineStr">
        <is>
          <t>Y</t>
        </is>
      </c>
      <c r="AN48" s="85" t="inlineStr">
        <is>
          <t>Y</t>
        </is>
      </c>
      <c r="AO48" s="85" t="inlineStr">
        <is>
          <t>Low</t>
        </is>
      </c>
      <c r="AP48" s="85" t="inlineStr">
        <is>
          <t>Y</t>
        </is>
      </c>
      <c r="AQ48" s="85" t="inlineStr">
        <is>
          <t>Y</t>
        </is>
      </c>
      <c r="AR48" s="85" t="inlineStr">
        <is>
          <t>Low</t>
        </is>
      </c>
      <c r="AS48" s="85" t="inlineStr">
        <is>
          <t>Y</t>
        </is>
      </c>
      <c r="AT48" s="85" t="inlineStr">
        <is>
          <t>Y</t>
        </is>
      </c>
      <c r="AU48" s="85" t="inlineStr">
        <is>
          <t>Y</t>
        </is>
      </c>
      <c r="AV48" s="85" t="inlineStr">
        <is>
          <t>Y</t>
        </is>
      </c>
      <c r="AW48" s="85" t="inlineStr">
        <is>
          <t>Low</t>
        </is>
      </c>
    </row>
    <row r="49">
      <c r="B49" s="86" t="inlineStr">
        <is>
          <t>reference standard</t>
        </is>
      </c>
      <c r="C49" s="39" t="inlineStr">
        <is>
          <t>Low</t>
        </is>
      </c>
      <c r="D49" s="39" t="inlineStr">
        <is>
          <t>Low</t>
        </is>
      </c>
      <c r="E49" s="39" t="inlineStr">
        <is>
          <t>Low</t>
        </is>
      </c>
      <c r="F49" s="85" t="inlineStr">
        <is>
          <t>High</t>
        </is>
      </c>
      <c r="G49" s="39" t="inlineStr">
        <is>
          <t>Low</t>
        </is>
      </c>
      <c r="H49" s="39" t="inlineStr">
        <is>
          <t>Low</t>
        </is>
      </c>
      <c r="I49" s="39" t="inlineStr">
        <is>
          <t>Low</t>
        </is>
      </c>
      <c r="N49" s="85" t="inlineStr">
        <is>
          <t>Y</t>
        </is>
      </c>
      <c r="O49" s="85" t="inlineStr">
        <is>
          <t>Y</t>
        </is>
      </c>
      <c r="P49" s="85" t="inlineStr">
        <is>
          <t>Y</t>
        </is>
      </c>
      <c r="Q49" s="85" t="inlineStr">
        <is>
          <t>Low</t>
        </is>
      </c>
      <c r="R49" s="85" t="inlineStr">
        <is>
          <t>Low</t>
        </is>
      </c>
      <c r="S49" s="85" t="inlineStr">
        <is>
          <t>Y</t>
        </is>
      </c>
      <c r="T49" s="85" t="inlineStr">
        <is>
          <t>Y</t>
        </is>
      </c>
      <c r="U49" s="85" t="inlineStr">
        <is>
          <t>Low</t>
        </is>
      </c>
      <c r="V49" s="85" t="inlineStr">
        <is>
          <t>Low</t>
        </is>
      </c>
      <c r="W49" s="85" t="inlineStr">
        <is>
          <t>Y</t>
        </is>
      </c>
      <c r="X49" s="85" t="inlineStr">
        <is>
          <t>Y</t>
        </is>
      </c>
      <c r="Y49" s="85" t="inlineStr">
        <is>
          <t>Low</t>
        </is>
      </c>
      <c r="Z49" s="85" t="inlineStr">
        <is>
          <t>Low</t>
        </is>
      </c>
      <c r="AA49" s="85" t="inlineStr">
        <is>
          <t>Y</t>
        </is>
      </c>
      <c r="AB49" s="85" t="inlineStr">
        <is>
          <t>Y</t>
        </is>
      </c>
      <c r="AC49" s="85" t="inlineStr">
        <is>
          <t>Y</t>
        </is>
      </c>
      <c r="AD49" s="85" t="inlineStr">
        <is>
          <t>Y</t>
        </is>
      </c>
      <c r="AE49" s="85" t="inlineStr">
        <is>
          <t>Low</t>
        </is>
      </c>
    </row>
    <row r="50">
      <c r="AJ50" s="85" t="n"/>
    </row>
    <row r="51" ht="17" customHeight="1" s="55" thickBot="1">
      <c r="A51" s="28" t="n"/>
      <c r="B51" s="28" t="n"/>
    </row>
    <row r="52" ht="17" customHeight="1" s="55" thickBot="1">
      <c r="D52" s="87" t="n"/>
      <c r="E52" s="34" t="inlineStr">
        <is>
          <t>Patient selection</t>
        </is>
      </c>
      <c r="F52" s="34" t="inlineStr">
        <is>
          <t>Index test</t>
        </is>
      </c>
      <c r="G52" s="34" t="inlineStr">
        <is>
          <t>Reference standard</t>
        </is>
      </c>
      <c r="H52" s="35" t="inlineStr">
        <is>
          <t>Flow and timing</t>
        </is>
      </c>
      <c r="I52" s="87" t="n"/>
      <c r="J52" s="34" t="inlineStr">
        <is>
          <t>Patient selection</t>
        </is>
      </c>
      <c r="K52" s="34" t="inlineStr">
        <is>
          <t>Index test</t>
        </is>
      </c>
      <c r="L52" s="35" t="inlineStr">
        <is>
          <t>Reference standard</t>
        </is>
      </c>
      <c r="M52" s="87" t="n"/>
      <c r="N52" s="46" t="inlineStr">
        <is>
          <t>Patient selection</t>
        </is>
      </c>
      <c r="O52" s="34" t="inlineStr">
        <is>
          <t>Index test</t>
        </is>
      </c>
      <c r="P52" s="34" t="inlineStr">
        <is>
          <t>Reference standard</t>
        </is>
      </c>
      <c r="Q52" s="35" t="inlineStr">
        <is>
          <t>Flow and timing</t>
        </is>
      </c>
      <c r="AJ52" s="85" t="n"/>
    </row>
    <row r="53">
      <c r="D53" s="42" t="inlineStr">
        <is>
          <t>Low risk of bias</t>
        </is>
      </c>
      <c r="E53" s="85">
        <f>COUNTIF(C4:C49,"Low")/46</f>
        <v/>
      </c>
      <c r="F53" s="85">
        <f>COUNTIF(D4:D49,"Low")/46</f>
        <v/>
      </c>
      <c r="G53" s="85">
        <f>COUNTIF(E4:E49,"Low")/46</f>
        <v/>
      </c>
      <c r="H53" s="85">
        <f>COUNTIF(F4:F49,"Low")/46</f>
        <v/>
      </c>
      <c r="I53" s="42" t="inlineStr">
        <is>
          <t>Low</t>
        </is>
      </c>
      <c r="J53" s="85">
        <f>COUNTIF(G4:G49,"Low")/46</f>
        <v/>
      </c>
      <c r="K53" s="85">
        <f>COUNTIF(H4:H49,"Low")/46</f>
        <v/>
      </c>
      <c r="L53" s="85">
        <f>COUNTIF(I4:I49,"Low")/46</f>
        <v/>
      </c>
      <c r="M53" s="42" t="inlineStr">
        <is>
          <t>Low risk of bias</t>
        </is>
      </c>
      <c r="N53" s="47" t="n"/>
      <c r="O53" s="85">
        <f>COUNTIF(K4:K49,"Low")/23</f>
        <v/>
      </c>
      <c r="P53" s="85">
        <f>COUNTIF(L4:L49,"Low")/23</f>
        <v/>
      </c>
      <c r="Q53" s="48">
        <f>COUNTIF(M4:M49,"Low")/23</f>
        <v/>
      </c>
    </row>
    <row r="54">
      <c r="D54" s="42" t="inlineStr">
        <is>
          <t>Unclear risk of bias</t>
        </is>
      </c>
      <c r="E54" s="85">
        <f>COUNTIF(C4:C49,"Unclear")/46</f>
        <v/>
      </c>
      <c r="F54" s="85">
        <f>COUNTIF(D4:D49,"Unclear")/46</f>
        <v/>
      </c>
      <c r="G54" s="85">
        <f>COUNTIF(E4:E49,"Unclear")/46</f>
        <v/>
      </c>
      <c r="H54" s="85">
        <f>COUNTIF(F4:F49,"Unclear")/46</f>
        <v/>
      </c>
      <c r="I54" s="42" t="inlineStr">
        <is>
          <t>Unclear</t>
        </is>
      </c>
      <c r="J54" s="85">
        <f>COUNTIF(G4:G49,"Unclear")/46</f>
        <v/>
      </c>
      <c r="K54" s="85">
        <f>COUNTIF(H4:H49,"Unclear")/46</f>
        <v/>
      </c>
      <c r="L54" s="85">
        <f>COUNTIF(I4:I49,"Unclear")/46</f>
        <v/>
      </c>
      <c r="M54" s="42" t="inlineStr">
        <is>
          <t>Unclear risk of bias</t>
        </is>
      </c>
      <c r="N54" s="47">
        <f>COUNTIF(J4:J49,"Unclear")/23</f>
        <v/>
      </c>
      <c r="O54" s="85">
        <f>COUNTIF(K4:K49,"Unclear")/23</f>
        <v/>
      </c>
      <c r="P54" s="85">
        <f>COUNTIF(L4:L49,"Unclear")/23</f>
        <v/>
      </c>
      <c r="Q54" s="48">
        <f>COUNTIF(M4:M49,"Unclear")/23</f>
        <v/>
      </c>
    </row>
    <row r="55" ht="17" customHeight="1" s="55" thickBot="1">
      <c r="D55" s="43" t="inlineStr">
        <is>
          <t>High risk of bias</t>
        </is>
      </c>
      <c r="E55" s="30">
        <f>1-E53-E54</f>
        <v/>
      </c>
      <c r="F55" s="30">
        <f>1-F53-F54</f>
        <v/>
      </c>
      <c r="G55" s="30">
        <f>1-G53-G54</f>
        <v/>
      </c>
      <c r="H55" s="30">
        <f>1-H53-H54</f>
        <v/>
      </c>
      <c r="I55" s="43" t="inlineStr">
        <is>
          <t xml:space="preserve">High </t>
        </is>
      </c>
      <c r="J55" s="30">
        <f>1-J53-J54</f>
        <v/>
      </c>
      <c r="K55" s="30">
        <f>1-K53-K54</f>
        <v/>
      </c>
      <c r="L55" s="30">
        <f>1-L53-L54</f>
        <v/>
      </c>
      <c r="M55" s="43" t="inlineStr">
        <is>
          <t>High risk of bias</t>
        </is>
      </c>
      <c r="N55" s="49">
        <f>1-N53-N54</f>
        <v/>
      </c>
      <c r="O55" s="30">
        <f>1-O53-O54</f>
        <v/>
      </c>
      <c r="P55" s="30">
        <f>1-P53-P54</f>
        <v/>
      </c>
      <c r="Q55" s="50">
        <f>1-Q53-Q54</f>
        <v/>
      </c>
    </row>
    <row r="57">
      <c r="A57" s="28" t="n"/>
      <c r="B57" s="28" t="n"/>
    </row>
    <row r="58">
      <c r="A58" s="28" t="n"/>
      <c r="B58" s="28" t="n"/>
    </row>
    <row r="59">
      <c r="A59" s="28" t="n"/>
      <c r="B59" s="28" t="n"/>
    </row>
    <row r="81">
      <c r="A81" s="28" t="inlineStr">
        <is>
          <t>Sharma et al. (2024)</t>
        </is>
      </c>
      <c r="B81" s="28" t="n"/>
    </row>
    <row r="82">
      <c r="A82" s="28" t="inlineStr">
        <is>
          <t>Salongcay et al. (2023)</t>
        </is>
      </c>
      <c r="B82" s="28" t="n"/>
    </row>
    <row r="85" ht="17" customHeight="1" s="55" thickBot="1"/>
    <row r="86">
      <c r="C86" s="39" t="n"/>
      <c r="D86" s="39" t="n"/>
      <c r="E86" s="39" t="n"/>
      <c r="G86" s="39" t="n"/>
      <c r="H86" s="39" t="n"/>
      <c r="I86" s="39" t="n"/>
      <c r="J86" s="91" t="n"/>
      <c r="K86" s="91" t="n"/>
      <c r="L86" s="91" t="n"/>
      <c r="M86" s="91" t="n"/>
      <c r="AF86" s="85" t="n"/>
      <c r="AG86" s="85" t="n"/>
      <c r="AH86" s="85" t="n"/>
      <c r="AI86" s="85" t="n"/>
      <c r="AK86" s="85" t="n"/>
      <c r="AL86" s="85" t="n"/>
      <c r="AM86" s="85" t="n"/>
      <c r="AN86" s="85" t="n"/>
      <c r="AP86" s="85" t="n"/>
      <c r="AQ86" s="85" t="n"/>
      <c r="AS86" s="85" t="n"/>
      <c r="AT86" s="85" t="n"/>
      <c r="AU86" s="85" t="n"/>
      <c r="AV86" s="85" t="n"/>
    </row>
    <row r="87">
      <c r="C87" s="39" t="n"/>
      <c r="D87" s="39" t="n"/>
      <c r="E87" s="39" t="n"/>
      <c r="G87" s="39" t="n"/>
      <c r="H87" s="39" t="n"/>
      <c r="I87" s="39" t="n"/>
    </row>
    <row r="92" ht="17" customHeight="1" s="55" thickBot="1"/>
    <row r="93" ht="17" customHeight="1" s="55" thickBot="1">
      <c r="C93" s="87" t="inlineStr">
        <is>
          <t>Risk of bias</t>
        </is>
      </c>
      <c r="D93" s="78" t="n"/>
      <c r="E93" s="78" t="n"/>
      <c r="F93" s="77" t="n"/>
      <c r="G93" s="87" t="inlineStr">
        <is>
          <t>Concern of applicability</t>
        </is>
      </c>
      <c r="H93" s="78" t="n"/>
      <c r="I93" s="77" t="n"/>
    </row>
    <row r="94" ht="17" customHeight="1" s="55" thickBot="1">
      <c r="C94" s="36" t="inlineStr">
        <is>
          <t>Patient selection</t>
        </is>
      </c>
      <c r="D94" s="37" t="inlineStr">
        <is>
          <t>INDEX TEST</t>
        </is>
      </c>
      <c r="E94" s="37" t="inlineStr">
        <is>
          <t>Reference Standard</t>
        </is>
      </c>
      <c r="F94" s="38" t="inlineStr">
        <is>
          <t>Flow and Timing</t>
        </is>
      </c>
      <c r="G94" s="36" t="inlineStr">
        <is>
          <t>Patient selection</t>
        </is>
      </c>
      <c r="H94" s="37" t="inlineStr">
        <is>
          <t>INDEX TEST</t>
        </is>
      </c>
      <c r="I94" s="38" t="inlineStr">
        <is>
          <t>Reference Standard</t>
        </is>
      </c>
    </row>
    <row r="95">
      <c r="B95" s="86" t="inlineStr">
        <is>
          <t>Similié et al. (2025)</t>
        </is>
      </c>
      <c r="C95" s="85" t="inlineStr">
        <is>
          <t>Low</t>
        </is>
      </c>
      <c r="D95" s="85" t="inlineStr">
        <is>
          <t>Unclear</t>
        </is>
      </c>
      <c r="E95" s="85" t="inlineStr">
        <is>
          <t>Low</t>
        </is>
      </c>
      <c r="F95" s="85" t="inlineStr">
        <is>
          <t>Low</t>
        </is>
      </c>
      <c r="G95" s="85" t="inlineStr">
        <is>
          <t>Low</t>
        </is>
      </c>
      <c r="H95" s="85" t="inlineStr">
        <is>
          <t>Low</t>
        </is>
      </c>
      <c r="I95" s="85" t="inlineStr">
        <is>
          <t>Low</t>
        </is>
      </c>
    </row>
    <row r="96">
      <c r="B96" s="24" t="inlineStr">
        <is>
          <t>Šín et al. (2025)</t>
        </is>
      </c>
      <c r="C96" s="85" t="inlineStr">
        <is>
          <t>Low</t>
        </is>
      </c>
      <c r="D96" s="85" t="inlineStr">
        <is>
          <t>Unclear</t>
        </is>
      </c>
      <c r="E96" s="85" t="inlineStr">
        <is>
          <t>Low</t>
        </is>
      </c>
      <c r="F96" s="85" t="inlineStr">
        <is>
          <t>Low</t>
        </is>
      </c>
      <c r="G96" s="85" t="inlineStr">
        <is>
          <t>Low</t>
        </is>
      </c>
      <c r="H96" s="85" t="inlineStr">
        <is>
          <t>Low</t>
        </is>
      </c>
      <c r="I96" s="85" t="inlineStr">
        <is>
          <t>Low</t>
        </is>
      </c>
    </row>
    <row r="97" ht="24" customHeight="1" s="55">
      <c r="B97" s="84" t="inlineStr">
        <is>
          <t>Zhao et al. (2025)</t>
        </is>
      </c>
      <c r="C97" s="85" t="inlineStr">
        <is>
          <t>Low</t>
        </is>
      </c>
      <c r="D97" s="85" t="inlineStr">
        <is>
          <t>Unclear</t>
        </is>
      </c>
      <c r="E97" s="85" t="inlineStr">
        <is>
          <t>Unclear</t>
        </is>
      </c>
      <c r="F97" s="85" t="inlineStr">
        <is>
          <t>Low</t>
        </is>
      </c>
      <c r="G97" s="85" t="inlineStr">
        <is>
          <t>Low</t>
        </is>
      </c>
      <c r="H97" s="85" t="inlineStr">
        <is>
          <t>Low</t>
        </is>
      </c>
      <c r="I97" s="85" t="inlineStr">
        <is>
          <t>Unclear</t>
        </is>
      </c>
      <c r="J97" s="23" t="inlineStr">
        <is>
          <t>Reference standard: 🟡 Some concerns – Adjudication performed by 3 fellowship-trained retinal specialists (consensus), but only subsets were adjudicated (train vs. tune vs. validation). In some datasets, majority decision or single grader labels were used, which introduces inconsistency.</t>
        </is>
      </c>
    </row>
    <row r="98">
      <c r="B98" s="24" t="inlineStr">
        <is>
          <t>Chia et al. (2024)</t>
        </is>
      </c>
      <c r="C98" s="85" t="inlineStr">
        <is>
          <t>Low</t>
        </is>
      </c>
      <c r="D98" s="85" t="inlineStr">
        <is>
          <t>Unclear</t>
        </is>
      </c>
      <c r="E98" s="85" t="inlineStr">
        <is>
          <t>Low</t>
        </is>
      </c>
      <c r="F98" s="85" t="inlineStr">
        <is>
          <t>Low</t>
        </is>
      </c>
      <c r="G98" s="85" t="inlineStr">
        <is>
          <t>Low</t>
        </is>
      </c>
      <c r="H98" s="85" t="inlineStr">
        <is>
          <t>Low</t>
        </is>
      </c>
      <c r="I98" s="85" t="inlineStr">
        <is>
          <t>Low</t>
        </is>
      </c>
    </row>
    <row r="99" ht="24" customHeight="1" s="55">
      <c r="B99" s="24" t="inlineStr">
        <is>
          <t>Hu et al. (2024)</t>
        </is>
      </c>
      <c r="C99" s="85" t="inlineStr">
        <is>
          <t>Low</t>
        </is>
      </c>
      <c r="D99" s="85" t="inlineStr">
        <is>
          <t>Unclear</t>
        </is>
      </c>
      <c r="E99" s="85" t="inlineStr">
        <is>
          <t>Unclear</t>
        </is>
      </c>
      <c r="F99" s="85" t="inlineStr">
        <is>
          <t>Low</t>
        </is>
      </c>
      <c r="G99" s="85" t="inlineStr">
        <is>
          <t>Low</t>
        </is>
      </c>
      <c r="H99" s="85" t="inlineStr">
        <is>
          <t>Low</t>
        </is>
      </c>
      <c r="I99" s="85" t="inlineStr">
        <is>
          <t>Unclear</t>
        </is>
      </c>
      <c r="J99" s="23" t="inlineStr">
        <is>
          <t>Reference standard: 🟡 Hu (limited reporting).</t>
        </is>
      </c>
      <c r="K99" s="23" t="n"/>
      <c r="L99" s="23" t="n"/>
    </row>
    <row r="100" ht="24" customHeight="1" s="55">
      <c r="B100" s="23" t="inlineStr">
        <is>
          <t xml:space="preserve">Li et al. (2024) </t>
        </is>
      </c>
      <c r="C100" s="85" t="inlineStr">
        <is>
          <t>Low</t>
        </is>
      </c>
      <c r="D100" s="85" t="inlineStr">
        <is>
          <t>Unclear</t>
        </is>
      </c>
      <c r="E100" s="85" t="inlineStr">
        <is>
          <t>Low</t>
        </is>
      </c>
      <c r="F100" s="85" t="inlineStr">
        <is>
          <t>Low</t>
        </is>
      </c>
      <c r="G100" s="85" t="inlineStr">
        <is>
          <t>Low</t>
        </is>
      </c>
      <c r="H100" s="85" t="inlineStr">
        <is>
          <t>Low</t>
        </is>
      </c>
      <c r="I100" s="85" t="inlineStr">
        <is>
          <t>Low</t>
        </is>
      </c>
      <c r="J100" s="23" t="inlineStr">
        <is>
          <t>Index test: 🟡 Some concerns – thresholds not fully prespecified; slight ambiguity in operating point selection.</t>
        </is>
      </c>
      <c r="K100" s="23" t="n"/>
      <c r="L100" s="23" t="n"/>
    </row>
    <row r="101">
      <c r="B101" s="24" t="inlineStr">
        <is>
          <t>Pandey et al. (2024)</t>
        </is>
      </c>
      <c r="C101" s="85" t="inlineStr">
        <is>
          <t>Low</t>
        </is>
      </c>
      <c r="D101" s="85" t="inlineStr">
        <is>
          <t>Unclear</t>
        </is>
      </c>
      <c r="E101" s="85" t="inlineStr">
        <is>
          <t>Low</t>
        </is>
      </c>
      <c r="F101" s="85" t="inlineStr">
        <is>
          <t>Low</t>
        </is>
      </c>
      <c r="G101" s="85" t="inlineStr">
        <is>
          <t>Low</t>
        </is>
      </c>
      <c r="H101" s="85" t="inlineStr">
        <is>
          <t>Low</t>
        </is>
      </c>
      <c r="I101" s="85" t="inlineStr">
        <is>
          <t>Low</t>
        </is>
      </c>
      <c r="J101" s="23" t="n"/>
      <c r="K101" s="23" t="n"/>
      <c r="L101" s="23" t="n"/>
    </row>
    <row r="102" ht="24" customHeight="1" s="55">
      <c r="B102" s="23" t="inlineStr">
        <is>
          <t>Dow et al. (2023)</t>
        </is>
      </c>
      <c r="C102" s="85" t="inlineStr">
        <is>
          <t>Low</t>
        </is>
      </c>
      <c r="D102" s="85" t="inlineStr">
        <is>
          <t>Unclear</t>
        </is>
      </c>
      <c r="E102" s="85" t="inlineStr">
        <is>
          <t>Unclear</t>
        </is>
      </c>
      <c r="F102" s="85" t="inlineStr">
        <is>
          <t>Unclear</t>
        </is>
      </c>
      <c r="G102" s="85" t="inlineStr">
        <is>
          <t>Low</t>
        </is>
      </c>
      <c r="H102" s="85" t="inlineStr">
        <is>
          <t>Low</t>
        </is>
      </c>
      <c r="I102" s="85" t="inlineStr">
        <is>
          <t>Unclear</t>
        </is>
      </c>
      <c r="J102" s="23" t="inlineStr">
        <is>
          <t>Reference standard: 🟡 Some concerns only for Dow (not uniformly ETDRS-based);</t>
        </is>
      </c>
      <c r="K102" s="23" t="inlineStr">
        <is>
          <t>Flow &amp; timing: 🟡 Some concerns only for Dow (53-day lag)</t>
        </is>
      </c>
      <c r="L102" s="23" t="n"/>
    </row>
    <row r="103">
      <c r="B103" s="24" t="inlineStr">
        <is>
          <t>Lim et al. (2023)</t>
        </is>
      </c>
      <c r="C103" s="85" t="inlineStr">
        <is>
          <t>Low</t>
        </is>
      </c>
      <c r="D103" s="85" t="inlineStr">
        <is>
          <t>Unclear</t>
        </is>
      </c>
      <c r="E103" s="85" t="inlineStr">
        <is>
          <t>Low</t>
        </is>
      </c>
      <c r="F103" s="85" t="inlineStr">
        <is>
          <t>Low</t>
        </is>
      </c>
      <c r="G103" s="85" t="inlineStr">
        <is>
          <t>Low</t>
        </is>
      </c>
      <c r="H103" s="85" t="inlineStr">
        <is>
          <t>Low</t>
        </is>
      </c>
      <c r="I103" s="85" t="inlineStr">
        <is>
          <t>Low</t>
        </is>
      </c>
      <c r="J103" s="23" t="n"/>
      <c r="K103" s="23" t="n"/>
      <c r="L103" s="23" t="n"/>
    </row>
    <row r="104">
      <c r="B104" s="24" t="inlineStr">
        <is>
          <t>Núñez do Rio et al. (2023)</t>
        </is>
      </c>
      <c r="C104" s="85" t="inlineStr">
        <is>
          <t>Low</t>
        </is>
      </c>
      <c r="D104" s="85" t="inlineStr">
        <is>
          <t>Unclear</t>
        </is>
      </c>
      <c r="E104" s="85" t="inlineStr">
        <is>
          <t>Low</t>
        </is>
      </c>
      <c r="F104" s="85" t="inlineStr">
        <is>
          <t>Low</t>
        </is>
      </c>
      <c r="G104" s="85" t="inlineStr">
        <is>
          <t>Low</t>
        </is>
      </c>
      <c r="H104" s="85" t="inlineStr">
        <is>
          <t>Low</t>
        </is>
      </c>
      <c r="I104" s="85" t="inlineStr">
        <is>
          <t>Low</t>
        </is>
      </c>
      <c r="J104" s="23" t="n"/>
      <c r="K104" s="23" t="n"/>
      <c r="L104" s="23" t="n"/>
    </row>
    <row r="105">
      <c r="B105" s="24" t="inlineStr">
        <is>
          <t>Li et al. (2022)</t>
        </is>
      </c>
      <c r="C105" s="85" t="inlineStr">
        <is>
          <t>Low</t>
        </is>
      </c>
      <c r="D105" s="85" t="inlineStr">
        <is>
          <t>Unclear</t>
        </is>
      </c>
      <c r="E105" s="85" t="inlineStr">
        <is>
          <t>Low</t>
        </is>
      </c>
      <c r="F105" s="85" t="inlineStr">
        <is>
          <t>Low</t>
        </is>
      </c>
      <c r="G105" s="85" t="inlineStr">
        <is>
          <t>Low</t>
        </is>
      </c>
      <c r="H105" s="85" t="inlineStr">
        <is>
          <t>Low</t>
        </is>
      </c>
      <c r="I105" s="85" t="inlineStr">
        <is>
          <t>Low</t>
        </is>
      </c>
      <c r="J105" s="23" t="n"/>
      <c r="K105" s="23" t="n"/>
      <c r="L105" s="23" t="n"/>
    </row>
    <row r="106">
      <c r="B106" s="24" t="inlineStr">
        <is>
          <t>Ruamviboonsuk et al. (2022)</t>
        </is>
      </c>
      <c r="C106" s="85" t="inlineStr">
        <is>
          <t>Low</t>
        </is>
      </c>
      <c r="D106" s="85" t="inlineStr">
        <is>
          <t>Unclear</t>
        </is>
      </c>
      <c r="E106" s="85" t="inlineStr">
        <is>
          <t>Low</t>
        </is>
      </c>
      <c r="F106" s="85" t="inlineStr">
        <is>
          <t>Low</t>
        </is>
      </c>
      <c r="G106" s="85" t="inlineStr">
        <is>
          <t>Low</t>
        </is>
      </c>
      <c r="H106" s="85" t="inlineStr">
        <is>
          <t>Low</t>
        </is>
      </c>
      <c r="I106" s="85" t="inlineStr">
        <is>
          <t>Low</t>
        </is>
      </c>
      <c r="J106" s="23" t="n"/>
      <c r="K106" s="23" t="n"/>
      <c r="L106" s="23" t="n"/>
    </row>
    <row r="107" ht="24" customHeight="1" s="55">
      <c r="B107" s="24" t="inlineStr">
        <is>
          <t>Zhang et al. (2022)</t>
        </is>
      </c>
      <c r="C107" s="85" t="inlineStr">
        <is>
          <t>Low</t>
        </is>
      </c>
      <c r="D107" s="85" t="inlineStr">
        <is>
          <t>Unclear</t>
        </is>
      </c>
      <c r="E107" s="85" t="inlineStr">
        <is>
          <t>Unclear</t>
        </is>
      </c>
      <c r="F107" s="85" t="inlineStr">
        <is>
          <t>Low</t>
        </is>
      </c>
      <c r="G107" s="85" t="inlineStr">
        <is>
          <t>Low</t>
        </is>
      </c>
      <c r="H107" s="85" t="inlineStr">
        <is>
          <t>Low</t>
        </is>
      </c>
      <c r="I107" s="85" t="inlineStr">
        <is>
          <t>Low</t>
        </is>
      </c>
      <c r="J107" s="23" t="inlineStr">
        <is>
          <t>Index test: 🟡 Some concerns – unsupervised model (DGCN) without strict predefined thresholds.
Reference standard: 🟡 Some concerns – ground truth from ophthalmologists, but no formal adjudication; grading across sites may vary.</t>
        </is>
      </c>
      <c r="K107" s="23" t="n"/>
      <c r="L107" s="23" t="n"/>
    </row>
    <row r="108" ht="24" customHeight="1" s="55">
      <c r="B108" s="24" t="inlineStr">
        <is>
          <t>Hsieh et al. (2021)</t>
        </is>
      </c>
      <c r="C108" s="85" t="inlineStr">
        <is>
          <t>Low</t>
        </is>
      </c>
      <c r="D108" s="85" t="inlineStr">
        <is>
          <t>Unclear</t>
        </is>
      </c>
      <c r="E108" s="85" t="inlineStr">
        <is>
          <t>Unclear</t>
        </is>
      </c>
      <c r="F108" s="85" t="inlineStr">
        <is>
          <t>Low</t>
        </is>
      </c>
      <c r="G108" s="85" t="inlineStr">
        <is>
          <t>Low</t>
        </is>
      </c>
      <c r="H108" s="85" t="inlineStr">
        <is>
          <t>Low</t>
        </is>
      </c>
      <c r="I108" s="85" t="inlineStr">
        <is>
          <t>Unclear</t>
        </is>
      </c>
      <c r="J108" s="23" t="inlineStr">
        <is>
          <t>Reference standard: 🟡 Some concerns – grading by ophthalmologists, but adjudication details were limited.</t>
        </is>
      </c>
      <c r="K108" s="23" t="n"/>
      <c r="L108" s="23" t="n"/>
    </row>
    <row r="109">
      <c r="B109" s="24" t="inlineStr">
        <is>
          <t>Kim et al. (2021)</t>
        </is>
      </c>
      <c r="C109" s="85" t="inlineStr">
        <is>
          <t>Low</t>
        </is>
      </c>
      <c r="D109" s="85" t="inlineStr">
        <is>
          <t>Unclear</t>
        </is>
      </c>
      <c r="E109" s="85" t="inlineStr">
        <is>
          <t>Low</t>
        </is>
      </c>
      <c r="F109" s="85" t="inlineStr">
        <is>
          <t>Low</t>
        </is>
      </c>
      <c r="G109" s="85" t="inlineStr">
        <is>
          <t>Low</t>
        </is>
      </c>
      <c r="H109" s="85" t="inlineStr">
        <is>
          <t>Low</t>
        </is>
      </c>
      <c r="I109" s="85" t="inlineStr">
        <is>
          <t>Low</t>
        </is>
      </c>
      <c r="J109" s="23" t="n"/>
      <c r="K109" s="23" t="n"/>
      <c r="L109" s="23" t="n"/>
    </row>
    <row r="110">
      <c r="B110" s="24" t="inlineStr">
        <is>
          <t>Li et al. (2021)</t>
        </is>
      </c>
      <c r="C110" s="85" t="inlineStr">
        <is>
          <t>Low</t>
        </is>
      </c>
      <c r="D110" s="85" t="inlineStr">
        <is>
          <t>Unclear</t>
        </is>
      </c>
      <c r="E110" s="85" t="inlineStr">
        <is>
          <t>Low</t>
        </is>
      </c>
      <c r="F110" s="85" t="inlineStr">
        <is>
          <t>Low</t>
        </is>
      </c>
      <c r="G110" s="85" t="inlineStr">
        <is>
          <t>Low</t>
        </is>
      </c>
      <c r="H110" s="85" t="inlineStr">
        <is>
          <t>Low</t>
        </is>
      </c>
      <c r="I110" s="85" t="inlineStr">
        <is>
          <t>Low</t>
        </is>
      </c>
      <c r="J110" s="23" t="n"/>
      <c r="K110" s="23" t="n"/>
      <c r="L110" s="23" t="n"/>
    </row>
    <row r="111">
      <c r="B111" s="24" t="inlineStr">
        <is>
          <t>Noriega et al. (2021)</t>
        </is>
      </c>
      <c r="C111" s="85" t="inlineStr">
        <is>
          <t>Low</t>
        </is>
      </c>
      <c r="D111" s="85" t="inlineStr">
        <is>
          <t>Unclear</t>
        </is>
      </c>
      <c r="E111" s="85" t="inlineStr">
        <is>
          <t>Low</t>
        </is>
      </c>
      <c r="F111" s="85" t="inlineStr">
        <is>
          <t>Low</t>
        </is>
      </c>
      <c r="G111" s="85" t="inlineStr">
        <is>
          <t>Low</t>
        </is>
      </c>
      <c r="H111" s="85" t="inlineStr">
        <is>
          <t>Low</t>
        </is>
      </c>
      <c r="I111" s="85" t="inlineStr">
        <is>
          <t>Low</t>
        </is>
      </c>
      <c r="J111" s="23" t="n"/>
      <c r="K111" s="23" t="n"/>
      <c r="L111" s="23" t="n"/>
    </row>
    <row r="112">
      <c r="B112" s="24" t="inlineStr">
        <is>
          <t>Wintergerst et al. (2021)</t>
        </is>
      </c>
      <c r="C112" s="85" t="inlineStr">
        <is>
          <t>Low</t>
        </is>
      </c>
      <c r="D112" s="85" t="inlineStr">
        <is>
          <t>Unclear</t>
        </is>
      </c>
      <c r="E112" s="85" t="inlineStr">
        <is>
          <t>Low</t>
        </is>
      </c>
      <c r="F112" s="85" t="inlineStr">
        <is>
          <t>Low</t>
        </is>
      </c>
      <c r="G112" s="85" t="inlineStr">
        <is>
          <t>Low</t>
        </is>
      </c>
      <c r="H112" s="85" t="inlineStr">
        <is>
          <t>Low</t>
        </is>
      </c>
      <c r="I112" s="85" t="inlineStr">
        <is>
          <t>Low</t>
        </is>
      </c>
      <c r="J112" s="23" t="n"/>
      <c r="K112" s="23" t="n"/>
      <c r="L112" s="23" t="n"/>
    </row>
    <row r="113">
      <c r="B113" s="23" t="inlineStr">
        <is>
          <t>Gonz_x0001_alez-Gonzalo et al. (2020)</t>
        </is>
      </c>
      <c r="C113" s="85" t="inlineStr">
        <is>
          <t>Low</t>
        </is>
      </c>
      <c r="D113" s="85" t="inlineStr">
        <is>
          <t>Unclear</t>
        </is>
      </c>
      <c r="E113" s="85" t="inlineStr">
        <is>
          <t>Low</t>
        </is>
      </c>
      <c r="F113" s="85" t="inlineStr">
        <is>
          <t>Low</t>
        </is>
      </c>
      <c r="G113" s="85" t="inlineStr">
        <is>
          <t>Low</t>
        </is>
      </c>
      <c r="H113" s="85" t="inlineStr">
        <is>
          <t>Low</t>
        </is>
      </c>
      <c r="I113" s="85" t="inlineStr">
        <is>
          <t>Low</t>
        </is>
      </c>
      <c r="J113" s="23" t="n"/>
      <c r="K113" s="23" t="n"/>
      <c r="L113" s="23" t="n"/>
    </row>
    <row r="114">
      <c r="B114" s="24" t="inlineStr">
        <is>
          <t>Limwattanayingyong et al .(2020)</t>
        </is>
      </c>
      <c r="C114" s="85" t="inlineStr">
        <is>
          <t>Low</t>
        </is>
      </c>
      <c r="D114" s="85" t="inlineStr">
        <is>
          <t>Unclear</t>
        </is>
      </c>
      <c r="E114" s="85" t="inlineStr">
        <is>
          <t>Low</t>
        </is>
      </c>
      <c r="F114" s="85" t="inlineStr">
        <is>
          <t>Low</t>
        </is>
      </c>
      <c r="G114" s="85" t="inlineStr">
        <is>
          <t>Low</t>
        </is>
      </c>
      <c r="H114" s="85" t="inlineStr">
        <is>
          <t>Low</t>
        </is>
      </c>
      <c r="I114" s="85" t="inlineStr">
        <is>
          <t>Low</t>
        </is>
      </c>
      <c r="J114" s="23" t="n"/>
      <c r="K114" s="23" t="n"/>
      <c r="L114" s="23" t="n"/>
    </row>
    <row r="115" ht="24" customHeight="1" s="55">
      <c r="B115" s="24" t="inlineStr">
        <is>
          <t>Ruamviboonsuk et al. (2019)</t>
        </is>
      </c>
      <c r="C115" s="85" t="inlineStr">
        <is>
          <t>Low</t>
        </is>
      </c>
      <c r="D115" s="85" t="inlineStr">
        <is>
          <t>Unclear</t>
        </is>
      </c>
      <c r="E115" s="85" t="inlineStr">
        <is>
          <t>Unclear</t>
        </is>
      </c>
      <c r="F115" s="85" t="inlineStr">
        <is>
          <t>Low</t>
        </is>
      </c>
      <c r="G115" s="85" t="inlineStr">
        <is>
          <t>Low</t>
        </is>
      </c>
      <c r="H115" s="85" t="inlineStr">
        <is>
          <t>Low</t>
        </is>
      </c>
      <c r="I115" s="85" t="inlineStr">
        <is>
          <t>Unclear</t>
        </is>
      </c>
      <c r="J115" s="23" t="inlineStr">
        <is>
          <t>Reference standard: 🟡 Some concerns. International retina specialists adjudicated moderate NPDR+ cases and a sample of lower grades; however, not all “no DR vs mild DR” cases were adjudicated, potentially inflating performance.</t>
        </is>
      </c>
      <c r="K115" s="23" t="n"/>
      <c r="L115" s="23" t="n"/>
    </row>
    <row r="116">
      <c r="B116" s="23" t="inlineStr">
        <is>
          <t>Krause et al. (2018)</t>
        </is>
      </c>
      <c r="C116" s="85" t="inlineStr">
        <is>
          <t>Low</t>
        </is>
      </c>
      <c r="D116" s="85" t="inlineStr">
        <is>
          <t>Unclear</t>
        </is>
      </c>
      <c r="E116" s="85" t="inlineStr">
        <is>
          <t>Low</t>
        </is>
      </c>
      <c r="F116" s="85" t="inlineStr">
        <is>
          <t>Low</t>
        </is>
      </c>
      <c r="G116" s="85" t="inlineStr">
        <is>
          <t>Low</t>
        </is>
      </c>
      <c r="H116" s="85" t="inlineStr">
        <is>
          <t>Low</t>
        </is>
      </c>
      <c r="I116" s="85" t="inlineStr">
        <is>
          <t>Low</t>
        </is>
      </c>
      <c r="J116" s="23" t="n"/>
      <c r="K116" s="23" t="n"/>
      <c r="L116" s="23" t="n"/>
    </row>
    <row r="117" ht="24" customHeight="1" s="55">
      <c r="B117" s="24" t="inlineStr">
        <is>
          <t>Shu et al. (2017)</t>
        </is>
      </c>
      <c r="C117" s="85" t="inlineStr">
        <is>
          <t>Low</t>
        </is>
      </c>
      <c r="D117" s="85" t="inlineStr">
        <is>
          <t>Unclear</t>
        </is>
      </c>
      <c r="E117" s="85" t="inlineStr">
        <is>
          <t>Unclear</t>
        </is>
      </c>
      <c r="F117" s="85" t="inlineStr">
        <is>
          <t>Low</t>
        </is>
      </c>
      <c r="G117" s="85" t="inlineStr">
        <is>
          <t>Low</t>
        </is>
      </c>
      <c r="H117" s="85" t="inlineStr">
        <is>
          <t>Low</t>
        </is>
      </c>
      <c r="I117" s="85" t="inlineStr">
        <is>
          <t>Unclear</t>
        </is>
      </c>
      <c r="J117" s="23" t="inlineStr">
        <is>
          <t>Reference standard: 🟡 Some concerns. In primary validation, reference = retinal specialist grading (robust). But in external datasets, reference varied (retinal specialists, optometrists, trained graders), which introduces inconsistency.</t>
        </is>
      </c>
      <c r="K117" s="23" t="n"/>
      <c r="L117" s="23" t="n"/>
    </row>
    <row r="118">
      <c r="J118" s="23" t="n"/>
      <c r="K118" s="23" t="n"/>
      <c r="L118" s="23" t="n"/>
    </row>
    <row r="121" ht="17" customHeight="1" s="55" thickBot="1"/>
    <row r="122" ht="17" customHeight="1" s="55" thickBot="1">
      <c r="C122" s="87" t="n"/>
      <c r="D122" s="34" t="inlineStr">
        <is>
          <t>Patient selection</t>
        </is>
      </c>
      <c r="E122" s="34" t="inlineStr">
        <is>
          <t>Index test</t>
        </is>
      </c>
      <c r="F122" s="34" t="inlineStr">
        <is>
          <t>Reference standard</t>
        </is>
      </c>
      <c r="G122" s="35" t="inlineStr">
        <is>
          <t>Flow and timing</t>
        </is>
      </c>
      <c r="H122" s="87" t="n"/>
      <c r="I122" s="34" t="inlineStr">
        <is>
          <t>Patient selection</t>
        </is>
      </c>
      <c r="J122" s="34" t="inlineStr">
        <is>
          <t>Index test</t>
        </is>
      </c>
      <c r="K122" s="35" t="inlineStr">
        <is>
          <t>Reference standard</t>
        </is>
      </c>
    </row>
    <row r="123">
      <c r="C123" s="42" t="inlineStr">
        <is>
          <t>Low risk of bias</t>
        </is>
      </c>
      <c r="D123" s="85">
        <f>COUNTIF(C95:C117,"Low")/23</f>
        <v/>
      </c>
      <c r="E123" s="85">
        <f>COUNTIF(D95:D117,"Low")/23</f>
        <v/>
      </c>
      <c r="F123" s="85">
        <f>COUNTIF(E95:E117,"Low")/23</f>
        <v/>
      </c>
      <c r="G123" s="85">
        <f>COUNTIF(F95:F117,"Low")/23</f>
        <v/>
      </c>
      <c r="H123" s="42" t="inlineStr">
        <is>
          <t>Low</t>
        </is>
      </c>
      <c r="I123" s="85">
        <f>COUNTIF(G95:G117,"Low")/23</f>
        <v/>
      </c>
      <c r="J123" s="85">
        <f>COUNTIF(H95:H117,"Low")/23</f>
        <v/>
      </c>
      <c r="K123" s="85">
        <f>COUNTIF(I95:I117,"Low")/23</f>
        <v/>
      </c>
    </row>
    <row r="124">
      <c r="C124" s="42" t="inlineStr">
        <is>
          <t>Unclear risk of bias</t>
        </is>
      </c>
      <c r="D124" s="85">
        <f>COUNTIF(C95:C117,"Unclear")/23</f>
        <v/>
      </c>
      <c r="E124" s="85">
        <f>COUNTIF(D95:D117,"Unclear")/23</f>
        <v/>
      </c>
      <c r="F124" s="85">
        <f>COUNTIF(E95:E117,"Unclear")/23</f>
        <v/>
      </c>
      <c r="G124" s="85">
        <f>COUNTIF(F95:F117,"Unclear")/23</f>
        <v/>
      </c>
      <c r="H124" s="42" t="inlineStr">
        <is>
          <t>Unclear</t>
        </is>
      </c>
      <c r="I124" s="85">
        <f>COUNTIF(G95:G117,"Unclear")/23</f>
        <v/>
      </c>
      <c r="J124" s="85">
        <f>COUNTIF(H95:H117,"Unclear")/23</f>
        <v/>
      </c>
      <c r="K124" s="85">
        <f>COUNTIF(I95:I117,"Unclear")/23</f>
        <v/>
      </c>
    </row>
    <row r="125" ht="17" customHeight="1" s="55" thickBot="1">
      <c r="C125" s="43" t="inlineStr">
        <is>
          <t>High risk of bias</t>
        </is>
      </c>
      <c r="D125" s="30">
        <f>1-D123-D124</f>
        <v/>
      </c>
      <c r="E125" s="30">
        <f>1-E123-E124</f>
        <v/>
      </c>
      <c r="F125" s="30">
        <f>1-F123-F124</f>
        <v/>
      </c>
      <c r="G125" s="30">
        <f>1-G123-G124</f>
        <v/>
      </c>
      <c r="H125" s="43" t="inlineStr">
        <is>
          <t xml:space="preserve">High </t>
        </is>
      </c>
      <c r="I125" s="30">
        <f>1-I123-I124</f>
        <v/>
      </c>
      <c r="J125" s="30">
        <f>1-J123-J124</f>
        <v/>
      </c>
      <c r="K125" s="30">
        <f>1-K123-K124</f>
        <v/>
      </c>
    </row>
  </sheetData>
  <mergeCells count="539">
    <mergeCell ref="AP18:AP19"/>
    <mergeCell ref="K32:K33"/>
    <mergeCell ref="K26:K27"/>
    <mergeCell ref="AW32:AW33"/>
    <mergeCell ref="AG46:AG47"/>
    <mergeCell ref="AL36:AL37"/>
    <mergeCell ref="AG40:AG41"/>
    <mergeCell ref="AN36:AN37"/>
    <mergeCell ref="AI40:AI41"/>
    <mergeCell ref="AT20:AT21"/>
    <mergeCell ref="AV14:AV15"/>
    <mergeCell ref="AP2:AR2"/>
    <mergeCell ref="AF14:AF15"/>
    <mergeCell ref="AG48:AG49"/>
    <mergeCell ref="AF32:AF33"/>
    <mergeCell ref="AK22:AK23"/>
    <mergeCell ref="AK34:AK35"/>
    <mergeCell ref="M18:M19"/>
    <mergeCell ref="C93:F93"/>
    <mergeCell ref="AK86:AK87"/>
    <mergeCell ref="AP16:AP17"/>
    <mergeCell ref="AM86:AM87"/>
    <mergeCell ref="AF40:AF41"/>
    <mergeCell ref="J8:J9"/>
    <mergeCell ref="AR18:AR19"/>
    <mergeCell ref="AN34:AN35"/>
    <mergeCell ref="J10:J11"/>
    <mergeCell ref="AQ20:AQ21"/>
    <mergeCell ref="AN24:AN25"/>
    <mergeCell ref="AT8:AT9"/>
    <mergeCell ref="AF24:AF25"/>
    <mergeCell ref="AV8:AV9"/>
    <mergeCell ref="AF16:AF17"/>
    <mergeCell ref="AL26:AL27"/>
    <mergeCell ref="L18:L19"/>
    <mergeCell ref="AQ22:AQ23"/>
    <mergeCell ref="AN26:AN27"/>
    <mergeCell ref="AT10:AT11"/>
    <mergeCell ref="AV10:AV11"/>
    <mergeCell ref="AQ14:AQ15"/>
    <mergeCell ref="K46:K47"/>
    <mergeCell ref="AS86:AS87"/>
    <mergeCell ref="K40:K41"/>
    <mergeCell ref="M40:M41"/>
    <mergeCell ref="AK10:AK11"/>
    <mergeCell ref="AP6:AP7"/>
    <mergeCell ref="AR6:AR7"/>
    <mergeCell ref="AM10:AM11"/>
    <mergeCell ref="M24:M25"/>
    <mergeCell ref="K48:K49"/>
    <mergeCell ref="AT34:AT35"/>
    <mergeCell ref="AO38:AO39"/>
    <mergeCell ref="AV34:AV35"/>
    <mergeCell ref="AQ38:AQ39"/>
    <mergeCell ref="AN42:AN43"/>
    <mergeCell ref="AJ4:AJ5"/>
    <mergeCell ref="AF42:AF43"/>
    <mergeCell ref="AL4:AL5"/>
    <mergeCell ref="AO40:AO41"/>
    <mergeCell ref="AT36:AT37"/>
    <mergeCell ref="AL44:AL45"/>
    <mergeCell ref="AQ40:AQ41"/>
    <mergeCell ref="AT30:AT31"/>
    <mergeCell ref="AV36:AV37"/>
    <mergeCell ref="AV30:AV31"/>
    <mergeCell ref="AF46:AF47"/>
    <mergeCell ref="AI34:AI35"/>
    <mergeCell ref="AS20:AS21"/>
    <mergeCell ref="AP24:AP25"/>
    <mergeCell ref="AU20:AU21"/>
    <mergeCell ref="AF48:AF49"/>
    <mergeCell ref="AS22:AS23"/>
    <mergeCell ref="AP26:AP27"/>
    <mergeCell ref="AH14:AH15"/>
    <mergeCell ref="M46:M47"/>
    <mergeCell ref="J24:J25"/>
    <mergeCell ref="AL32:AL33"/>
    <mergeCell ref="M12:M13"/>
    <mergeCell ref="J26:J27"/>
    <mergeCell ref="L26:L27"/>
    <mergeCell ref="M14:M15"/>
    <mergeCell ref="J18:J19"/>
    <mergeCell ref="K8:K9"/>
    <mergeCell ref="AV24:AV25"/>
    <mergeCell ref="K10:K11"/>
    <mergeCell ref="AQ30:AQ31"/>
    <mergeCell ref="AV26:AV27"/>
    <mergeCell ref="AS30:AS31"/>
    <mergeCell ref="M38:M39"/>
    <mergeCell ref="AO46:AO47"/>
    <mergeCell ref="J42:J43"/>
    <mergeCell ref="AP12:AP13"/>
    <mergeCell ref="AU8:AU9"/>
    <mergeCell ref="AW8:AW9"/>
    <mergeCell ref="AH12:AH13"/>
    <mergeCell ref="AJ12:AJ13"/>
    <mergeCell ref="AK32:AK33"/>
    <mergeCell ref="K18:K19"/>
    <mergeCell ref="AM26:AM27"/>
    <mergeCell ref="AS10:AS11"/>
    <mergeCell ref="AO48:AO49"/>
    <mergeCell ref="J44:J45"/>
    <mergeCell ref="AU10:AU11"/>
    <mergeCell ref="AP14:AP15"/>
    <mergeCell ref="AR14:AR15"/>
    <mergeCell ref="AJ14:AJ15"/>
    <mergeCell ref="J6:J7"/>
    <mergeCell ref="AT42:AT43"/>
    <mergeCell ref="AV42:AV43"/>
    <mergeCell ref="L24:L25"/>
    <mergeCell ref="AN32:AN33"/>
    <mergeCell ref="AW18:AW19"/>
    <mergeCell ref="AT44:AT45"/>
    <mergeCell ref="AU34:AU35"/>
    <mergeCell ref="AP38:AP39"/>
    <mergeCell ref="AI4:AI5"/>
    <mergeCell ref="AU86:AU87"/>
    <mergeCell ref="AN46:AN47"/>
    <mergeCell ref="AS36:AS37"/>
    <mergeCell ref="AP46:AP47"/>
    <mergeCell ref="AU36:AU37"/>
    <mergeCell ref="AP40:AP41"/>
    <mergeCell ref="AK44:AK45"/>
    <mergeCell ref="AR40:AR41"/>
    <mergeCell ref="AK16:AK17"/>
    <mergeCell ref="AL48:AL49"/>
    <mergeCell ref="AM16:AM17"/>
    <mergeCell ref="AF38:AF39"/>
    <mergeCell ref="AM32:AM33"/>
    <mergeCell ref="AV32:AV33"/>
    <mergeCell ref="L12:L13"/>
    <mergeCell ref="AH20:AH21"/>
    <mergeCell ref="AF6:AF7"/>
    <mergeCell ref="L14:L15"/>
    <mergeCell ref="AR4:AR5"/>
    <mergeCell ref="AP34:AP35"/>
    <mergeCell ref="AT4:AT5"/>
    <mergeCell ref="N2:R2"/>
    <mergeCell ref="AU24:AU25"/>
    <mergeCell ref="AH34:AH35"/>
    <mergeCell ref="AR28:AR29"/>
    <mergeCell ref="AJ28:AJ29"/>
    <mergeCell ref="AL28:AL29"/>
    <mergeCell ref="AR12:AR13"/>
    <mergeCell ref="J32:J33"/>
    <mergeCell ref="AP30:AP31"/>
    <mergeCell ref="AU26:AU27"/>
    <mergeCell ref="AR30:AR31"/>
    <mergeCell ref="AH30:AH31"/>
    <mergeCell ref="L38:L39"/>
    <mergeCell ref="AJ30:AJ31"/>
    <mergeCell ref="AW26:AW27"/>
    <mergeCell ref="AG12:AG13"/>
    <mergeCell ref="K42:K43"/>
    <mergeCell ref="J22:J23"/>
    <mergeCell ref="AI12:AI13"/>
    <mergeCell ref="AS34:AS35"/>
    <mergeCell ref="L40:L41"/>
    <mergeCell ref="AN48:AN49"/>
    <mergeCell ref="AG20:AG21"/>
    <mergeCell ref="AP48:AP49"/>
    <mergeCell ref="AG14:AG15"/>
    <mergeCell ref="AI14:AI15"/>
    <mergeCell ref="AM22:AM23"/>
    <mergeCell ref="K6:K7"/>
    <mergeCell ref="AS42:AS43"/>
    <mergeCell ref="AM18:AM19"/>
    <mergeCell ref="AK2:AO2"/>
    <mergeCell ref="AK42:AK43"/>
    <mergeCell ref="AU42:AU43"/>
    <mergeCell ref="AM42:AM43"/>
    <mergeCell ref="M34:M35"/>
    <mergeCell ref="AH8:AH9"/>
    <mergeCell ref="AS44:AS45"/>
    <mergeCell ref="AU44:AU45"/>
    <mergeCell ref="AJ8:AJ9"/>
    <mergeCell ref="AM44:AM45"/>
    <mergeCell ref="AK4:AK5"/>
    <mergeCell ref="AM46:AM47"/>
    <mergeCell ref="AH10:AH11"/>
    <mergeCell ref="AJ10:AJ11"/>
    <mergeCell ref="AR34:AR35"/>
    <mergeCell ref="AW24:AW25"/>
    <mergeCell ref="AG86:AG87"/>
    <mergeCell ref="AM48:AM49"/>
    <mergeCell ref="J20:J21"/>
    <mergeCell ref="L20:L21"/>
    <mergeCell ref="AQ4:AQ5"/>
    <mergeCell ref="AW14:AW15"/>
    <mergeCell ref="AO14:AO15"/>
    <mergeCell ref="AJ18:AJ19"/>
    <mergeCell ref="AL18:AL19"/>
    <mergeCell ref="L22:L23"/>
    <mergeCell ref="AJ34:AJ35"/>
    <mergeCell ref="L34:L35"/>
    <mergeCell ref="AS32:AS33"/>
    <mergeCell ref="AG8:AG9"/>
    <mergeCell ref="AU32:AU33"/>
    <mergeCell ref="AI8:AI9"/>
    <mergeCell ref="AH36:AH37"/>
    <mergeCell ref="L86:L87"/>
    <mergeCell ref="AJ36:AJ37"/>
    <mergeCell ref="L46:L47"/>
    <mergeCell ref="K20:K21"/>
    <mergeCell ref="J48:J49"/>
    <mergeCell ref="M20:M21"/>
    <mergeCell ref="L48:L49"/>
    <mergeCell ref="AG22:AG23"/>
    <mergeCell ref="AG34:AG35"/>
    <mergeCell ref="AV46:AV47"/>
    <mergeCell ref="AI28:AI29"/>
    <mergeCell ref="AO12:AO13"/>
    <mergeCell ref="AK28:AK29"/>
    <mergeCell ref="AL16:AL17"/>
    <mergeCell ref="AQ12:AQ13"/>
    <mergeCell ref="AI86:AI87"/>
    <mergeCell ref="AS12:AS13"/>
    <mergeCell ref="AN16:AN17"/>
    <mergeCell ref="AG36:AG37"/>
    <mergeCell ref="AI36:AI37"/>
    <mergeCell ref="AV48:AV49"/>
    <mergeCell ref="AI30:AI31"/>
    <mergeCell ref="AK30:AK31"/>
    <mergeCell ref="AN18:AN19"/>
    <mergeCell ref="AF20:AF21"/>
    <mergeCell ref="AM20:AM21"/>
    <mergeCell ref="AJ24:AJ25"/>
    <mergeCell ref="K4:K5"/>
    <mergeCell ref="AF22:AF23"/>
    <mergeCell ref="AL42:AL43"/>
    <mergeCell ref="AH26:AH27"/>
    <mergeCell ref="AU46:AU47"/>
    <mergeCell ref="AO22:AO23"/>
    <mergeCell ref="AJ26:AJ27"/>
    <mergeCell ref="AW40:AW41"/>
    <mergeCell ref="AR44:AR45"/>
    <mergeCell ref="AJ44:AJ45"/>
    <mergeCell ref="AK8:AK9"/>
    <mergeCell ref="K16:K17"/>
    <mergeCell ref="L36:L37"/>
    <mergeCell ref="AT16:AT17"/>
    <mergeCell ref="AG10:AG11"/>
    <mergeCell ref="AL6:AL7"/>
    <mergeCell ref="AI10:AI11"/>
    <mergeCell ref="AN6:AN7"/>
    <mergeCell ref="AM38:AM39"/>
    <mergeCell ref="AT32:AT33"/>
    <mergeCell ref="AN4:AN5"/>
    <mergeCell ref="AF4:AF5"/>
    <mergeCell ref="AT28:AT29"/>
    <mergeCell ref="AH4:AH5"/>
    <mergeCell ref="AI24:AI25"/>
    <mergeCell ref="AK18:AK19"/>
    <mergeCell ref="AM40:AM41"/>
    <mergeCell ref="K22:K23"/>
    <mergeCell ref="M22:M23"/>
    <mergeCell ref="K86:K87"/>
    <mergeCell ref="AW20:AW21"/>
    <mergeCell ref="M86:M87"/>
    <mergeCell ref="AO20:AO21"/>
    <mergeCell ref="J16:J17"/>
    <mergeCell ref="AL24:AL25"/>
    <mergeCell ref="M36:M37"/>
    <mergeCell ref="AK6:AK7"/>
    <mergeCell ref="M30:M31"/>
    <mergeCell ref="AM6:AM7"/>
    <mergeCell ref="AW22:AW23"/>
    <mergeCell ref="AS2:AW2"/>
    <mergeCell ref="K38:K39"/>
    <mergeCell ref="AG42:AG43"/>
    <mergeCell ref="AQ28:AQ29"/>
    <mergeCell ref="AS28:AS29"/>
    <mergeCell ref="M4:M5"/>
    <mergeCell ref="AW46:AW47"/>
    <mergeCell ref="AJ50:AJ51"/>
    <mergeCell ref="AF86:AF87"/>
    <mergeCell ref="AH86:AH87"/>
    <mergeCell ref="AF36:AF37"/>
    <mergeCell ref="AU48:AU49"/>
    <mergeCell ref="AQ86:AQ87"/>
    <mergeCell ref="AW48:AW49"/>
    <mergeCell ref="AJ52:AJ53"/>
    <mergeCell ref="AT24:AT25"/>
    <mergeCell ref="AT18:AT19"/>
    <mergeCell ref="AV18:AV19"/>
    <mergeCell ref="J4:J5"/>
    <mergeCell ref="AQ8:AQ9"/>
    <mergeCell ref="L4:L5"/>
    <mergeCell ref="AS8:AS9"/>
    <mergeCell ref="AF12:AF13"/>
    <mergeCell ref="AG32:AG33"/>
    <mergeCell ref="AI26:AI27"/>
    <mergeCell ref="AO10:AO11"/>
    <mergeCell ref="AV6:AV7"/>
    <mergeCell ref="AQ10:AQ11"/>
    <mergeCell ref="AN86:AN87"/>
    <mergeCell ref="AS16:AS17"/>
    <mergeCell ref="AF2:AJ2"/>
    <mergeCell ref="AR42:AR43"/>
    <mergeCell ref="AJ32:AJ33"/>
    <mergeCell ref="G2:I2"/>
    <mergeCell ref="AS18:AS19"/>
    <mergeCell ref="AU18:AU19"/>
    <mergeCell ref="AO34:AO35"/>
    <mergeCell ref="AL38:AL39"/>
    <mergeCell ref="AQ34:AQ35"/>
    <mergeCell ref="AN38:AN39"/>
    <mergeCell ref="AG4:AG5"/>
    <mergeCell ref="AV16:AV17"/>
    <mergeCell ref="AJ46:AJ47"/>
    <mergeCell ref="AK12:AK13"/>
    <mergeCell ref="AW36:AW37"/>
    <mergeCell ref="AO36:AO37"/>
    <mergeCell ref="AJ40:AJ41"/>
    <mergeCell ref="AL46:AL47"/>
    <mergeCell ref="AQ36:AQ37"/>
    <mergeCell ref="AL40:AL41"/>
    <mergeCell ref="AN40:AN41"/>
    <mergeCell ref="AN20:AN21"/>
    <mergeCell ref="AK24:AK25"/>
    <mergeCell ref="AP20:AP21"/>
    <mergeCell ref="AI32:AI33"/>
    <mergeCell ref="AN22:AN23"/>
    <mergeCell ref="AK26:AK27"/>
    <mergeCell ref="AP22:AP23"/>
    <mergeCell ref="AK38:AK39"/>
    <mergeCell ref="M28:M29"/>
    <mergeCell ref="AP86:AP87"/>
    <mergeCell ref="AU16:AU17"/>
    <mergeCell ref="AW16:AW17"/>
    <mergeCell ref="AV44:AV45"/>
    <mergeCell ref="AK40:AK41"/>
    <mergeCell ref="M8:M9"/>
    <mergeCell ref="J12:J13"/>
    <mergeCell ref="J14:J15"/>
    <mergeCell ref="AP4:AP5"/>
    <mergeCell ref="AV20:AV21"/>
    <mergeCell ref="AQ24:AQ25"/>
    <mergeCell ref="AS24:AS25"/>
    <mergeCell ref="AT12:AT13"/>
    <mergeCell ref="AF28:AF29"/>
    <mergeCell ref="AV12:AV13"/>
    <mergeCell ref="AH28:AH29"/>
    <mergeCell ref="AV22:AV23"/>
    <mergeCell ref="AQ26:AQ27"/>
    <mergeCell ref="AS26:AS27"/>
    <mergeCell ref="J38:J39"/>
    <mergeCell ref="AP8:AP9"/>
    <mergeCell ref="AR8:AR9"/>
    <mergeCell ref="W2:Z2"/>
    <mergeCell ref="AK20:AK21"/>
    <mergeCell ref="AS6:AS7"/>
    <mergeCell ref="AJ48:AJ49"/>
    <mergeCell ref="AP10:AP11"/>
    <mergeCell ref="AU6:AU7"/>
    <mergeCell ref="J40:J41"/>
    <mergeCell ref="AW6:AW7"/>
    <mergeCell ref="AR10:AR11"/>
    <mergeCell ref="AI22:AI23"/>
    <mergeCell ref="AO42:AO43"/>
    <mergeCell ref="AT38:AT39"/>
    <mergeCell ref="AV38:AV39"/>
    <mergeCell ref="AM4:AM5"/>
    <mergeCell ref="AQ42:AQ43"/>
    <mergeCell ref="AO4:AO5"/>
    <mergeCell ref="M32:M33"/>
    <mergeCell ref="AT40:AT41"/>
    <mergeCell ref="AO44:AO45"/>
    <mergeCell ref="AV40:AV41"/>
    <mergeCell ref="AQ44:AQ45"/>
    <mergeCell ref="AI46:AI47"/>
    <mergeCell ref="AK46:AK47"/>
    <mergeCell ref="AP36:AP37"/>
    <mergeCell ref="AR36:AR37"/>
    <mergeCell ref="AH16:AH17"/>
    <mergeCell ref="AI48:AI49"/>
    <mergeCell ref="AK48:AK49"/>
    <mergeCell ref="AF18:AF19"/>
    <mergeCell ref="AH18:AH19"/>
    <mergeCell ref="AM14:AM15"/>
    <mergeCell ref="AF34:AF35"/>
    <mergeCell ref="AO32:AO33"/>
    <mergeCell ref="J28:J29"/>
    <mergeCell ref="AQ32:AQ33"/>
    <mergeCell ref="L28:L29"/>
    <mergeCell ref="J2:M2"/>
    <mergeCell ref="J86:J87"/>
    <mergeCell ref="J30:J31"/>
    <mergeCell ref="L30:L31"/>
    <mergeCell ref="L8:L9"/>
    <mergeCell ref="K12:K13"/>
    <mergeCell ref="AV28:AV29"/>
    <mergeCell ref="L10:L11"/>
    <mergeCell ref="K14:K15"/>
    <mergeCell ref="M42:M43"/>
    <mergeCell ref="AT46:AT47"/>
    <mergeCell ref="AU12:AU13"/>
    <mergeCell ref="AG28:AG29"/>
    <mergeCell ref="AW12:AW13"/>
    <mergeCell ref="AM12:AM13"/>
    <mergeCell ref="AJ16:AJ17"/>
    <mergeCell ref="AP32:AP33"/>
    <mergeCell ref="AK36:AK37"/>
    <mergeCell ref="AU22:AU23"/>
    <mergeCell ref="AM36:AM37"/>
    <mergeCell ref="AR26:AR27"/>
    <mergeCell ref="M44:M45"/>
    <mergeCell ref="AG30:AG31"/>
    <mergeCell ref="AU14:AU15"/>
    <mergeCell ref="AT6:AT7"/>
    <mergeCell ref="M48:M49"/>
    <mergeCell ref="AS38:AS39"/>
    <mergeCell ref="AU38:AU39"/>
    <mergeCell ref="AP42:AP43"/>
    <mergeCell ref="AW38:AW39"/>
    <mergeCell ref="AH42:AH43"/>
    <mergeCell ref="AJ42:AJ43"/>
    <mergeCell ref="AS40:AS41"/>
    <mergeCell ref="AN44:AN45"/>
    <mergeCell ref="AU40:AU41"/>
    <mergeCell ref="AP44:AP45"/>
    <mergeCell ref="AF44:AF45"/>
    <mergeCell ref="AH44:AH45"/>
    <mergeCell ref="J36:J37"/>
    <mergeCell ref="AH6:AH7"/>
    <mergeCell ref="AJ6:AJ7"/>
    <mergeCell ref="AR24:AR25"/>
    <mergeCell ref="AH48:AH49"/>
    <mergeCell ref="AT26:AT27"/>
    <mergeCell ref="AG18:AG19"/>
    <mergeCell ref="AH32:AH33"/>
    <mergeCell ref="L16:L17"/>
    <mergeCell ref="C2:F2"/>
    <mergeCell ref="AH24:AH25"/>
    <mergeCell ref="AG6:AG7"/>
    <mergeCell ref="K30:K31"/>
    <mergeCell ref="AF10:AF11"/>
    <mergeCell ref="J34:J35"/>
    <mergeCell ref="AW4:AW5"/>
    <mergeCell ref="AU28:AU29"/>
    <mergeCell ref="AW28:AW29"/>
    <mergeCell ref="AM28:AM29"/>
    <mergeCell ref="AO28:AO29"/>
    <mergeCell ref="M10:M11"/>
    <mergeCell ref="AU30:AU31"/>
    <mergeCell ref="AW30:AW31"/>
    <mergeCell ref="AM30:AM31"/>
    <mergeCell ref="AQ46:AQ47"/>
    <mergeCell ref="AO30:AO31"/>
    <mergeCell ref="AS46:AS47"/>
    <mergeCell ref="L42:L43"/>
    <mergeCell ref="AG16:AG17"/>
    <mergeCell ref="AL12:AL13"/>
    <mergeCell ref="AN12:AN13"/>
    <mergeCell ref="AI16:AI17"/>
    <mergeCell ref="AR20:AR21"/>
    <mergeCell ref="AQ48:AQ49"/>
    <mergeCell ref="AW10:AW11"/>
    <mergeCell ref="L44:L45"/>
    <mergeCell ref="AR16:AR17"/>
    <mergeCell ref="AF30:AF31"/>
    <mergeCell ref="AS48:AS49"/>
    <mergeCell ref="AL14:AL15"/>
    <mergeCell ref="AI18:AI19"/>
    <mergeCell ref="AN14:AN15"/>
    <mergeCell ref="L6:L7"/>
    <mergeCell ref="AV86:AV87"/>
    <mergeCell ref="K34:K35"/>
    <mergeCell ref="K28:K29"/>
    <mergeCell ref="AR32:AR33"/>
    <mergeCell ref="AM8:AM9"/>
    <mergeCell ref="AO8:AO9"/>
    <mergeCell ref="AI42:AI43"/>
    <mergeCell ref="AH22:AH23"/>
    <mergeCell ref="AJ22:AJ23"/>
    <mergeCell ref="AR46:AR47"/>
    <mergeCell ref="AG26:AG27"/>
    <mergeCell ref="AG44:AG45"/>
    <mergeCell ref="AI44:AI45"/>
    <mergeCell ref="G93:I93"/>
    <mergeCell ref="AO16:AO17"/>
    <mergeCell ref="AL86:AL87"/>
    <mergeCell ref="AR48:AR49"/>
    <mergeCell ref="L32:L33"/>
    <mergeCell ref="AI6:AI7"/>
    <mergeCell ref="AO18:AO19"/>
    <mergeCell ref="AM34:AM35"/>
    <mergeCell ref="AH38:AH39"/>
    <mergeCell ref="AJ38:AJ39"/>
    <mergeCell ref="AH40:AH41"/>
    <mergeCell ref="AJ20:AJ21"/>
    <mergeCell ref="AG24:AG25"/>
    <mergeCell ref="AL20:AL21"/>
    <mergeCell ref="M26:M27"/>
    <mergeCell ref="AR22:AR23"/>
    <mergeCell ref="AT22:AT23"/>
    <mergeCell ref="AL22:AL23"/>
    <mergeCell ref="AV4:AV5"/>
    <mergeCell ref="AL34:AL35"/>
    <mergeCell ref="AG38:AG39"/>
    <mergeCell ref="AI38:AI39"/>
    <mergeCell ref="AN28:AN29"/>
    <mergeCell ref="AT86:AT87"/>
    <mergeCell ref="AP28:AP29"/>
    <mergeCell ref="AQ16:AQ17"/>
    <mergeCell ref="K36:K37"/>
    <mergeCell ref="AL30:AL31"/>
    <mergeCell ref="AN30:AN31"/>
    <mergeCell ref="AW34:AW35"/>
    <mergeCell ref="K44:K45"/>
    <mergeCell ref="AI20:AI21"/>
    <mergeCell ref="AT48:AT49"/>
    <mergeCell ref="AK14:AK15"/>
    <mergeCell ref="AM24:AM25"/>
    <mergeCell ref="M16:M17"/>
    <mergeCell ref="AO24:AO25"/>
    <mergeCell ref="M6:M7"/>
    <mergeCell ref="AT14:AT15"/>
    <mergeCell ref="AW42:AW43"/>
    <mergeCell ref="AQ18:AQ19"/>
    <mergeCell ref="AF26:AF27"/>
    <mergeCell ref="AO26:AO27"/>
    <mergeCell ref="AW44:AW45"/>
    <mergeCell ref="AL8:AL9"/>
    <mergeCell ref="AH46:AH47"/>
    <mergeCell ref="AN8:AN9"/>
    <mergeCell ref="S2:V2"/>
    <mergeCell ref="AF8:AF9"/>
    <mergeCell ref="J46:J47"/>
    <mergeCell ref="AO6:AO7"/>
    <mergeCell ref="AQ6:AQ7"/>
    <mergeCell ref="AL10:AL11"/>
    <mergeCell ref="AN10:AN11"/>
    <mergeCell ref="AA2:AE2"/>
    <mergeCell ref="AR38:AR39"/>
    <mergeCell ref="K24:K25"/>
    <mergeCell ref="AS4:AS5"/>
    <mergeCell ref="AU4:AU5"/>
    <mergeCell ref="AS14:AS15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G3" sqref="G3"/>
    </sheetView>
  </sheetViews>
  <sheetFormatPr baseColWidth="10" defaultRowHeight="15"/>
  <sheetData>
    <row r="1" ht="16" customHeight="1" s="55">
      <c r="B1" s="88" t="inlineStr">
        <is>
          <t>test</t>
        </is>
      </c>
      <c r="C1" s="88" t="inlineStr">
        <is>
          <t>readerexpertise</t>
        </is>
      </c>
      <c r="D1" s="88" t="inlineStr">
        <is>
          <t>article</t>
        </is>
      </c>
      <c r="E1" s="88" t="inlineStr">
        <is>
          <t>Total_ai1</t>
        </is>
      </c>
      <c r="F1" s="88" t="inlineStr">
        <is>
          <t>prevalance</t>
        </is>
      </c>
      <c r="G1" s="103" t="inlineStr">
        <is>
          <t>Prevalence1</t>
        </is>
      </c>
      <c r="H1" s="103" t="inlineStr">
        <is>
          <t>Positive1</t>
        </is>
      </c>
      <c r="I1" s="103" t="inlineStr">
        <is>
          <t>Negative1</t>
        </is>
      </c>
      <c r="J1" s="103" t="inlineStr">
        <is>
          <t>Sensitivity1</t>
        </is>
      </c>
      <c r="K1" s="103" t="inlineStr">
        <is>
          <t>Specificity1</t>
        </is>
      </c>
      <c r="L1" s="88" t="inlineStr">
        <is>
          <t>tp1</t>
        </is>
      </c>
      <c r="M1" s="88" t="inlineStr">
        <is>
          <t>fn1</t>
        </is>
      </c>
      <c r="N1" s="88" t="inlineStr">
        <is>
          <t>tn1</t>
        </is>
      </c>
      <c r="O1" s="88" t="inlineStr">
        <is>
          <t>fp1</t>
        </is>
      </c>
      <c r="P1" s="88" t="inlineStr">
        <is>
          <t>Total_reader2</t>
        </is>
      </c>
      <c r="Q1" s="103" t="inlineStr">
        <is>
          <t>Prevalence2</t>
        </is>
      </c>
      <c r="R1" s="103" t="inlineStr">
        <is>
          <t>Positive2</t>
        </is>
      </c>
      <c r="S1" s="103" t="inlineStr">
        <is>
          <t>Negative2</t>
        </is>
      </c>
      <c r="T1" s="103" t="inlineStr">
        <is>
          <t>Sensitivity2</t>
        </is>
      </c>
      <c r="U1" s="103" t="inlineStr">
        <is>
          <t>Specificity2</t>
        </is>
      </c>
      <c r="V1" s="88" t="inlineStr">
        <is>
          <t>tp2</t>
        </is>
      </c>
      <c r="W1" s="88" t="inlineStr">
        <is>
          <t>fn2</t>
        </is>
      </c>
      <c r="X1" s="88" t="inlineStr">
        <is>
          <t>tn2</t>
        </is>
      </c>
      <c r="Y1" s="88" t="inlineStr">
        <is>
          <t>fp2</t>
        </is>
      </c>
    </row>
    <row r="2" ht="16" customHeight="1" s="55">
      <c r="A2" s="84" t="inlineStr">
        <is>
          <t>Abramoff et al. (2018)</t>
        </is>
      </c>
      <c r="B2" s="84" t="inlineStr">
        <is>
          <t>IDX-DR</t>
        </is>
      </c>
      <c r="C2" s="84" t="inlineStr">
        <is>
          <t>retinal specialists/ophthalmologists</t>
        </is>
      </c>
      <c r="D2" s="84" t="inlineStr">
        <is>
          <t>supplement</t>
        </is>
      </c>
      <c r="E2" s="86">
        <f>H2+I2</f>
        <v/>
      </c>
      <c r="F2" s="84" t="inlineStr">
        <is>
          <t>High</t>
        </is>
      </c>
      <c r="G2" s="104">
        <f>H2/E2</f>
        <v/>
      </c>
      <c r="H2" s="104">
        <f>L2+M2</f>
        <v/>
      </c>
      <c r="I2" s="104">
        <f>O2+N2</f>
        <v/>
      </c>
      <c r="J2" s="104">
        <f>L2/(L2+M2)</f>
        <v/>
      </c>
      <c r="K2" s="104">
        <f>N2/(N2+O2)</f>
        <v/>
      </c>
      <c r="L2" s="84" t="n">
        <v>173</v>
      </c>
      <c r="M2" s="84" t="n">
        <v>28</v>
      </c>
      <c r="N2" s="84" t="n">
        <v>224</v>
      </c>
      <c r="O2" s="84" t="n">
        <v>103</v>
      </c>
      <c r="P2" s="86">
        <f>R2+S2</f>
        <v/>
      </c>
      <c r="Q2" s="104">
        <f>R2/P2</f>
        <v/>
      </c>
      <c r="R2" s="104">
        <f>V2+W2</f>
        <v/>
      </c>
      <c r="S2" s="104">
        <f>Y2+X2</f>
        <v/>
      </c>
      <c r="T2" s="104">
        <f>V2/(V2+W2)</f>
        <v/>
      </c>
      <c r="U2" s="104">
        <f>X2/(X2+Y2)</f>
        <v/>
      </c>
      <c r="V2" s="84" t="n">
        <v>108</v>
      </c>
      <c r="W2" s="84" t="n">
        <v>93</v>
      </c>
      <c r="X2" s="84" t="n">
        <v>324</v>
      </c>
      <c r="Y2" s="84" t="n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74"/>
  <sheetViews>
    <sheetView topLeftCell="AC1" workbookViewId="0">
      <selection activeCell="AY7" sqref="AY7"/>
    </sheetView>
  </sheetViews>
  <sheetFormatPr baseColWidth="10" defaultRowHeight="15"/>
  <sheetData>
    <row r="1" ht="16" customFormat="1" customHeight="1" s="20">
      <c r="A1" s="88" t="inlineStr">
        <is>
          <t>authoryr</t>
        </is>
      </c>
      <c r="B1" s="88" t="inlineStr">
        <is>
          <t>idx</t>
        </is>
      </c>
      <c r="C1" s="88" t="inlineStr">
        <is>
          <t>test</t>
        </is>
      </c>
      <c r="D1" s="88" t="inlineStr">
        <is>
          <t>readerexpertise</t>
        </is>
      </c>
      <c r="E1" s="88" t="inlineStr">
        <is>
          <t>article</t>
        </is>
      </c>
      <c r="F1" s="88" t="inlineStr">
        <is>
          <t>study</t>
        </is>
      </c>
      <c r="G1" s="88" t="inlineStr">
        <is>
          <t>economic</t>
        </is>
      </c>
      <c r="H1" s="88" t="inlineStr">
        <is>
          <t>healthcare</t>
        </is>
      </c>
      <c r="I1" s="88" t="inlineStr">
        <is>
          <t>external</t>
        </is>
      </c>
      <c r="J1" s="88" t="inlineStr">
        <is>
          <t>dr</t>
        </is>
      </c>
      <c r="K1" s="88" t="inlineStr">
        <is>
          <t>othereyetarget</t>
        </is>
      </c>
      <c r="L1" s="88" t="inlineStr">
        <is>
          <t>pupil</t>
        </is>
      </c>
      <c r="M1" s="88" t="inlineStr">
        <is>
          <t>ctype</t>
        </is>
      </c>
      <c r="N1" s="88" t="inlineStr">
        <is>
          <t>camera</t>
        </is>
      </c>
      <c r="O1" s="88" t="inlineStr">
        <is>
          <t>criteria</t>
        </is>
      </c>
      <c r="P1" s="88" t="inlineStr">
        <is>
          <t>rstandard</t>
        </is>
      </c>
      <c r="Q1" s="88" t="inlineStr">
        <is>
          <t>disagree</t>
        </is>
      </c>
      <c r="R1" s="88" t="inlineStr">
        <is>
          <t>rimage</t>
        </is>
      </c>
      <c r="S1" s="88" t="inlineStr">
        <is>
          <t>field</t>
        </is>
      </c>
      <c r="T1" s="88" t="inlineStr">
        <is>
          <t>vendor</t>
        </is>
      </c>
      <c r="U1" s="88" t="inlineStr">
        <is>
          <t>commercial</t>
        </is>
      </c>
      <c r="V1" s="88" t="inlineStr">
        <is>
          <t>certified</t>
        </is>
      </c>
      <c r="W1" s="88" t="inlineStr">
        <is>
          <t>architecture</t>
        </is>
      </c>
      <c r="X1" s="88" t="inlineStr">
        <is>
          <t>region</t>
        </is>
      </c>
      <c r="Y1" s="88" t="inlineStr">
        <is>
          <t>aigradable</t>
        </is>
      </c>
      <c r="Z1" s="88" t="inlineStr">
        <is>
          <t>hgradable</t>
        </is>
      </c>
      <c r="AA1" s="88" t="inlineStr">
        <is>
          <t>ungradable</t>
        </is>
      </c>
      <c r="AB1" s="88" t="inlineStr">
        <is>
          <t>prevalance</t>
        </is>
      </c>
      <c r="AC1" s="88" t="inlineStr">
        <is>
          <t>Total_ai1</t>
        </is>
      </c>
      <c r="AD1" s="103" t="inlineStr">
        <is>
          <t>Prevalence1</t>
        </is>
      </c>
      <c r="AE1" s="103" t="inlineStr">
        <is>
          <t>Positive1</t>
        </is>
      </c>
      <c r="AF1" s="103" t="inlineStr">
        <is>
          <t>Negative1</t>
        </is>
      </c>
      <c r="AG1" s="103" t="inlineStr">
        <is>
          <t>Sensitivity1</t>
        </is>
      </c>
      <c r="AH1" s="103" t="inlineStr">
        <is>
          <t>Specificity1</t>
        </is>
      </c>
      <c r="AI1" s="88" t="inlineStr">
        <is>
          <t>tp1</t>
        </is>
      </c>
      <c r="AJ1" s="88" t="inlineStr">
        <is>
          <t>fn1</t>
        </is>
      </c>
      <c r="AK1" s="88" t="inlineStr">
        <is>
          <t>tn1</t>
        </is>
      </c>
      <c r="AL1" s="88" t="inlineStr">
        <is>
          <t>fp1</t>
        </is>
      </c>
      <c r="AM1" s="2" t="n"/>
      <c r="AN1" s="102" t="n"/>
      <c r="AO1" s="102" t="n"/>
      <c r="AP1" s="102" t="n"/>
      <c r="AQ1" s="102" t="n"/>
      <c r="AR1" s="102" t="n"/>
      <c r="AS1" s="2" t="n"/>
      <c r="AT1" s="2" t="n"/>
      <c r="AU1" s="2" t="n"/>
      <c r="AV1" s="2" t="n"/>
    </row>
    <row r="2" ht="16" customHeight="1" s="55">
      <c r="A2" s="88" t="inlineStr">
        <is>
          <t>Šín et al. 2025</t>
        </is>
      </c>
      <c r="B2" s="86" t="inlineStr">
        <is>
          <t>DL</t>
        </is>
      </c>
      <c r="C2" s="86" t="inlineStr">
        <is>
          <t>Aireen</t>
        </is>
      </c>
      <c r="D2" s="86" t="inlineStr">
        <is>
          <t>ophthalmologist</t>
        </is>
      </c>
      <c r="E2" s="86" t="inlineStr">
        <is>
          <t>original</t>
        </is>
      </c>
      <c r="F2" s="86" t="inlineStr">
        <is>
          <t>prospective</t>
        </is>
      </c>
      <c r="G2" s="86" t="inlineStr">
        <is>
          <t>high</t>
        </is>
      </c>
      <c r="H2" s="86" t="inlineStr">
        <is>
          <t>primary</t>
        </is>
      </c>
      <c r="I2" s="86" t="inlineStr">
        <is>
          <t>no</t>
        </is>
      </c>
      <c r="J2" s="86" t="inlineStr">
        <is>
          <t>dr</t>
        </is>
      </c>
      <c r="K2" s="86" t="inlineStr">
        <is>
          <t>no</t>
        </is>
      </c>
      <c r="L2" s="86" t="inlineStr">
        <is>
          <t>no</t>
        </is>
      </c>
      <c r="M2" s="86" t="inlineStr">
        <is>
          <t>desktop</t>
        </is>
      </c>
      <c r="N2" s="86" t="inlineStr">
        <is>
          <t>canon</t>
        </is>
      </c>
      <c r="O2" s="86" t="inlineStr">
        <is>
          <t>other</t>
        </is>
      </c>
      <c r="P2" s="86" t="inlineStr">
        <is>
          <t>retina specialist</t>
        </is>
      </c>
      <c r="Q2" s="86" t="inlineStr">
        <is>
          <t>yes</t>
        </is>
      </c>
      <c r="R2" s="86" t="inlineStr">
        <is>
          <t>fundus</t>
        </is>
      </c>
      <c r="S2" s="86" t="inlineStr">
        <is>
          <t>1</t>
        </is>
      </c>
      <c r="T2" s="86" t="inlineStr">
        <is>
          <t>yes</t>
        </is>
      </c>
      <c r="U2" s="86" t="inlineStr">
        <is>
          <t>yes</t>
        </is>
      </c>
      <c r="V2" s="86" t="inlineStr">
        <is>
          <t>yes</t>
        </is>
      </c>
      <c r="W2" s="86" t="inlineStr">
        <is>
          <t>efficientnet family</t>
        </is>
      </c>
      <c r="X2" s="86" t="inlineStr">
        <is>
          <t>europe</t>
        </is>
      </c>
      <c r="Y2" s="86" t="inlineStr">
        <is>
          <t>low</t>
        </is>
      </c>
      <c r="Z2" s="86" t="inlineStr">
        <is>
          <t>low</t>
        </is>
      </c>
      <c r="AA2" s="86" t="inlineStr">
        <is>
          <t>positive</t>
        </is>
      </c>
      <c r="AB2" s="86" t="inlineStr">
        <is>
          <t>high</t>
        </is>
      </c>
      <c r="AC2" s="86" t="n">
        <v>1154</v>
      </c>
      <c r="AD2" s="104" t="n">
        <v>0.3188908145580589</v>
      </c>
      <c r="AE2" s="104" t="n">
        <v>368</v>
      </c>
      <c r="AF2" s="104" t="n">
        <v>786</v>
      </c>
      <c r="AG2" s="104" t="n">
        <v>0.9211956521739131</v>
      </c>
      <c r="AH2" s="104" t="n">
        <v>0.9071246819338422</v>
      </c>
      <c r="AI2" s="86" t="n">
        <v>339</v>
      </c>
      <c r="AJ2" s="86" t="n">
        <v>29</v>
      </c>
      <c r="AK2" s="86" t="n">
        <v>713</v>
      </c>
      <c r="AL2" s="86" t="n">
        <v>73</v>
      </c>
      <c r="AM2" s="1" t="n"/>
      <c r="AN2" s="107" t="n"/>
      <c r="AO2" s="107" t="n"/>
      <c r="AP2" s="107" t="n"/>
      <c r="AQ2" s="107" t="n"/>
      <c r="AR2" s="107" t="n"/>
      <c r="AS2" s="1" t="n"/>
      <c r="AT2" s="1" t="n"/>
    </row>
    <row r="3" ht="16" customHeight="1" s="55">
      <c r="A3" s="88" t="inlineStr">
        <is>
          <t>Šín et al. 2025</t>
        </is>
      </c>
      <c r="B3" s="86" t="inlineStr">
        <is>
          <t>DL</t>
        </is>
      </c>
      <c r="C3" s="86" t="inlineStr">
        <is>
          <t>Aireen</t>
        </is>
      </c>
      <c r="D3" s="86" t="inlineStr">
        <is>
          <t>retinaspecialist</t>
        </is>
      </c>
      <c r="E3" s="86" t="inlineStr">
        <is>
          <t>original</t>
        </is>
      </c>
      <c r="F3" s="86" t="inlineStr">
        <is>
          <t>prospective</t>
        </is>
      </c>
      <c r="G3" s="86" t="inlineStr">
        <is>
          <t>high</t>
        </is>
      </c>
      <c r="H3" s="86" t="inlineStr">
        <is>
          <t>primary</t>
        </is>
      </c>
      <c r="I3" s="86" t="inlineStr">
        <is>
          <t>no</t>
        </is>
      </c>
      <c r="J3" s="86" t="inlineStr">
        <is>
          <t>dr</t>
        </is>
      </c>
      <c r="K3" s="86" t="inlineStr">
        <is>
          <t>no</t>
        </is>
      </c>
      <c r="L3" s="86" t="inlineStr">
        <is>
          <t>no</t>
        </is>
      </c>
      <c r="M3" s="86" t="inlineStr">
        <is>
          <t>desktop</t>
        </is>
      </c>
      <c r="N3" s="86" t="inlineStr">
        <is>
          <t>canon</t>
        </is>
      </c>
      <c r="O3" s="86" t="inlineStr">
        <is>
          <t>other</t>
        </is>
      </c>
      <c r="P3" s="86" t="inlineStr">
        <is>
          <t>retina specialist</t>
        </is>
      </c>
      <c r="Q3" s="86" t="inlineStr">
        <is>
          <t>yes</t>
        </is>
      </c>
      <c r="R3" s="86" t="inlineStr">
        <is>
          <t>fundus</t>
        </is>
      </c>
      <c r="S3" s="86" t="inlineStr">
        <is>
          <t>1</t>
        </is>
      </c>
      <c r="T3" s="86" t="inlineStr">
        <is>
          <t>yes</t>
        </is>
      </c>
      <c r="U3" s="86" t="inlineStr">
        <is>
          <t>yes</t>
        </is>
      </c>
      <c r="V3" s="86" t="inlineStr">
        <is>
          <t>yes</t>
        </is>
      </c>
      <c r="W3" s="86" t="inlineStr">
        <is>
          <t>efficientnet family</t>
        </is>
      </c>
      <c r="X3" s="86" t="inlineStr">
        <is>
          <t>europe</t>
        </is>
      </c>
      <c r="Y3" s="86" t="inlineStr">
        <is>
          <t>low</t>
        </is>
      </c>
      <c r="Z3" s="86" t="inlineStr">
        <is>
          <t>low</t>
        </is>
      </c>
      <c r="AA3" s="86" t="inlineStr">
        <is>
          <t>positive</t>
        </is>
      </c>
      <c r="AB3" s="86" t="inlineStr">
        <is>
          <t>high</t>
        </is>
      </c>
      <c r="AC3" s="86" t="n">
        <v>1154</v>
      </c>
      <c r="AD3" s="104" t="n">
        <v>0.3188908145580589</v>
      </c>
      <c r="AE3" s="104" t="n">
        <v>368</v>
      </c>
      <c r="AF3" s="104" t="n">
        <v>786</v>
      </c>
      <c r="AG3" s="104" t="n">
        <v>0.9211956521739131</v>
      </c>
      <c r="AH3" s="104" t="n">
        <v>0.9071246819338422</v>
      </c>
      <c r="AI3" s="86" t="n">
        <v>339</v>
      </c>
      <c r="AJ3" s="86" t="n">
        <v>29</v>
      </c>
      <c r="AK3" s="86" t="n">
        <v>713</v>
      </c>
      <c r="AL3" s="86" t="n">
        <v>73</v>
      </c>
      <c r="AM3" s="1" t="n"/>
      <c r="AN3" s="107" t="n"/>
      <c r="AO3" s="107" t="n"/>
      <c r="AP3" s="107" t="n"/>
      <c r="AQ3" s="107" t="n"/>
      <c r="AR3" s="107" t="n"/>
    </row>
    <row r="4" ht="16" customHeight="1" s="55">
      <c r="A4" s="88" t="inlineStr">
        <is>
          <t>Pandey et al. 2024</t>
        </is>
      </c>
      <c r="B4" s="86" t="inlineStr">
        <is>
          <t>DL</t>
        </is>
      </c>
      <c r="C4" s="86" t="inlineStr">
        <is>
          <t>DCE</t>
        </is>
      </c>
      <c r="D4" s="86" t="inlineStr">
        <is>
          <t>ophthalmologist</t>
        </is>
      </c>
      <c r="E4" s="86" t="inlineStr">
        <is>
          <t>original</t>
        </is>
      </c>
      <c r="F4" s="86" t="inlineStr">
        <is>
          <t>retrospective</t>
        </is>
      </c>
      <c r="G4" s="86" t="inlineStr">
        <is>
          <t>mixed</t>
        </is>
      </c>
      <c r="H4" s="86" t="inlineStr">
        <is>
          <t>public dataset</t>
        </is>
      </c>
      <c r="I4" s="86" t="inlineStr">
        <is>
          <t>no</t>
        </is>
      </c>
      <c r="J4" s="86" t="inlineStr">
        <is>
          <t>dr</t>
        </is>
      </c>
      <c r="K4" s="86" t="inlineStr">
        <is>
          <t>yes</t>
        </is>
      </c>
      <c r="L4" s="86" t="inlineStr">
        <is>
          <t>mixed</t>
        </is>
      </c>
      <c r="M4" s="86" t="inlineStr">
        <is>
          <t>mixed</t>
        </is>
      </c>
      <c r="N4" s="86" t="inlineStr">
        <is>
          <t>mixed</t>
        </is>
      </c>
      <c r="O4" s="86" t="inlineStr">
        <is>
          <t>multiple</t>
        </is>
      </c>
      <c r="P4" s="86" t="inlineStr">
        <is>
          <t>retina specialist</t>
        </is>
      </c>
      <c r="Q4" s="86" t="inlineStr">
        <is>
          <t>no</t>
        </is>
      </c>
      <c r="R4" s="86" t="inlineStr">
        <is>
          <t>fundus</t>
        </is>
      </c>
      <c r="S4" s="86" t="inlineStr">
        <is>
          <t>1</t>
        </is>
      </c>
      <c r="T4" s="86" t="inlineStr">
        <is>
          <t>no</t>
        </is>
      </c>
      <c r="U4" s="86" t="inlineStr">
        <is>
          <t>no</t>
        </is>
      </c>
      <c r="V4" s="86" t="inlineStr">
        <is>
          <t>no</t>
        </is>
      </c>
      <c r="W4" s="86" t="inlineStr">
        <is>
          <t>inception family</t>
        </is>
      </c>
      <c r="X4" s="86" t="inlineStr">
        <is>
          <t>mixed</t>
        </is>
      </c>
      <c r="Y4" s="86" t="inlineStr">
        <is>
          <t>high</t>
        </is>
      </c>
      <c r="Z4" s="86" t="inlineStr">
        <is>
          <t>high</t>
        </is>
      </c>
      <c r="AA4" s="86" t="inlineStr">
        <is>
          <t>excluded</t>
        </is>
      </c>
      <c r="AB4" s="86" t="inlineStr">
        <is>
          <t>middle</t>
        </is>
      </c>
      <c r="AC4" s="86" t="n">
        <v>100</v>
      </c>
      <c r="AD4" s="104" t="n">
        <v>0.25</v>
      </c>
      <c r="AE4" s="104" t="n">
        <v>25</v>
      </c>
      <c r="AF4" s="104" t="n">
        <v>75</v>
      </c>
      <c r="AG4" s="104" t="n">
        <v>0.72</v>
      </c>
      <c r="AH4" s="104" t="n">
        <v>0.9466666666666667</v>
      </c>
      <c r="AI4" s="86" t="n">
        <v>18</v>
      </c>
      <c r="AJ4" s="86" t="n">
        <v>7</v>
      </c>
      <c r="AK4" s="86" t="n">
        <v>71</v>
      </c>
      <c r="AL4" s="86" t="n">
        <v>4</v>
      </c>
      <c r="AM4" s="1" t="n"/>
      <c r="AN4" s="107" t="n"/>
      <c r="AO4" s="107" t="n"/>
      <c r="AP4" s="107" t="n"/>
      <c r="AQ4" s="107" t="n"/>
      <c r="AR4" s="107" t="n"/>
    </row>
    <row r="5" ht="17" customHeight="1" s="55" thickBot="1">
      <c r="A5" s="88" t="inlineStr">
        <is>
          <t>Dow et al. 2023</t>
        </is>
      </c>
      <c r="B5" s="86" t="inlineStr">
        <is>
          <t>DL</t>
        </is>
      </c>
      <c r="C5" s="86" t="inlineStr">
        <is>
          <t>IDx-DR</t>
        </is>
      </c>
      <c r="D5" s="86" t="inlineStr">
        <is>
          <t>retinaspecialist</t>
        </is>
      </c>
      <c r="E5" s="86" t="inlineStr">
        <is>
          <t>original</t>
        </is>
      </c>
      <c r="F5" s="86" t="inlineStr">
        <is>
          <t>retrospective</t>
        </is>
      </c>
      <c r="G5" s="86" t="inlineStr">
        <is>
          <t>high</t>
        </is>
      </c>
      <c r="H5" s="86" t="inlineStr">
        <is>
          <t>primary</t>
        </is>
      </c>
      <c r="I5" s="86" t="inlineStr">
        <is>
          <t>no</t>
        </is>
      </c>
      <c r="J5" s="86" t="inlineStr">
        <is>
          <t>rdr</t>
        </is>
      </c>
      <c r="K5" s="86" t="inlineStr">
        <is>
          <t>no</t>
        </is>
      </c>
      <c r="L5" s="86" t="inlineStr">
        <is>
          <t>no</t>
        </is>
      </c>
      <c r="M5" s="86" t="inlineStr">
        <is>
          <t>desktop</t>
        </is>
      </c>
      <c r="N5" s="86" t="inlineStr">
        <is>
          <t>topcon</t>
        </is>
      </c>
      <c r="O5" s="86" t="inlineStr">
        <is>
          <t>multiple</t>
        </is>
      </c>
      <c r="P5" s="86" t="inlineStr">
        <is>
          <t>retina specialist</t>
        </is>
      </c>
      <c r="Q5" s="86" t="inlineStr">
        <is>
          <t>yes</t>
        </is>
      </c>
      <c r="R5" s="86" t="inlineStr">
        <is>
          <t>with advanced image</t>
        </is>
      </c>
      <c r="S5" s="86" t="inlineStr">
        <is>
          <t>2</t>
        </is>
      </c>
      <c r="T5" s="86" t="inlineStr">
        <is>
          <t>no</t>
        </is>
      </c>
      <c r="U5" s="86" t="inlineStr">
        <is>
          <t>yes</t>
        </is>
      </c>
      <c r="V5" s="86" t="inlineStr">
        <is>
          <t>yes</t>
        </is>
      </c>
      <c r="W5" s="86" t="inlineStr">
        <is>
          <t>inception family</t>
        </is>
      </c>
      <c r="X5" s="86" t="inlineStr">
        <is>
          <t>north america</t>
        </is>
      </c>
      <c r="Y5" s="86" t="inlineStr">
        <is>
          <t>low</t>
        </is>
      </c>
      <c r="Z5" s="86" t="inlineStr">
        <is>
          <t>high</t>
        </is>
      </c>
      <c r="AA5" s="86" t="inlineStr">
        <is>
          <t>positive</t>
        </is>
      </c>
      <c r="AB5" s="86" t="inlineStr">
        <is>
          <t>middle</t>
        </is>
      </c>
      <c r="AC5" s="86" t="n">
        <v>80</v>
      </c>
      <c r="AD5" s="104" t="n">
        <v>0.275</v>
      </c>
      <c r="AE5" s="104" t="n">
        <v>22</v>
      </c>
      <c r="AF5" s="104" t="n">
        <v>58</v>
      </c>
      <c r="AG5" s="104" t="n">
        <v>0.9545454545454546</v>
      </c>
      <c r="AH5" s="104" t="n">
        <v>0.603448275862069</v>
      </c>
      <c r="AI5" s="86" t="n">
        <v>21</v>
      </c>
      <c r="AJ5" s="86" t="n">
        <v>1</v>
      </c>
      <c r="AK5" s="86" t="n">
        <v>35</v>
      </c>
      <c r="AL5" s="86" t="n">
        <v>23</v>
      </c>
      <c r="AM5" s="1" t="n"/>
      <c r="AN5" s="107" t="n"/>
      <c r="AO5" s="107" t="n"/>
      <c r="AP5" s="107" t="n"/>
      <c r="AQ5" s="107" t="n"/>
      <c r="AR5" s="107" t="n"/>
      <c r="AS5" s="1" t="n"/>
      <c r="AT5" s="1" t="n"/>
      <c r="AU5" s="1" t="n"/>
      <c r="AV5" s="1" t="n"/>
    </row>
    <row r="6" ht="18" customHeight="1" s="55" thickBot="1">
      <c r="A6" s="88" t="inlineStr">
        <is>
          <t>Lim et al. 2023</t>
        </is>
      </c>
      <c r="B6" s="86" t="inlineStr">
        <is>
          <t>DL</t>
        </is>
      </c>
      <c r="C6" s="86" t="inlineStr">
        <is>
          <t>EyeArt</t>
        </is>
      </c>
      <c r="D6" s="86" t="inlineStr">
        <is>
          <t>retinaspecialist</t>
        </is>
      </c>
      <c r="E6" s="86" t="inlineStr">
        <is>
          <t>original</t>
        </is>
      </c>
      <c r="F6" s="86" t="inlineStr">
        <is>
          <t>prospective</t>
        </is>
      </c>
      <c r="G6" s="86" t="inlineStr">
        <is>
          <t>high</t>
        </is>
      </c>
      <c r="H6" s="86" t="inlineStr">
        <is>
          <t>tertiary</t>
        </is>
      </c>
      <c r="I6" s="86" t="inlineStr">
        <is>
          <t>no</t>
        </is>
      </c>
      <c r="J6" s="86" t="inlineStr">
        <is>
          <t>rdr</t>
        </is>
      </c>
      <c r="K6" s="86" t="inlineStr">
        <is>
          <t>no</t>
        </is>
      </c>
      <c r="L6" s="86" t="inlineStr">
        <is>
          <t>mixed</t>
        </is>
      </c>
      <c r="M6" s="86" t="inlineStr">
        <is>
          <t>desktop</t>
        </is>
      </c>
      <c r="N6" s="86" t="inlineStr">
        <is>
          <t>canon</t>
        </is>
      </c>
      <c r="O6" s="86" t="inlineStr">
        <is>
          <t>other</t>
        </is>
      </c>
      <c r="P6" s="86" t="inlineStr">
        <is>
          <t>certified graders</t>
        </is>
      </c>
      <c r="Q6" s="86" t="inlineStr">
        <is>
          <t>yes</t>
        </is>
      </c>
      <c r="R6" s="86" t="inlineStr">
        <is>
          <t>with advanced image</t>
        </is>
      </c>
      <c r="S6" s="86" t="inlineStr">
        <is>
          <t>2</t>
        </is>
      </c>
      <c r="T6" s="86" t="inlineStr">
        <is>
          <t>yes</t>
        </is>
      </c>
      <c r="U6" s="86" t="inlineStr">
        <is>
          <t>yes</t>
        </is>
      </c>
      <c r="V6" s="86" t="inlineStr">
        <is>
          <t>yes</t>
        </is>
      </c>
      <c r="W6" s="86" t="inlineStr">
        <is>
          <t>cnn</t>
        </is>
      </c>
      <c r="X6" s="86" t="inlineStr">
        <is>
          <t>north america</t>
        </is>
      </c>
      <c r="Y6" s="86" t="inlineStr">
        <is>
          <t>high</t>
        </is>
      </c>
      <c r="Z6" s="86" t="inlineStr">
        <is>
          <t>high</t>
        </is>
      </c>
      <c r="AA6" s="86" t="inlineStr">
        <is>
          <t>positive</t>
        </is>
      </c>
      <c r="AB6" s="86" t="inlineStr">
        <is>
          <t>middle</t>
        </is>
      </c>
      <c r="AC6" s="86" t="n">
        <v>221</v>
      </c>
      <c r="AD6" s="104" t="n">
        <v>0.167420814479638</v>
      </c>
      <c r="AE6" s="104" t="n">
        <v>37</v>
      </c>
      <c r="AF6" s="104" t="n">
        <v>184</v>
      </c>
      <c r="AG6" s="104" t="n">
        <v>0.972972972972973</v>
      </c>
      <c r="AH6" s="104" t="n">
        <v>0.8804347826086957</v>
      </c>
      <c r="AI6" s="86" t="n">
        <v>36</v>
      </c>
      <c r="AJ6" s="86" t="n">
        <v>1</v>
      </c>
      <c r="AK6" s="86" t="n">
        <v>162</v>
      </c>
      <c r="AL6" s="86" t="n">
        <v>22</v>
      </c>
      <c r="AM6" s="1" t="n"/>
      <c r="AN6" s="107" t="n"/>
      <c r="AO6" s="107" t="n"/>
      <c r="AP6" s="107" t="n"/>
      <c r="AQ6" s="53" t="inlineStr">
        <is>
          <t>AIC</t>
        </is>
      </c>
      <c r="AR6" s="53" t="inlineStr">
        <is>
          <t>BIC</t>
        </is>
      </c>
      <c r="AS6" s="53" t="inlineStr">
        <is>
          <t>delta AIC</t>
        </is>
      </c>
      <c r="AT6" s="53" t="inlineStr">
        <is>
          <t>BIC</t>
        </is>
      </c>
      <c r="AU6" s="1" t="n"/>
      <c r="AV6" s="1" t="n"/>
    </row>
    <row r="7" ht="16" customHeight="1" s="55">
      <c r="A7" s="88" t="inlineStr">
        <is>
          <t>Lim et al. 2023</t>
        </is>
      </c>
      <c r="B7" s="86" t="inlineStr">
        <is>
          <t>DL</t>
        </is>
      </c>
      <c r="C7" s="86" t="inlineStr">
        <is>
          <t>EyeArt</t>
        </is>
      </c>
      <c r="D7" s="86" t="inlineStr">
        <is>
          <t>ophthalmologist</t>
        </is>
      </c>
      <c r="E7" s="86" t="inlineStr">
        <is>
          <t>original</t>
        </is>
      </c>
      <c r="F7" s="86" t="inlineStr">
        <is>
          <t>prospective</t>
        </is>
      </c>
      <c r="G7" s="86" t="inlineStr">
        <is>
          <t>high</t>
        </is>
      </c>
      <c r="H7" s="86" t="inlineStr">
        <is>
          <t>tertiary</t>
        </is>
      </c>
      <c r="I7" s="86" t="inlineStr">
        <is>
          <t>no</t>
        </is>
      </c>
      <c r="J7" s="86" t="inlineStr">
        <is>
          <t>rdr</t>
        </is>
      </c>
      <c r="K7" s="86" t="inlineStr">
        <is>
          <t>no</t>
        </is>
      </c>
      <c r="L7" s="86" t="inlineStr">
        <is>
          <t>mixed</t>
        </is>
      </c>
      <c r="M7" s="86" t="inlineStr">
        <is>
          <t>desktop</t>
        </is>
      </c>
      <c r="N7" s="86" t="inlineStr">
        <is>
          <t>canon</t>
        </is>
      </c>
      <c r="O7" s="86" t="inlineStr">
        <is>
          <t>other</t>
        </is>
      </c>
      <c r="P7" s="86" t="inlineStr">
        <is>
          <t>certified graders</t>
        </is>
      </c>
      <c r="Q7" s="86" t="inlineStr">
        <is>
          <t>yes</t>
        </is>
      </c>
      <c r="R7" s="86" t="inlineStr">
        <is>
          <t>with advanced image</t>
        </is>
      </c>
      <c r="S7" s="86" t="inlineStr">
        <is>
          <t>2</t>
        </is>
      </c>
      <c r="T7" s="86" t="inlineStr">
        <is>
          <t>yes</t>
        </is>
      </c>
      <c r="U7" s="86" t="inlineStr">
        <is>
          <t>yes</t>
        </is>
      </c>
      <c r="V7" s="86" t="inlineStr">
        <is>
          <t>yes</t>
        </is>
      </c>
      <c r="W7" s="86" t="inlineStr">
        <is>
          <t>cnn</t>
        </is>
      </c>
      <c r="X7" s="86" t="inlineStr">
        <is>
          <t>north america</t>
        </is>
      </c>
      <c r="Y7" s="86" t="inlineStr">
        <is>
          <t>high</t>
        </is>
      </c>
      <c r="Z7" s="86" t="inlineStr">
        <is>
          <t>high</t>
        </is>
      </c>
      <c r="AA7" s="86" t="inlineStr">
        <is>
          <t>positive</t>
        </is>
      </c>
      <c r="AB7" s="86" t="inlineStr">
        <is>
          <t>middle</t>
        </is>
      </c>
      <c r="AC7" s="86" t="n">
        <v>778</v>
      </c>
      <c r="AD7" s="104" t="n">
        <v>0.2185089974293059</v>
      </c>
      <c r="AE7" s="104" t="n">
        <v>170</v>
      </c>
      <c r="AF7" s="104" t="n">
        <v>608</v>
      </c>
      <c r="AG7" s="104" t="n">
        <v>0.9647058823529412</v>
      </c>
      <c r="AH7" s="104" t="n">
        <v>0.8634868421052632</v>
      </c>
      <c r="AI7" s="86" t="n">
        <v>164</v>
      </c>
      <c r="AJ7" s="86" t="n">
        <v>6</v>
      </c>
      <c r="AK7" s="86" t="n">
        <v>525</v>
      </c>
      <c r="AL7" s="86" t="n">
        <v>83</v>
      </c>
      <c r="AM7" s="1" t="n"/>
      <c r="AN7" s="107" t="n"/>
      <c r="AO7" s="107" t="n"/>
      <c r="AP7" s="107" t="n"/>
      <c r="AQ7" s="95" t="n">
        <v>4838</v>
      </c>
      <c r="AR7" s="95" t="n">
        <v>4871</v>
      </c>
      <c r="AS7" s="95">
        <f>AQ7-4997</f>
        <v/>
      </c>
      <c r="AT7" s="95">
        <f>AR7-5014</f>
        <v/>
      </c>
      <c r="AU7" s="1" t="n"/>
      <c r="AV7" s="1" t="n">
        <v>4838</v>
      </c>
      <c r="AW7" s="84" t="n">
        <v>4871</v>
      </c>
      <c r="AX7" s="84">
        <f>AV7-4997</f>
        <v/>
      </c>
      <c r="AY7" s="84">
        <f>AW7-5014</f>
        <v/>
      </c>
      <c r="BA7" s="95" t="n">
        <v>1149</v>
      </c>
      <c r="BB7" s="95" t="n">
        <v>1177</v>
      </c>
      <c r="BC7" s="84" t="n">
        <v>1149</v>
      </c>
      <c r="BD7" s="84" t="n">
        <v>1177</v>
      </c>
      <c r="BE7" s="84">
        <f>BC7-1147</f>
        <v/>
      </c>
      <c r="BF7" s="84">
        <f>BD7-1162</f>
        <v/>
      </c>
    </row>
    <row r="8" ht="16" customHeight="1" s="55">
      <c r="A8" s="28" t="inlineStr">
        <is>
          <t>Li et al. 2022</t>
        </is>
      </c>
      <c r="B8" s="86" t="inlineStr">
        <is>
          <t>DL</t>
        </is>
      </c>
      <c r="C8" s="86" t="inlineStr">
        <is>
          <t>AI-100</t>
        </is>
      </c>
      <c r="D8" s="86" t="inlineStr">
        <is>
          <t>ophthalmologist</t>
        </is>
      </c>
      <c r="E8" s="86" t="inlineStr">
        <is>
          <t>original</t>
        </is>
      </c>
      <c r="F8" s="86" t="inlineStr">
        <is>
          <t>prospective</t>
        </is>
      </c>
      <c r="G8" s="86" t="inlineStr">
        <is>
          <t>middle</t>
        </is>
      </c>
      <c r="H8" s="86" t="inlineStr">
        <is>
          <t>tertiary</t>
        </is>
      </c>
      <c r="I8" s="86" t="inlineStr">
        <is>
          <t>no</t>
        </is>
      </c>
      <c r="J8" s="86" t="inlineStr">
        <is>
          <t>rdr</t>
        </is>
      </c>
      <c r="K8" s="86" t="inlineStr">
        <is>
          <t>yes</t>
        </is>
      </c>
      <c r="L8" s="86" t="inlineStr">
        <is>
          <t>no</t>
        </is>
      </c>
      <c r="M8" s="86" t="inlineStr">
        <is>
          <t>desktop</t>
        </is>
      </c>
      <c r="N8" s="86" t="inlineStr">
        <is>
          <t>mixed</t>
        </is>
      </c>
      <c r="O8" s="86" t="inlineStr">
        <is>
          <t>icdr</t>
        </is>
      </c>
      <c r="P8" s="86" t="inlineStr">
        <is>
          <t>ophthalmologist</t>
        </is>
      </c>
      <c r="Q8" s="86" t="inlineStr">
        <is>
          <t>yes</t>
        </is>
      </c>
      <c r="R8" s="86" t="inlineStr">
        <is>
          <t>fundus</t>
        </is>
      </c>
      <c r="S8" s="86" t="inlineStr">
        <is>
          <t>1</t>
        </is>
      </c>
      <c r="T8" s="86" t="inlineStr">
        <is>
          <t>yes</t>
        </is>
      </c>
      <c r="U8" s="86" t="inlineStr">
        <is>
          <t>yes</t>
        </is>
      </c>
      <c r="V8" s="86" t="inlineStr">
        <is>
          <t>yes</t>
        </is>
      </c>
      <c r="W8" s="86" t="inlineStr">
        <is>
          <t>densenet family</t>
        </is>
      </c>
      <c r="X8" s="86" t="inlineStr">
        <is>
          <t>asia</t>
        </is>
      </c>
      <c r="Y8" s="86" t="inlineStr">
        <is>
          <t>high</t>
        </is>
      </c>
      <c r="Z8" s="86" t="inlineStr">
        <is>
          <t>high</t>
        </is>
      </c>
      <c r="AA8" s="86" t="inlineStr">
        <is>
          <t>excluded</t>
        </is>
      </c>
      <c r="AB8" s="86" t="inlineStr">
        <is>
          <t>middle</t>
        </is>
      </c>
      <c r="AC8" s="86" t="n">
        <v>1585</v>
      </c>
      <c r="AD8" s="104" t="n">
        <v>0.2044164037854889</v>
      </c>
      <c r="AE8" s="104" t="n">
        <v>324</v>
      </c>
      <c r="AF8" s="104" t="n">
        <v>1261</v>
      </c>
      <c r="AG8" s="104" t="n">
        <v>0.9475308641975309</v>
      </c>
      <c r="AH8" s="104" t="n">
        <v>0.9547977795400476</v>
      </c>
      <c r="AI8" s="86" t="n">
        <v>307</v>
      </c>
      <c r="AJ8" s="86" t="n">
        <v>17</v>
      </c>
      <c r="AK8" s="86" t="n">
        <v>1204</v>
      </c>
      <c r="AL8" s="86" t="n">
        <v>57</v>
      </c>
      <c r="AM8" s="1" t="n"/>
      <c r="AN8" s="107" t="n"/>
      <c r="AO8" s="107" t="n"/>
      <c r="AP8" s="107" t="n"/>
      <c r="AX8" s="84">
        <f>AV8-4997</f>
        <v/>
      </c>
      <c r="AY8" s="84">
        <f>AW8-5014</f>
        <v/>
      </c>
      <c r="BE8" s="84">
        <f>BC8-1147</f>
        <v/>
      </c>
      <c r="BF8" s="84">
        <f>BD8-1162</f>
        <v/>
      </c>
    </row>
    <row r="9" ht="16" customHeight="1" s="55">
      <c r="A9" s="28" t="inlineStr">
        <is>
          <t>Li et al. 2022</t>
        </is>
      </c>
      <c r="B9" s="86" t="inlineStr">
        <is>
          <t>DL</t>
        </is>
      </c>
      <c r="C9" s="86" t="inlineStr">
        <is>
          <t>AI-100</t>
        </is>
      </c>
      <c r="D9" s="86" t="inlineStr">
        <is>
          <t>ophthalmologist</t>
        </is>
      </c>
      <c r="E9" s="86" t="inlineStr">
        <is>
          <t>original</t>
        </is>
      </c>
      <c r="F9" s="86" t="inlineStr">
        <is>
          <t>prospective</t>
        </is>
      </c>
      <c r="G9" s="86" t="inlineStr">
        <is>
          <t>middle</t>
        </is>
      </c>
      <c r="H9" s="86" t="inlineStr">
        <is>
          <t>tertiary</t>
        </is>
      </c>
      <c r="I9" s="86" t="inlineStr">
        <is>
          <t>no</t>
        </is>
      </c>
      <c r="J9" s="86" t="inlineStr">
        <is>
          <t>rdr</t>
        </is>
      </c>
      <c r="K9" s="86" t="inlineStr">
        <is>
          <t>yes</t>
        </is>
      </c>
      <c r="L9" s="86" t="inlineStr">
        <is>
          <t>no</t>
        </is>
      </c>
      <c r="M9" s="86" t="inlineStr">
        <is>
          <t>desktop</t>
        </is>
      </c>
      <c r="N9" s="86" t="inlineStr">
        <is>
          <t>mixed</t>
        </is>
      </c>
      <c r="O9" s="86" t="inlineStr">
        <is>
          <t>icdr</t>
        </is>
      </c>
      <c r="P9" s="86" t="inlineStr">
        <is>
          <t>ophthalmologist</t>
        </is>
      </c>
      <c r="Q9" s="86" t="inlineStr">
        <is>
          <t>yes</t>
        </is>
      </c>
      <c r="R9" s="86" t="inlineStr">
        <is>
          <t>fundus</t>
        </is>
      </c>
      <c r="S9" s="86" t="inlineStr">
        <is>
          <t>1</t>
        </is>
      </c>
      <c r="T9" s="86" t="inlineStr">
        <is>
          <t>yes</t>
        </is>
      </c>
      <c r="U9" s="86" t="inlineStr">
        <is>
          <t>yes</t>
        </is>
      </c>
      <c r="V9" s="86" t="inlineStr">
        <is>
          <t>yes</t>
        </is>
      </c>
      <c r="W9" s="86" t="inlineStr">
        <is>
          <t>densenet family</t>
        </is>
      </c>
      <c r="X9" s="86" t="inlineStr">
        <is>
          <t>asia</t>
        </is>
      </c>
      <c r="Y9" s="86" t="inlineStr">
        <is>
          <t>high</t>
        </is>
      </c>
      <c r="Z9" s="86" t="inlineStr">
        <is>
          <t>high</t>
        </is>
      </c>
      <c r="AA9" s="86" t="inlineStr">
        <is>
          <t>excluded</t>
        </is>
      </c>
      <c r="AB9" s="86" t="inlineStr">
        <is>
          <t>middle</t>
        </is>
      </c>
      <c r="AC9" s="86" t="n">
        <v>1585</v>
      </c>
      <c r="AD9" s="104" t="n">
        <v>0.2044164037854889</v>
      </c>
      <c r="AE9" s="104" t="n">
        <v>324</v>
      </c>
      <c r="AF9" s="104" t="n">
        <v>1261</v>
      </c>
      <c r="AG9" s="104" t="n">
        <v>0.9475308641975309</v>
      </c>
      <c r="AH9" s="104" t="n">
        <v>0.9547977795400476</v>
      </c>
      <c r="AI9" s="86" t="n">
        <v>307</v>
      </c>
      <c r="AJ9" s="86" t="n">
        <v>17</v>
      </c>
      <c r="AK9" s="86" t="n">
        <v>1204</v>
      </c>
      <c r="AL9" s="86" t="n">
        <v>57</v>
      </c>
      <c r="AM9" s="1" t="n"/>
      <c r="AN9" s="107" t="n"/>
      <c r="AO9" s="107" t="n"/>
      <c r="AP9" s="107" t="n"/>
      <c r="AX9" s="84">
        <f>AV9-4997</f>
        <v/>
      </c>
      <c r="AY9" s="84">
        <f>AW9-5014</f>
        <v/>
      </c>
      <c r="BE9" s="84">
        <f>BC9-1147</f>
        <v/>
      </c>
      <c r="BF9" s="84">
        <f>BD9-1162</f>
        <v/>
      </c>
    </row>
    <row r="10" ht="17" customHeight="1" s="55" thickBot="1">
      <c r="A10" s="88" t="inlineStr">
        <is>
          <t>Ruamviboonsuk et al. 2022</t>
        </is>
      </c>
      <c r="B10" s="86" t="inlineStr">
        <is>
          <t>DL</t>
        </is>
      </c>
      <c r="C10" s="86" t="inlineStr">
        <is>
          <t>ARDA</t>
        </is>
      </c>
      <c r="D10" s="86" t="inlineStr">
        <is>
          <t>retinaspecialist</t>
        </is>
      </c>
      <c r="E10" s="86" t="inlineStr">
        <is>
          <t>original</t>
        </is>
      </c>
      <c r="F10" s="86" t="inlineStr">
        <is>
          <t>prospective</t>
        </is>
      </c>
      <c r="G10" s="86" t="inlineStr">
        <is>
          <t>middle</t>
        </is>
      </c>
      <c r="H10" s="86" t="inlineStr">
        <is>
          <t>primary</t>
        </is>
      </c>
      <c r="I10" s="86" t="inlineStr">
        <is>
          <t>yes</t>
        </is>
      </c>
      <c r="J10" s="86" t="inlineStr">
        <is>
          <t>vtdr</t>
        </is>
      </c>
      <c r="K10" s="86" t="inlineStr">
        <is>
          <t>no</t>
        </is>
      </c>
      <c r="L10" s="86" t="inlineStr">
        <is>
          <t>no</t>
        </is>
      </c>
      <c r="M10" s="86" t="inlineStr">
        <is>
          <t>desktop</t>
        </is>
      </c>
      <c r="N10" s="86" t="inlineStr">
        <is>
          <t>mixed</t>
        </is>
      </c>
      <c r="O10" s="86" t="inlineStr">
        <is>
          <t>icdr</t>
        </is>
      </c>
      <c r="P10" s="86" t="inlineStr">
        <is>
          <t>retina specialist</t>
        </is>
      </c>
      <c r="Q10" s="86" t="inlineStr">
        <is>
          <t>yes</t>
        </is>
      </c>
      <c r="R10" s="86" t="inlineStr">
        <is>
          <t>fundus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yes</t>
        </is>
      </c>
      <c r="V10" s="86" t="inlineStr">
        <is>
          <t>yes</t>
        </is>
      </c>
      <c r="W10" s="86" t="inlineStr">
        <is>
          <t>inception family</t>
        </is>
      </c>
      <c r="X10" s="86" t="inlineStr">
        <is>
          <t>asia</t>
        </is>
      </c>
      <c r="Y10" s="86" t="inlineStr">
        <is>
          <t>high</t>
        </is>
      </c>
      <c r="Z10" s="86" t="inlineStr">
        <is>
          <t>low</t>
        </is>
      </c>
      <c r="AA10" s="86" t="inlineStr">
        <is>
          <t>positive</t>
        </is>
      </c>
      <c r="AB10" s="86" t="inlineStr">
        <is>
          <t>middle</t>
        </is>
      </c>
      <c r="AC10" s="86" t="n">
        <v>926</v>
      </c>
      <c r="AD10" s="104" t="n">
        <v>0.275377969762419</v>
      </c>
      <c r="AE10" s="104" t="n">
        <v>255</v>
      </c>
      <c r="AF10" s="104" t="n">
        <v>671</v>
      </c>
      <c r="AG10" s="104" t="n">
        <v>0.9137254901960784</v>
      </c>
      <c r="AH10" s="104" t="n">
        <v>0.9538002980625931</v>
      </c>
      <c r="AI10" s="86" t="n">
        <v>233</v>
      </c>
      <c r="AJ10" s="86" t="n">
        <v>22</v>
      </c>
      <c r="AK10" s="86" t="n">
        <v>640</v>
      </c>
      <c r="AL10" s="86" t="n">
        <v>31</v>
      </c>
      <c r="AM10" s="1" t="n"/>
      <c r="AN10" s="107" t="n"/>
      <c r="AO10" s="107" t="n"/>
      <c r="AP10" s="107" t="n"/>
      <c r="AQ10" s="96" t="n"/>
      <c r="AR10" s="96" t="n"/>
      <c r="AS10" s="96" t="n"/>
      <c r="AT10" s="96" t="n"/>
      <c r="AX10" s="84">
        <f>AV10-4997</f>
        <v/>
      </c>
      <c r="AY10" s="84">
        <f>AW10-5014</f>
        <v/>
      </c>
      <c r="BA10" s="96" t="n"/>
      <c r="BB10" s="96" t="n"/>
      <c r="BE10" s="84">
        <f>BC10-1147</f>
        <v/>
      </c>
      <c r="BF10" s="84">
        <f>BD10-1162</f>
        <v/>
      </c>
    </row>
    <row r="11" ht="16" customHeight="1" s="55">
      <c r="A11" s="88" t="inlineStr">
        <is>
          <t>Kim et al. 2021</t>
        </is>
      </c>
      <c r="B11" s="86" t="inlineStr">
        <is>
          <t>DL</t>
        </is>
      </c>
      <c r="C11" s="86" t="inlineStr">
        <is>
          <t>EyeArt</t>
        </is>
      </c>
      <c r="D11" s="86" t="inlineStr">
        <is>
          <t>retinaspecialist</t>
        </is>
      </c>
      <c r="E11" s="86" t="inlineStr">
        <is>
          <t>original</t>
        </is>
      </c>
      <c r="F11" s="86" t="inlineStr">
        <is>
          <t>prospective</t>
        </is>
      </c>
      <c r="G11" s="86" t="inlineStr">
        <is>
          <t>high</t>
        </is>
      </c>
      <c r="H11" s="86" t="inlineStr">
        <is>
          <t>tertiary</t>
        </is>
      </c>
      <c r="I11" s="86" t="inlineStr">
        <is>
          <t>no</t>
        </is>
      </c>
      <c r="J11" s="86" t="inlineStr">
        <is>
          <t>rdr</t>
        </is>
      </c>
      <c r="K11" s="86" t="inlineStr">
        <is>
          <t>no</t>
        </is>
      </c>
      <c r="L11" s="86" t="inlineStr">
        <is>
          <t>yes</t>
        </is>
      </c>
      <c r="M11" s="86" t="inlineStr">
        <is>
          <t>smartphone</t>
        </is>
      </c>
      <c r="N11" s="86" t="inlineStr">
        <is>
          <t>retinascope</t>
        </is>
      </c>
      <c r="O11" s="86" t="inlineStr">
        <is>
          <t>etdrs</t>
        </is>
      </c>
      <c r="P11" s="86" t="inlineStr">
        <is>
          <t>retina specialist</t>
        </is>
      </c>
      <c r="Q11" s="86" t="inlineStr">
        <is>
          <t>no</t>
        </is>
      </c>
      <c r="R11" s="86" t="inlineStr">
        <is>
          <t>clinical examination</t>
        </is>
      </c>
      <c r="S11" s="86" t="inlineStr">
        <is>
          <t>&gt;2</t>
        </is>
      </c>
      <c r="T11" s="86" t="inlineStr">
        <is>
          <t>yes</t>
        </is>
      </c>
      <c r="U11" s="86" t="inlineStr">
        <is>
          <t>yes</t>
        </is>
      </c>
      <c r="V11" s="86" t="inlineStr">
        <is>
          <t>yes</t>
        </is>
      </c>
      <c r="W11" s="86" t="inlineStr">
        <is>
          <t>cnn</t>
        </is>
      </c>
      <c r="X11" s="86" t="inlineStr">
        <is>
          <t>north america</t>
        </is>
      </c>
      <c r="Y11" s="86" t="inlineStr">
        <is>
          <t>high</t>
        </is>
      </c>
      <c r="Z11" s="86" t="inlineStr">
        <is>
          <t>high</t>
        </is>
      </c>
      <c r="AA11" s="86" t="inlineStr">
        <is>
          <t>excluded</t>
        </is>
      </c>
      <c r="AB11" s="86" t="inlineStr">
        <is>
          <t>high</t>
        </is>
      </c>
      <c r="AC11" s="86" t="n">
        <v>68</v>
      </c>
      <c r="AD11" s="104" t="n">
        <v>0.7941176470588235</v>
      </c>
      <c r="AE11" s="104" t="n">
        <v>54</v>
      </c>
      <c r="AF11" s="104" t="n">
        <v>14</v>
      </c>
      <c r="AG11" s="104" t="n">
        <v>0.8703703703703703</v>
      </c>
      <c r="AH11" s="104" t="n">
        <v>0.7857142857142857</v>
      </c>
      <c r="AI11" s="86" t="n">
        <v>47</v>
      </c>
      <c r="AJ11" s="86" t="n">
        <v>7</v>
      </c>
      <c r="AK11" s="86" t="n">
        <v>11</v>
      </c>
      <c r="AL11" s="86" t="n">
        <v>3</v>
      </c>
      <c r="AM11" s="1" t="n"/>
      <c r="AN11" s="107" t="n"/>
      <c r="AO11" s="107" t="n"/>
      <c r="AP11" s="107" t="n"/>
      <c r="AQ11" s="95" t="n">
        <v>4999</v>
      </c>
      <c r="AR11" s="95" t="n">
        <v>5022</v>
      </c>
      <c r="AS11" s="95" t="n">
        <v>-159</v>
      </c>
      <c r="AT11" s="95" t="n">
        <v>5022</v>
      </c>
      <c r="AU11" s="1" t="n"/>
      <c r="AV11" s="1" t="n">
        <v>4999</v>
      </c>
      <c r="AW11" s="84" t="n">
        <v>5022</v>
      </c>
      <c r="AX11" s="84">
        <f>AV11-4997</f>
        <v/>
      </c>
      <c r="AY11" s="84">
        <f>AW11-5014</f>
        <v/>
      </c>
      <c r="BA11" s="95" t="n">
        <v>1150</v>
      </c>
      <c r="BB11" s="95" t="n">
        <v>1170</v>
      </c>
      <c r="BC11" s="84" t="n">
        <v>1150</v>
      </c>
      <c r="BD11" s="84" t="n">
        <v>1170</v>
      </c>
      <c r="BE11" s="84">
        <f>BC11-1147</f>
        <v/>
      </c>
      <c r="BF11" s="84">
        <f>BD11-1162</f>
        <v/>
      </c>
    </row>
    <row r="12" ht="17" customHeight="1" s="55" thickBot="1">
      <c r="A12" s="88" t="inlineStr">
        <is>
          <t>Kim et al. 2021</t>
        </is>
      </c>
      <c r="B12" s="86" t="inlineStr">
        <is>
          <t>DL</t>
        </is>
      </c>
      <c r="C12" s="86" t="inlineStr">
        <is>
          <t>EyeArt</t>
        </is>
      </c>
      <c r="D12" s="86" t="inlineStr">
        <is>
          <t>ophthalmologist</t>
        </is>
      </c>
      <c r="E12" s="86" t="inlineStr">
        <is>
          <t>original</t>
        </is>
      </c>
      <c r="F12" s="86" t="inlineStr">
        <is>
          <t>prospective</t>
        </is>
      </c>
      <c r="G12" s="86" t="inlineStr">
        <is>
          <t>high</t>
        </is>
      </c>
      <c r="H12" s="86" t="inlineStr">
        <is>
          <t>tertiary</t>
        </is>
      </c>
      <c r="I12" s="86" t="inlineStr">
        <is>
          <t>no</t>
        </is>
      </c>
      <c r="J12" s="86" t="inlineStr">
        <is>
          <t>rdr</t>
        </is>
      </c>
      <c r="K12" s="86" t="inlineStr">
        <is>
          <t>no</t>
        </is>
      </c>
      <c r="L12" s="86" t="inlineStr">
        <is>
          <t>yes</t>
        </is>
      </c>
      <c r="M12" s="86" t="inlineStr">
        <is>
          <t>smartphone</t>
        </is>
      </c>
      <c r="N12" s="86" t="inlineStr">
        <is>
          <t>retinascope</t>
        </is>
      </c>
      <c r="O12" s="86" t="inlineStr">
        <is>
          <t>etdrs</t>
        </is>
      </c>
      <c r="P12" s="86" t="inlineStr">
        <is>
          <t>retina specialist</t>
        </is>
      </c>
      <c r="Q12" s="86" t="inlineStr">
        <is>
          <t>no</t>
        </is>
      </c>
      <c r="R12" s="86" t="inlineStr">
        <is>
          <t>clinical examination</t>
        </is>
      </c>
      <c r="S12" s="86" t="inlineStr">
        <is>
          <t>&gt;2</t>
        </is>
      </c>
      <c r="T12" s="86" t="inlineStr">
        <is>
          <t>yes</t>
        </is>
      </c>
      <c r="U12" s="86" t="inlineStr">
        <is>
          <t>yes</t>
        </is>
      </c>
      <c r="V12" s="86" t="inlineStr">
        <is>
          <t>yes</t>
        </is>
      </c>
      <c r="W12" s="86" t="inlineStr">
        <is>
          <t>cnn</t>
        </is>
      </c>
      <c r="X12" s="86" t="inlineStr">
        <is>
          <t>north america</t>
        </is>
      </c>
      <c r="Y12" s="86" t="inlineStr">
        <is>
          <t>high</t>
        </is>
      </c>
      <c r="Z12" s="86" t="inlineStr">
        <is>
          <t>high</t>
        </is>
      </c>
      <c r="AA12" s="86" t="inlineStr">
        <is>
          <t>excluded</t>
        </is>
      </c>
      <c r="AB12" s="86" t="inlineStr">
        <is>
          <t>high</t>
        </is>
      </c>
      <c r="AC12" s="86" t="n">
        <v>68</v>
      </c>
      <c r="AD12" s="104" t="n">
        <v>0.7941176470588235</v>
      </c>
      <c r="AE12" s="104" t="n">
        <v>54</v>
      </c>
      <c r="AF12" s="104" t="n">
        <v>14</v>
      </c>
      <c r="AG12" s="104" t="n">
        <v>0.8703703703703703</v>
      </c>
      <c r="AH12" s="104" t="n">
        <v>0.7857142857142857</v>
      </c>
      <c r="AI12" s="86" t="n">
        <v>47</v>
      </c>
      <c r="AJ12" s="86" t="n">
        <v>7</v>
      </c>
      <c r="AK12" s="86" t="n">
        <v>11</v>
      </c>
      <c r="AL12" s="86" t="n">
        <v>3</v>
      </c>
      <c r="AM12" s="1" t="n"/>
      <c r="AN12" s="107" t="n"/>
      <c r="AO12" s="107" t="n"/>
      <c r="AP12" s="107" t="n"/>
      <c r="AQ12" s="96" t="n"/>
      <c r="AR12" s="96" t="n"/>
      <c r="AS12" s="96" t="n"/>
      <c r="AT12" s="96" t="n"/>
      <c r="AU12" s="1" t="n"/>
      <c r="AV12" s="1" t="n"/>
      <c r="AX12" s="84">
        <f>AV12-4997</f>
        <v/>
      </c>
      <c r="AY12" s="84">
        <f>AW12-5014</f>
        <v/>
      </c>
      <c r="BA12" s="96" t="n"/>
      <c r="BB12" s="96" t="n"/>
      <c r="BE12" s="84">
        <f>BC12-1147</f>
        <v/>
      </c>
      <c r="BF12" s="84">
        <f>BD12-1162</f>
        <v/>
      </c>
    </row>
    <row r="13" ht="16" customHeight="1" s="55">
      <c r="A13" s="28" t="inlineStr">
        <is>
          <t>Li et al. 2021</t>
        </is>
      </c>
      <c r="B13" s="86" t="inlineStr">
        <is>
          <t>DL</t>
        </is>
      </c>
      <c r="C13" s="86" t="inlineStr">
        <is>
          <t>VeriSee</t>
        </is>
      </c>
      <c r="D13" s="86" t="inlineStr">
        <is>
          <t>physician</t>
        </is>
      </c>
      <c r="E13" s="86" t="inlineStr">
        <is>
          <t>original</t>
        </is>
      </c>
      <c r="F13" s="86" t="inlineStr">
        <is>
          <t>retrospective</t>
        </is>
      </c>
      <c r="G13" s="86" t="inlineStr">
        <is>
          <t>high</t>
        </is>
      </c>
      <c r="H13" s="86" t="inlineStr">
        <is>
          <t>tertiary</t>
        </is>
      </c>
      <c r="I13" s="86" t="inlineStr">
        <is>
          <t>no</t>
        </is>
      </c>
      <c r="J13" s="86" t="inlineStr">
        <is>
          <t>rdr</t>
        </is>
      </c>
      <c r="K13" s="86" t="inlineStr">
        <is>
          <t>no</t>
        </is>
      </c>
      <c r="L13" s="86" t="inlineStr">
        <is>
          <t>no</t>
        </is>
      </c>
      <c r="M13" s="86" t="inlineStr">
        <is>
          <t>desktop</t>
        </is>
      </c>
      <c r="N13" s="86" t="inlineStr">
        <is>
          <t>canon</t>
        </is>
      </c>
      <c r="O13" s="86" t="inlineStr">
        <is>
          <t>icdr</t>
        </is>
      </c>
      <c r="P13" s="86" t="inlineStr">
        <is>
          <t>ophthalmologist</t>
        </is>
      </c>
      <c r="Q13" s="86" t="inlineStr">
        <is>
          <t>yes</t>
        </is>
      </c>
      <c r="R13" s="86" t="inlineStr">
        <is>
          <t>fundus</t>
        </is>
      </c>
      <c r="S13" s="86" t="inlineStr">
        <is>
          <t>1</t>
        </is>
      </c>
      <c r="T13" s="86" t="inlineStr">
        <is>
          <t>no</t>
        </is>
      </c>
      <c r="U13" s="86" t="inlineStr">
        <is>
          <t>yes</t>
        </is>
      </c>
      <c r="V13" s="86" t="inlineStr">
        <is>
          <t>yes</t>
        </is>
      </c>
      <c r="W13" s="86" t="inlineStr">
        <is>
          <t>inception family</t>
        </is>
      </c>
      <c r="X13" s="86" t="inlineStr">
        <is>
          <t>asia</t>
        </is>
      </c>
      <c r="Y13" s="86" t="inlineStr">
        <is>
          <t>high</t>
        </is>
      </c>
      <c r="Z13" s="86" t="inlineStr">
        <is>
          <t>high</t>
        </is>
      </c>
      <c r="AA13" s="86" t="inlineStr">
        <is>
          <t>excluded</t>
        </is>
      </c>
      <c r="AB13" s="86" t="inlineStr">
        <is>
          <t>middle</t>
        </is>
      </c>
      <c r="AC13" s="86" t="n">
        <v>468</v>
      </c>
      <c r="AD13" s="104" t="n">
        <v>0.1217948717948718</v>
      </c>
      <c r="AE13" s="104" t="n">
        <v>57</v>
      </c>
      <c r="AF13" s="104" t="n">
        <v>411</v>
      </c>
      <c r="AG13" s="104" t="n">
        <v>0.9122807017543859</v>
      </c>
      <c r="AH13" s="104" t="n">
        <v>0.8394160583941606</v>
      </c>
      <c r="AI13" s="86" t="n">
        <v>52</v>
      </c>
      <c r="AJ13" s="86" t="n">
        <v>5</v>
      </c>
      <c r="AK13" s="86" t="n">
        <v>345</v>
      </c>
      <c r="AL13" s="86" t="n">
        <v>66</v>
      </c>
      <c r="AM13" s="1" t="n"/>
      <c r="AN13" s="107" t="n"/>
      <c r="AO13" s="107" t="n"/>
      <c r="AP13" s="107" t="n"/>
      <c r="AQ13" s="95" t="n">
        <v>4994</v>
      </c>
      <c r="AR13" s="95" t="n">
        <v>5016</v>
      </c>
      <c r="AS13" s="95" t="n">
        <v>5016</v>
      </c>
      <c r="AT13" s="95" t="n">
        <v>5016</v>
      </c>
      <c r="AV13" s="84" t="n">
        <v>4994</v>
      </c>
      <c r="AW13" s="84" t="n">
        <v>5016</v>
      </c>
      <c r="AX13" s="84">
        <f>AV13-4997</f>
        <v/>
      </c>
      <c r="AY13" s="84">
        <f>AW13-5014</f>
        <v/>
      </c>
      <c r="BA13" s="95" t="n">
        <v>1134</v>
      </c>
      <c r="BB13" s="95" t="n">
        <v>1158</v>
      </c>
      <c r="BC13" s="84" t="n">
        <v>1134</v>
      </c>
      <c r="BD13" s="84" t="n">
        <v>1158</v>
      </c>
      <c r="BE13" s="84">
        <f>BC13-1147</f>
        <v/>
      </c>
      <c r="BF13" s="84">
        <f>BD13-1162</f>
        <v/>
      </c>
    </row>
    <row r="14" ht="17" customHeight="1" s="55" thickBot="1">
      <c r="A14" s="28" t="inlineStr">
        <is>
          <t>Noriega et al. 2021</t>
        </is>
      </c>
      <c r="B14" s="86" t="inlineStr">
        <is>
          <t>DL</t>
        </is>
      </c>
      <c r="C14" s="86" t="inlineStr">
        <is>
          <t>ARIA</t>
        </is>
      </c>
      <c r="D14" s="86" t="inlineStr">
        <is>
          <t>ophthalmologist</t>
        </is>
      </c>
      <c r="E14" s="86" t="inlineStr">
        <is>
          <t>original</t>
        </is>
      </c>
      <c r="F14" s="86" t="inlineStr">
        <is>
          <t>prospective</t>
        </is>
      </c>
      <c r="G14" s="86" t="inlineStr">
        <is>
          <t>middle</t>
        </is>
      </c>
      <c r="H14" s="86" t="inlineStr">
        <is>
          <t>tertiary</t>
        </is>
      </c>
      <c r="I14" s="86" t="inlineStr">
        <is>
          <t>yes</t>
        </is>
      </c>
      <c r="J14" s="86" t="inlineStr">
        <is>
          <t>rdr</t>
        </is>
      </c>
      <c r="K14" s="86" t="inlineStr">
        <is>
          <t>no</t>
        </is>
      </c>
      <c r="L14" s="86" t="inlineStr">
        <is>
          <t>no</t>
        </is>
      </c>
      <c r="M14" s="86" t="inlineStr">
        <is>
          <t>mixed</t>
        </is>
      </c>
      <c r="N14" s="86" t="inlineStr">
        <is>
          <t>mixed</t>
        </is>
      </c>
      <c r="O14" s="86" t="inlineStr">
        <is>
          <t>icdr</t>
        </is>
      </c>
      <c r="P14" s="86" t="inlineStr">
        <is>
          <t>retina specialist</t>
        </is>
      </c>
      <c r="Q14" s="86" t="inlineStr">
        <is>
          <t>no</t>
        </is>
      </c>
      <c r="R14" s="86" t="inlineStr">
        <is>
          <t>fundus</t>
        </is>
      </c>
      <c r="S14" s="86" t="inlineStr">
        <is>
          <t>1</t>
        </is>
      </c>
      <c r="T14" s="86" t="inlineStr">
        <is>
          <t>no</t>
        </is>
      </c>
      <c r="U14" s="86" t="inlineStr">
        <is>
          <t>no</t>
        </is>
      </c>
      <c r="V14" s="86" t="inlineStr">
        <is>
          <t>no</t>
        </is>
      </c>
      <c r="W14" s="86" t="inlineStr">
        <is>
          <t>vgg family</t>
        </is>
      </c>
      <c r="X14" s="86" t="inlineStr">
        <is>
          <t>north america</t>
        </is>
      </c>
      <c r="Y14" s="86" t="inlineStr">
        <is>
          <t>high</t>
        </is>
      </c>
      <c r="Z14" s="86" t="inlineStr">
        <is>
          <t>high</t>
        </is>
      </c>
      <c r="AA14" s="86" t="inlineStr">
        <is>
          <t>excluded</t>
        </is>
      </c>
      <c r="AB14" s="86" t="inlineStr">
        <is>
          <t>high</t>
        </is>
      </c>
      <c r="AC14" s="86" t="n">
        <v>100</v>
      </c>
      <c r="AD14" s="104" t="n">
        <v>0.5</v>
      </c>
      <c r="AE14" s="104" t="n">
        <v>50</v>
      </c>
      <c r="AF14" s="104" t="n">
        <v>50</v>
      </c>
      <c r="AG14" s="104" t="n">
        <v>0.96</v>
      </c>
      <c r="AH14" s="104" t="n">
        <v>0.9</v>
      </c>
      <c r="AI14" s="86" t="n">
        <v>48</v>
      </c>
      <c r="AJ14" s="86" t="n">
        <v>2</v>
      </c>
      <c r="AK14" s="86" t="n">
        <v>45</v>
      </c>
      <c r="AL14" s="86" t="n">
        <v>5</v>
      </c>
      <c r="AM14" s="1" t="n"/>
      <c r="AN14" s="107" t="n"/>
      <c r="AO14" s="107" t="n"/>
      <c r="AP14" s="107" t="n"/>
      <c r="AQ14" s="96" t="n"/>
      <c r="AR14" s="96" t="n"/>
      <c r="AS14" s="96" t="n"/>
      <c r="AT14" s="96" t="n"/>
      <c r="AX14" s="84">
        <f>AV14-4997</f>
        <v/>
      </c>
      <c r="AY14" s="84">
        <f>AW14-5014</f>
        <v/>
      </c>
      <c r="BE14" s="84">
        <f>BC14-1147</f>
        <v/>
      </c>
      <c r="BF14" s="84">
        <f>BD14-1162</f>
        <v/>
      </c>
    </row>
    <row r="15" ht="17" customHeight="1" s="55" thickBot="1">
      <c r="A15" s="88" t="inlineStr">
        <is>
          <t>Wintergerst et al. 2021</t>
        </is>
      </c>
      <c r="B15" s="86" t="inlineStr">
        <is>
          <t>DL</t>
        </is>
      </c>
      <c r="C15" s="86" t="inlineStr">
        <is>
          <t>EyeArt</t>
        </is>
      </c>
      <c r="D15" s="86" t="inlineStr">
        <is>
          <t>ophthalmologist</t>
        </is>
      </c>
      <c r="E15" s="86" t="inlineStr">
        <is>
          <t>original</t>
        </is>
      </c>
      <c r="F15" s="86" t="inlineStr">
        <is>
          <t>prospective</t>
        </is>
      </c>
      <c r="G15" s="86" t="inlineStr">
        <is>
          <t>high</t>
        </is>
      </c>
      <c r="H15" s="86" t="inlineStr">
        <is>
          <t>primary</t>
        </is>
      </c>
      <c r="I15" s="86" t="inlineStr">
        <is>
          <t>yes</t>
        </is>
      </c>
      <c r="J15" s="86" t="inlineStr">
        <is>
          <t>rdr</t>
        </is>
      </c>
      <c r="K15" s="86" t="inlineStr">
        <is>
          <t>no</t>
        </is>
      </c>
      <c r="L15" s="86" t="inlineStr">
        <is>
          <t>mixed</t>
        </is>
      </c>
      <c r="M15" s="86" t="inlineStr">
        <is>
          <t>desktop</t>
        </is>
      </c>
      <c r="N15" s="86" t="inlineStr">
        <is>
          <t>centervue</t>
        </is>
      </c>
      <c r="O15" s="86" t="inlineStr">
        <is>
          <t>icdr</t>
        </is>
      </c>
      <c r="P15" s="86" t="inlineStr">
        <is>
          <t>retina specialist</t>
        </is>
      </c>
      <c r="Q15" s="86" t="inlineStr">
        <is>
          <t>yes</t>
        </is>
      </c>
      <c r="R15" s="86" t="inlineStr">
        <is>
          <t>fundus</t>
        </is>
      </c>
      <c r="S15" s="86" t="inlineStr">
        <is>
          <t>&gt;2</t>
        </is>
      </c>
      <c r="T15" s="86" t="inlineStr">
        <is>
          <t>no</t>
        </is>
      </c>
      <c r="U15" s="86" t="inlineStr">
        <is>
          <t>yes</t>
        </is>
      </c>
      <c r="V15" s="86" t="inlineStr">
        <is>
          <t>yes</t>
        </is>
      </c>
      <c r="W15" s="86" t="inlineStr">
        <is>
          <t>cnn</t>
        </is>
      </c>
      <c r="X15" s="86" t="inlineStr">
        <is>
          <t>europe</t>
        </is>
      </c>
      <c r="Y15" s="86" t="inlineStr">
        <is>
          <t>low</t>
        </is>
      </c>
      <c r="Z15" s="86" t="inlineStr">
        <is>
          <t>low</t>
        </is>
      </c>
      <c r="AA15" s="86" t="inlineStr">
        <is>
          <t>positive</t>
        </is>
      </c>
      <c r="AB15" s="86" t="inlineStr">
        <is>
          <t>low</t>
        </is>
      </c>
      <c r="AC15" s="86" t="n">
        <v>48</v>
      </c>
      <c r="AD15" s="104" t="n">
        <v>0.08333333333333333</v>
      </c>
      <c r="AE15" s="104" t="n">
        <v>4</v>
      </c>
      <c r="AF15" s="104" t="n">
        <v>44</v>
      </c>
      <c r="AG15" s="104" t="n">
        <v>0.75</v>
      </c>
      <c r="AH15" s="104" t="n">
        <v>0.9772727272727273</v>
      </c>
      <c r="AI15" s="86" t="n">
        <v>3</v>
      </c>
      <c r="AJ15" s="86" t="n">
        <v>1</v>
      </c>
      <c r="AK15" s="86" t="n">
        <v>43</v>
      </c>
      <c r="AL15" s="86" t="n">
        <v>1</v>
      </c>
      <c r="AM15" s="1" t="n"/>
      <c r="AN15" s="107" t="n"/>
      <c r="AO15" s="107" t="n"/>
      <c r="AP15" s="107" t="n"/>
      <c r="AQ15" s="95" t="n">
        <v>5000</v>
      </c>
      <c r="AR15" s="95" t="n">
        <v>5028</v>
      </c>
      <c r="AS15" s="95" t="n">
        <v>5028</v>
      </c>
      <c r="AT15" s="95" t="n">
        <v>5028</v>
      </c>
      <c r="AU15" s="1" t="n"/>
      <c r="AV15" s="1" t="n">
        <v>5000</v>
      </c>
      <c r="AW15" s="84" t="n">
        <v>5028</v>
      </c>
      <c r="AX15" s="84">
        <f>AV15-4997</f>
        <v/>
      </c>
      <c r="AY15" s="84">
        <f>AW15-5014</f>
        <v/>
      </c>
      <c r="BA15" s="96" t="n"/>
      <c r="BB15" s="96" t="n"/>
      <c r="BE15" s="84">
        <f>BC15-1147</f>
        <v/>
      </c>
      <c r="BF15" s="84">
        <f>BD15-1162</f>
        <v/>
      </c>
    </row>
    <row r="16" ht="16" customHeight="1" s="55">
      <c r="A16" s="88" t="inlineStr">
        <is>
          <t>Wintergerst et al. 2021</t>
        </is>
      </c>
      <c r="B16" s="86" t="inlineStr">
        <is>
          <t>DL</t>
        </is>
      </c>
      <c r="C16" s="86" t="inlineStr">
        <is>
          <t>EyeArt</t>
        </is>
      </c>
      <c r="D16" s="86" t="inlineStr">
        <is>
          <t>ophthalmologist</t>
        </is>
      </c>
      <c r="E16" s="86" t="inlineStr">
        <is>
          <t>original</t>
        </is>
      </c>
      <c r="F16" s="86" t="inlineStr">
        <is>
          <t>prospective</t>
        </is>
      </c>
      <c r="G16" s="86" t="inlineStr">
        <is>
          <t>high</t>
        </is>
      </c>
      <c r="H16" s="86" t="inlineStr">
        <is>
          <t>primary</t>
        </is>
      </c>
      <c r="I16" s="86" t="inlineStr">
        <is>
          <t>yes</t>
        </is>
      </c>
      <c r="J16" s="86" t="inlineStr">
        <is>
          <t>dr</t>
        </is>
      </c>
      <c r="K16" s="86" t="inlineStr">
        <is>
          <t>no</t>
        </is>
      </c>
      <c r="L16" s="86" t="inlineStr">
        <is>
          <t>mixed</t>
        </is>
      </c>
      <c r="M16" s="86" t="inlineStr">
        <is>
          <t>desktop</t>
        </is>
      </c>
      <c r="N16" s="86" t="inlineStr">
        <is>
          <t>centervue</t>
        </is>
      </c>
      <c r="O16" s="86" t="inlineStr">
        <is>
          <t>icdr</t>
        </is>
      </c>
      <c r="P16" s="86" t="inlineStr">
        <is>
          <t>retina specialist</t>
        </is>
      </c>
      <c r="Q16" s="86" t="inlineStr">
        <is>
          <t>yes</t>
        </is>
      </c>
      <c r="R16" s="86" t="inlineStr">
        <is>
          <t>fundus</t>
        </is>
      </c>
      <c r="S16" s="86" t="inlineStr">
        <is>
          <t>&gt;2</t>
        </is>
      </c>
      <c r="T16" s="86" t="inlineStr">
        <is>
          <t>no</t>
        </is>
      </c>
      <c r="U16" s="86" t="inlineStr">
        <is>
          <t>yes</t>
        </is>
      </c>
      <c r="V16" s="86" t="inlineStr">
        <is>
          <t>yes</t>
        </is>
      </c>
      <c r="W16" s="86" t="inlineStr">
        <is>
          <t>cnn</t>
        </is>
      </c>
      <c r="X16" s="86" t="inlineStr">
        <is>
          <t>europe</t>
        </is>
      </c>
      <c r="Y16" s="86" t="inlineStr">
        <is>
          <t>low</t>
        </is>
      </c>
      <c r="Z16" s="86" t="inlineStr">
        <is>
          <t>low</t>
        </is>
      </c>
      <c r="AA16" s="86" t="inlineStr">
        <is>
          <t>positive</t>
        </is>
      </c>
      <c r="AB16" s="86" t="inlineStr">
        <is>
          <t>middle</t>
        </is>
      </c>
      <c r="AC16" s="86" t="n">
        <v>48</v>
      </c>
      <c r="AD16" s="104" t="n">
        <v>0.1041666666666667</v>
      </c>
      <c r="AE16" s="104" t="n">
        <v>5</v>
      </c>
      <c r="AF16" s="104" t="n">
        <v>43</v>
      </c>
      <c r="AG16" s="104" t="n">
        <v>1</v>
      </c>
      <c r="AH16" s="104" t="n">
        <v>0.9767441860465116</v>
      </c>
      <c r="AI16" s="86" t="n">
        <v>5</v>
      </c>
      <c r="AJ16" s="86" t="n">
        <v>0</v>
      </c>
      <c r="AK16" s="86" t="n">
        <v>42</v>
      </c>
      <c r="AL16" s="86" t="n">
        <v>1</v>
      </c>
      <c r="AM16" s="1" t="n"/>
      <c r="AN16" s="107" t="n"/>
      <c r="AO16" s="107" t="n"/>
      <c r="AP16" s="107" t="n"/>
      <c r="AU16" s="1" t="n"/>
      <c r="AV16" s="1" t="n"/>
      <c r="AX16" s="84">
        <f>AV16-4997</f>
        <v/>
      </c>
      <c r="AY16" s="84">
        <f>AW16-5014</f>
        <v/>
      </c>
      <c r="BA16" s="95" t="n">
        <v>1150</v>
      </c>
      <c r="BB16" s="95" t="n">
        <v>1174</v>
      </c>
      <c r="BC16" s="84" t="n">
        <v>1150</v>
      </c>
      <c r="BD16" s="84" t="n">
        <v>1174</v>
      </c>
      <c r="BE16" s="84">
        <f>BC16-1147</f>
        <v/>
      </c>
      <c r="BF16" s="84">
        <f>BD16-1162</f>
        <v/>
      </c>
    </row>
    <row r="17" ht="17" customHeight="1" s="55" thickBot="1">
      <c r="A17" s="28" t="inlineStr">
        <is>
          <t>Limwattanayingyong et al .2020</t>
        </is>
      </c>
      <c r="B17" s="86" t="inlineStr">
        <is>
          <t>DL</t>
        </is>
      </c>
      <c r="C17" s="86" t="inlineStr">
        <is>
          <t>ARDA</t>
        </is>
      </c>
      <c r="D17" s="86" t="inlineStr">
        <is>
          <t>trainedgrader</t>
        </is>
      </c>
      <c r="E17" s="86" t="inlineStr">
        <is>
          <t>original</t>
        </is>
      </c>
      <c r="F17" s="86" t="inlineStr">
        <is>
          <t>retrospective</t>
        </is>
      </c>
      <c r="G17" s="86" t="inlineStr">
        <is>
          <t>middle</t>
        </is>
      </c>
      <c r="H17" s="86" t="inlineStr">
        <is>
          <t>primary</t>
        </is>
      </c>
      <c r="I17" s="86" t="inlineStr">
        <is>
          <t>yes</t>
        </is>
      </c>
      <c r="J17" s="86" t="inlineStr">
        <is>
          <t>vtdr</t>
        </is>
      </c>
      <c r="K17" s="86" t="inlineStr">
        <is>
          <t>no</t>
        </is>
      </c>
      <c r="L17" s="86" t="inlineStr">
        <is>
          <t>no</t>
        </is>
      </c>
      <c r="M17" s="86" t="inlineStr">
        <is>
          <t>desktop</t>
        </is>
      </c>
      <c r="N17" s="86" t="inlineStr">
        <is>
          <t>mixed</t>
        </is>
      </c>
      <c r="O17" s="86" t="inlineStr">
        <is>
          <t>icdr</t>
        </is>
      </c>
      <c r="P17" s="86" t="inlineStr">
        <is>
          <t>retina specialist</t>
        </is>
      </c>
      <c r="Q17" s="86" t="inlineStr">
        <is>
          <t>yes</t>
        </is>
      </c>
      <c r="R17" s="86" t="inlineStr">
        <is>
          <t>fundus</t>
        </is>
      </c>
      <c r="S17" s="86" t="inlineStr">
        <is>
          <t>1</t>
        </is>
      </c>
      <c r="T17" s="86" t="inlineStr">
        <is>
          <t>yes</t>
        </is>
      </c>
      <c r="U17" s="86" t="inlineStr">
        <is>
          <t>yes</t>
        </is>
      </c>
      <c r="V17" s="86" t="inlineStr">
        <is>
          <t>yes</t>
        </is>
      </c>
      <c r="W17" s="86" t="inlineStr">
        <is>
          <t>inception family</t>
        </is>
      </c>
      <c r="X17" s="86" t="inlineStr">
        <is>
          <t>asia</t>
        </is>
      </c>
      <c r="Y17" s="86" t="inlineStr">
        <is>
          <t>high</t>
        </is>
      </c>
      <c r="Z17" s="86" t="inlineStr">
        <is>
          <t>high</t>
        </is>
      </c>
      <c r="AA17" s="86" t="inlineStr">
        <is>
          <t>excluded</t>
        </is>
      </c>
      <c r="AB17" s="86" t="inlineStr">
        <is>
          <t>middle</t>
        </is>
      </c>
      <c r="AC17" s="86" t="n">
        <v>5738</v>
      </c>
      <c r="AD17" s="104" t="n">
        <v>0.1343673753921227</v>
      </c>
      <c r="AE17" s="104" t="n">
        <v>771</v>
      </c>
      <c r="AF17" s="104" t="n">
        <v>4967</v>
      </c>
      <c r="AG17" s="104" t="n">
        <v>0.867704280155642</v>
      </c>
      <c r="AH17" s="104" t="n">
        <v>0.9929534930541575</v>
      </c>
      <c r="AI17" s="86" t="n">
        <v>669</v>
      </c>
      <c r="AJ17" s="86" t="n">
        <v>102</v>
      </c>
      <c r="AK17" s="86" t="n">
        <v>4932</v>
      </c>
      <c r="AL17" s="86" t="n">
        <v>35</v>
      </c>
      <c r="AM17" s="1" t="n"/>
      <c r="AN17" s="107" t="n"/>
      <c r="AO17" s="107" t="n"/>
      <c r="AP17" s="107" t="n"/>
      <c r="AQ17" s="96" t="n"/>
      <c r="AR17" s="96" t="n"/>
      <c r="AS17" s="96" t="n"/>
      <c r="AT17" s="96" t="n"/>
      <c r="AX17" s="84">
        <f>AV17-4997</f>
        <v/>
      </c>
      <c r="AY17" s="84">
        <f>AW17-5014</f>
        <v/>
      </c>
      <c r="BE17" s="84">
        <f>BC17-1147</f>
        <v/>
      </c>
      <c r="BF17" s="84">
        <f>BD17-1162</f>
        <v/>
      </c>
    </row>
    <row r="18" ht="16" customHeight="1" s="55" thickBot="1">
      <c r="AQ18" s="95" t="n">
        <v>4997</v>
      </c>
      <c r="AR18" s="95" t="n">
        <v>5020</v>
      </c>
      <c r="AS18" s="95" t="n">
        <v>5020</v>
      </c>
      <c r="AT18" s="95" t="n">
        <v>5020</v>
      </c>
      <c r="AV18" s="84" t="n">
        <v>4997</v>
      </c>
      <c r="AW18" s="84" t="n">
        <v>5020</v>
      </c>
      <c r="AX18" s="84">
        <f>AV18-4997</f>
        <v/>
      </c>
      <c r="AY18" s="84">
        <f>AW18-5014</f>
        <v/>
      </c>
      <c r="BA18" s="96" t="n"/>
      <c r="BB18" s="96" t="n"/>
      <c r="BE18" s="84">
        <f>BC18-1147</f>
        <v/>
      </c>
      <c r="BF18" s="84">
        <f>BD18-1162</f>
        <v/>
      </c>
    </row>
    <row r="19" ht="16" customHeight="1" s="55" thickBot="1">
      <c r="AQ19" s="96" t="n"/>
      <c r="AR19" s="96" t="n"/>
      <c r="AS19" s="96" t="n"/>
      <c r="AT19" s="96" t="n"/>
      <c r="AX19" s="84">
        <f>AV19-4997</f>
        <v/>
      </c>
      <c r="AY19" s="84">
        <f>AW19-5014</f>
        <v/>
      </c>
      <c r="BA19" s="95" t="n">
        <v>1150</v>
      </c>
      <c r="BB19" s="95" t="n">
        <v>1169</v>
      </c>
      <c r="BC19" s="84" t="n">
        <v>1150</v>
      </c>
      <c r="BD19" s="84" t="n">
        <v>1169</v>
      </c>
      <c r="BE19" s="84">
        <f>BC19-1147</f>
        <v/>
      </c>
      <c r="BF19" s="84">
        <f>BD19-1162</f>
        <v/>
      </c>
    </row>
    <row r="20" ht="16" customHeight="1" s="55" thickBot="1">
      <c r="AQ20" s="95" t="n">
        <v>4900</v>
      </c>
      <c r="AR20" s="95" t="n">
        <v>4928</v>
      </c>
      <c r="AS20" s="95" t="n">
        <v>4928</v>
      </c>
      <c r="AT20" s="95" t="n">
        <v>4928</v>
      </c>
      <c r="AV20" s="84" t="n">
        <v>4900</v>
      </c>
      <c r="AW20" s="84" t="n">
        <v>4928</v>
      </c>
      <c r="AX20" s="84">
        <f>AV20-4997</f>
        <v/>
      </c>
      <c r="AY20" s="84">
        <f>AW20-5014</f>
        <v/>
      </c>
      <c r="BA20" s="96" t="n"/>
      <c r="BB20" s="96" t="n"/>
      <c r="BE20" s="84">
        <f>BC20-1147</f>
        <v/>
      </c>
      <c r="BF20" s="84">
        <f>BD20-1162</f>
        <v/>
      </c>
    </row>
    <row r="21" ht="15" customHeight="1" s="55">
      <c r="AX21" s="84">
        <f>AV21-4997</f>
        <v/>
      </c>
      <c r="AY21" s="84">
        <f>AW21-5014</f>
        <v/>
      </c>
      <c r="BA21" s="95" t="n">
        <v>1151</v>
      </c>
      <c r="BB21" s="95" t="n">
        <v>1174</v>
      </c>
      <c r="BC21" s="84" t="n">
        <v>1151</v>
      </c>
      <c r="BD21" s="84" t="n">
        <v>1174</v>
      </c>
      <c r="BE21" s="84">
        <f>BC21-1147</f>
        <v/>
      </c>
      <c r="BF21" s="84">
        <f>BD21-1162</f>
        <v/>
      </c>
    </row>
    <row r="22" ht="16" customHeight="1" s="55" thickBot="1">
      <c r="AQ22" s="96" t="n"/>
      <c r="AR22" s="96" t="n"/>
      <c r="AS22" s="96" t="n"/>
      <c r="AT22" s="96" t="n"/>
      <c r="AX22" s="84">
        <f>AV22-4997</f>
        <v/>
      </c>
      <c r="AY22" s="84">
        <f>AW22-5014</f>
        <v/>
      </c>
      <c r="BE22" s="84">
        <f>BC22-1147</f>
        <v/>
      </c>
      <c r="BF22" s="84">
        <f>BD22-1162</f>
        <v/>
      </c>
    </row>
    <row r="23" ht="15" customHeight="1" s="55">
      <c r="AQ23" s="95" t="n">
        <v>5000</v>
      </c>
      <c r="AR23" s="95" t="n">
        <v>5023</v>
      </c>
      <c r="AS23" s="95" t="n">
        <v>5023</v>
      </c>
      <c r="AT23" s="95" t="n">
        <v>5023</v>
      </c>
      <c r="AV23" s="84" t="n">
        <v>5000</v>
      </c>
      <c r="AW23" s="84" t="n">
        <v>5023</v>
      </c>
      <c r="AX23" s="84">
        <f>AV23-4997</f>
        <v/>
      </c>
      <c r="AY23" s="84">
        <f>AW23-5014</f>
        <v/>
      </c>
      <c r="BE23" s="84">
        <f>BC23-1147</f>
        <v/>
      </c>
      <c r="BF23" s="84">
        <f>BD23-1162</f>
        <v/>
      </c>
    </row>
    <row r="24" ht="16" customHeight="1" s="55" thickBot="1">
      <c r="AQ24" s="96" t="n"/>
      <c r="AR24" s="96" t="n"/>
      <c r="AS24" s="96" t="n"/>
      <c r="AT24" s="96" t="n"/>
      <c r="AX24" s="84">
        <f>AV24-4997</f>
        <v/>
      </c>
      <c r="AY24" s="84">
        <f>AW24-5014</f>
        <v/>
      </c>
      <c r="BA24" s="96" t="n"/>
      <c r="BB24" s="96" t="n"/>
      <c r="BE24" s="84">
        <f>BC24-1147</f>
        <v/>
      </c>
      <c r="BF24" s="84">
        <f>BD24-1162</f>
        <v/>
      </c>
    </row>
    <row r="25" ht="15" customHeight="1" s="55">
      <c r="AQ25" s="95" t="n">
        <v>4992</v>
      </c>
      <c r="AR25" s="95" t="n">
        <v>5020</v>
      </c>
      <c r="AS25" s="95" t="n">
        <v>5020</v>
      </c>
      <c r="AT25" s="95" t="n">
        <v>5020</v>
      </c>
      <c r="AV25" s="84" t="n">
        <v>4992</v>
      </c>
      <c r="AW25" s="84" t="n">
        <v>5020</v>
      </c>
      <c r="AX25" s="84">
        <f>AV25-4997</f>
        <v/>
      </c>
      <c r="AY25" s="84">
        <f>AW25-5014</f>
        <v/>
      </c>
      <c r="BA25" s="95" t="n">
        <v>1148</v>
      </c>
      <c r="BB25" s="95" t="n">
        <v>1168</v>
      </c>
      <c r="BC25" s="84" t="n">
        <v>1148</v>
      </c>
      <c r="BD25" s="84" t="n">
        <v>1168</v>
      </c>
      <c r="BE25" s="84">
        <f>BC25-1147</f>
        <v/>
      </c>
      <c r="BF25" s="84">
        <f>BD25-1162</f>
        <v/>
      </c>
    </row>
    <row r="26" ht="16" customHeight="1" s="55" thickBot="1">
      <c r="AX26" s="84">
        <f>AV26-4997</f>
        <v/>
      </c>
      <c r="AY26" s="84">
        <f>AW26-5014</f>
        <v/>
      </c>
      <c r="BA26" s="96" t="n"/>
      <c r="BB26" s="96" t="n"/>
      <c r="BE26" s="84">
        <f>BC26-1147</f>
        <v/>
      </c>
      <c r="BF26" s="84">
        <f>BD26-1162</f>
        <v/>
      </c>
    </row>
    <row r="27" ht="16" customHeight="1" s="55" thickBot="1">
      <c r="AQ27" s="96" t="n"/>
      <c r="AR27" s="96" t="n"/>
      <c r="AS27" s="96" t="n"/>
      <c r="AT27" s="96" t="n"/>
      <c r="AX27" s="84">
        <f>AV27-4997</f>
        <v/>
      </c>
      <c r="AY27" s="84">
        <f>AW27-5014</f>
        <v/>
      </c>
      <c r="BA27" s="95" t="n">
        <v>1137</v>
      </c>
      <c r="BB27" s="95" t="n">
        <v>1161</v>
      </c>
      <c r="BC27" s="84" t="n">
        <v>1137</v>
      </c>
      <c r="BD27" s="84" t="n">
        <v>1161</v>
      </c>
      <c r="BE27" s="84">
        <f>BC27-1147</f>
        <v/>
      </c>
      <c r="BF27" s="84">
        <f>BD27-1162</f>
        <v/>
      </c>
    </row>
    <row r="28" ht="15" customHeight="1" s="55">
      <c r="AQ28" s="95" t="n">
        <v>4995</v>
      </c>
      <c r="AR28" s="95" t="n">
        <v>5028</v>
      </c>
      <c r="AS28" s="95" t="n">
        <v>5028</v>
      </c>
      <c r="AT28" s="95" t="n">
        <v>5028</v>
      </c>
      <c r="AV28" s="84" t="n">
        <v>4995</v>
      </c>
      <c r="AW28" s="84" t="n">
        <v>5028</v>
      </c>
      <c r="AX28" s="84">
        <f>AV28-4997</f>
        <v/>
      </c>
      <c r="AY28" s="84">
        <f>AW28-5014</f>
        <v/>
      </c>
      <c r="BE28" s="84">
        <f>BC28-1147</f>
        <v/>
      </c>
      <c r="BF28" s="84">
        <f>BD28-1162</f>
        <v/>
      </c>
    </row>
    <row r="29" ht="16" customHeight="1" s="55" thickBot="1">
      <c r="AX29" s="84">
        <f>AV29-4997</f>
        <v/>
      </c>
      <c r="AY29" s="84">
        <f>AW29-5014</f>
        <v/>
      </c>
      <c r="BA29" s="96" t="n"/>
      <c r="BB29" s="96" t="n"/>
      <c r="BE29" s="84">
        <f>BC29-1147</f>
        <v/>
      </c>
      <c r="BF29" s="84">
        <f>BD29-1162</f>
        <v/>
      </c>
    </row>
    <row r="30" ht="15" customHeight="1" s="55">
      <c r="AX30" s="84">
        <f>AV30-4997</f>
        <v/>
      </c>
      <c r="AY30" s="84">
        <f>AW30-5014</f>
        <v/>
      </c>
      <c r="BA30" s="95" t="n">
        <v>1151</v>
      </c>
      <c r="BB30" s="95" t="n">
        <v>1175</v>
      </c>
      <c r="BC30" s="84" t="n">
        <v>1151</v>
      </c>
      <c r="BD30" s="84" t="n">
        <v>1175</v>
      </c>
      <c r="BE30" s="84">
        <f>BC30-1147</f>
        <v/>
      </c>
      <c r="BF30" s="84">
        <f>BD30-1162</f>
        <v/>
      </c>
    </row>
    <row r="31" ht="16" customHeight="1" s="55" thickBot="1">
      <c r="AQ31" s="96" t="n"/>
      <c r="AR31" s="96" t="n"/>
      <c r="AS31" s="96" t="n"/>
      <c r="AT31" s="96" t="n"/>
      <c r="AX31" s="84">
        <f>AV31-4997</f>
        <v/>
      </c>
      <c r="AY31" s="84">
        <f>AW31-5014</f>
        <v/>
      </c>
      <c r="BE31" s="84">
        <f>BC31-1147</f>
        <v/>
      </c>
      <c r="BF31" s="84">
        <f>BD31-1162</f>
        <v/>
      </c>
    </row>
    <row r="32" ht="16" customHeight="1" s="55" thickBot="1">
      <c r="AQ32" s="95" t="n">
        <v>4998</v>
      </c>
      <c r="AR32" s="95" t="n">
        <v>5026</v>
      </c>
      <c r="AS32" s="95" t="n">
        <v>5026</v>
      </c>
      <c r="AT32" s="95" t="n">
        <v>5026</v>
      </c>
      <c r="AV32" s="84" t="n">
        <v>4998</v>
      </c>
      <c r="AW32" s="84" t="n">
        <v>5026</v>
      </c>
      <c r="AX32" s="84">
        <f>AV32-4997</f>
        <v/>
      </c>
      <c r="AY32" s="84">
        <f>AW32-5014</f>
        <v/>
      </c>
      <c r="BA32" s="96" t="n"/>
      <c r="BB32" s="96" t="n"/>
      <c r="BE32" s="84">
        <f>BC32-1147</f>
        <v/>
      </c>
      <c r="BF32" s="84">
        <f>BD32-1162</f>
        <v/>
      </c>
    </row>
    <row r="33" ht="15" customHeight="1" s="55">
      <c r="AX33" s="84">
        <f>AV33-4997</f>
        <v/>
      </c>
      <c r="AY33" s="84">
        <f>AW33-5014</f>
        <v/>
      </c>
      <c r="BA33" s="95" t="n">
        <v>1143</v>
      </c>
      <c r="BB33" s="95" t="n">
        <v>1167</v>
      </c>
      <c r="BC33" s="84" t="n">
        <v>1143</v>
      </c>
      <c r="BD33" s="84" t="n">
        <v>1167</v>
      </c>
      <c r="BE33" s="84">
        <f>BC33-1147</f>
        <v/>
      </c>
      <c r="BF33" s="84">
        <f>BD33-1162</f>
        <v/>
      </c>
    </row>
    <row r="34" ht="16" customHeight="1" s="55" thickBot="1">
      <c r="AQ34" s="96" t="n"/>
      <c r="AR34" s="96" t="n"/>
      <c r="AS34" s="96" t="n"/>
      <c r="AT34" s="96" t="n"/>
      <c r="AX34" s="84">
        <f>AV34-4997</f>
        <v/>
      </c>
      <c r="AY34" s="84">
        <f>AW34-5014</f>
        <v/>
      </c>
      <c r="BE34" s="84">
        <f>BC34-1147</f>
        <v/>
      </c>
      <c r="BF34" s="84">
        <f>BD34-1162</f>
        <v/>
      </c>
    </row>
    <row r="35" ht="16" customHeight="1" s="55" thickBot="1">
      <c r="AQ35" s="100" t="n">
        <v>4991</v>
      </c>
      <c r="AR35" s="98" t="n">
        <v>5013</v>
      </c>
      <c r="AS35" s="98" t="n">
        <v>5013</v>
      </c>
      <c r="AT35" s="98" t="n">
        <v>5013</v>
      </c>
      <c r="AV35" s="84" t="n">
        <v>4991</v>
      </c>
      <c r="AW35" s="84" t="n">
        <v>5013</v>
      </c>
      <c r="AX35" s="84">
        <f>AV35-4997</f>
        <v/>
      </c>
      <c r="AY35" s="84">
        <f>AW35-5014</f>
        <v/>
      </c>
      <c r="BA35" s="96" t="n"/>
      <c r="BB35" s="96" t="n"/>
      <c r="BE35" s="84">
        <f>BC35-1147</f>
        <v/>
      </c>
      <c r="BF35" s="84">
        <f>BD35-1162</f>
        <v/>
      </c>
    </row>
    <row r="36" ht="16" customHeight="1" s="55" thickBot="1">
      <c r="AQ36" s="101" t="n"/>
      <c r="AR36" s="99" t="n"/>
      <c r="AS36" s="99" t="n"/>
      <c r="AT36" s="99" t="n"/>
      <c r="AX36" s="84">
        <f>AV36-4997</f>
        <v/>
      </c>
      <c r="AY36" s="84">
        <f>AW36-5014</f>
        <v/>
      </c>
      <c r="BA36" s="95" t="n">
        <v>1149</v>
      </c>
      <c r="BB36" s="95" t="n">
        <v>1177</v>
      </c>
      <c r="BC36" s="84" t="n">
        <v>1149</v>
      </c>
      <c r="BD36" s="84" t="n">
        <v>1177</v>
      </c>
      <c r="BE36" s="84">
        <f>BC36-1147</f>
        <v/>
      </c>
      <c r="BF36" s="84">
        <f>BD36-1162</f>
        <v/>
      </c>
    </row>
    <row r="37" ht="15" customHeight="1" s="55">
      <c r="AQ37" s="97" t="n">
        <v>4995</v>
      </c>
      <c r="AR37" s="97" t="n">
        <v>5023</v>
      </c>
      <c r="AS37" s="97" t="n">
        <v>5023</v>
      </c>
      <c r="AT37" s="97" t="n">
        <v>5023</v>
      </c>
      <c r="AV37" s="84" t="n">
        <v>4995</v>
      </c>
      <c r="AW37" s="84" t="n">
        <v>5023</v>
      </c>
      <c r="AX37" s="84">
        <f>AV37-4997</f>
        <v/>
      </c>
      <c r="AY37" s="84">
        <f>AW37-5014</f>
        <v/>
      </c>
      <c r="BE37" s="84">
        <f>BC37-1147</f>
        <v/>
      </c>
      <c r="BF37" s="84">
        <f>BD37-1162</f>
        <v/>
      </c>
    </row>
    <row r="38" ht="15" customHeight="1" s="55">
      <c r="AX38" s="84">
        <f>AV38-4997</f>
        <v/>
      </c>
      <c r="AY38" s="84">
        <f>AW38-5014</f>
        <v/>
      </c>
      <c r="BE38" s="84">
        <f>BC38-1147</f>
        <v/>
      </c>
      <c r="BF38" s="84">
        <f>BD38-1162</f>
        <v/>
      </c>
    </row>
    <row r="39" ht="16" customHeight="1" s="55" thickBot="1">
      <c r="AQ39" s="96" t="n"/>
      <c r="AR39" s="96" t="n"/>
      <c r="AS39" s="96" t="n"/>
      <c r="AT39" s="96" t="n"/>
      <c r="AX39" s="84">
        <f>AV39-4997</f>
        <v/>
      </c>
      <c r="AY39" s="84">
        <f>AW39-5014</f>
        <v/>
      </c>
      <c r="BA39" s="96" t="n"/>
      <c r="BB39" s="96" t="n"/>
      <c r="BE39" s="84">
        <f>BC39-1147</f>
        <v/>
      </c>
      <c r="BF39" s="84">
        <f>BD39-1162</f>
        <v/>
      </c>
    </row>
    <row r="40" ht="15" customHeight="1" s="55">
      <c r="AQ40" s="95" t="n">
        <v>4999</v>
      </c>
      <c r="AR40" s="95" t="n">
        <v>5022</v>
      </c>
      <c r="AS40" s="95" t="n">
        <v>5022</v>
      </c>
      <c r="AT40" s="95" t="n">
        <v>5022</v>
      </c>
      <c r="AV40" s="84" t="n">
        <v>4999</v>
      </c>
      <c r="AW40" s="84" t="n">
        <v>5022</v>
      </c>
      <c r="AX40" s="84">
        <f>AV40-4997</f>
        <v/>
      </c>
      <c r="AY40" s="84">
        <f>AW40-5014</f>
        <v/>
      </c>
      <c r="BA40" s="95" t="n">
        <v>1146</v>
      </c>
      <c r="BB40" s="95" t="n">
        <v>1170</v>
      </c>
      <c r="BC40" s="84" t="n">
        <v>1146</v>
      </c>
      <c r="BD40" s="84" t="n">
        <v>1170</v>
      </c>
      <c r="BE40" s="84">
        <f>BC40-1147</f>
        <v/>
      </c>
      <c r="BF40" s="84">
        <f>BD40-1162</f>
        <v/>
      </c>
    </row>
    <row r="41" ht="16" customHeight="1" s="55" thickBot="1">
      <c r="AQ41" s="96" t="n"/>
      <c r="AR41" s="96" t="n"/>
      <c r="AS41" s="96" t="n"/>
      <c r="AT41" s="96" t="n"/>
      <c r="AX41" s="84">
        <f>AV41-4997</f>
        <v/>
      </c>
      <c r="AY41" s="84">
        <f>AW41-5014</f>
        <v/>
      </c>
      <c r="BE41" s="84">
        <f>BC41-1147</f>
        <v/>
      </c>
      <c r="BF41" s="84">
        <f>BD41-1162</f>
        <v/>
      </c>
    </row>
    <row r="42" ht="16" customHeight="1" s="55" thickBot="1">
      <c r="AQ42" s="95" t="n">
        <v>4985</v>
      </c>
      <c r="AR42" s="95" t="n">
        <v>5012</v>
      </c>
      <c r="AS42" s="95" t="n">
        <v>5012</v>
      </c>
      <c r="AT42" s="95" t="n">
        <v>5012</v>
      </c>
      <c r="AV42" s="84" t="n">
        <v>4985</v>
      </c>
      <c r="AW42" s="84" t="n">
        <v>5012</v>
      </c>
      <c r="AX42" s="84">
        <f>AV42-4997</f>
        <v/>
      </c>
      <c r="AY42" s="84">
        <f>AW42-5014</f>
        <v/>
      </c>
      <c r="BA42" s="96" t="n"/>
      <c r="BB42" s="96" t="n"/>
      <c r="BE42" s="84">
        <f>BC42-1147</f>
        <v/>
      </c>
      <c r="BF42" s="84">
        <f>BD42-1162</f>
        <v/>
      </c>
    </row>
    <row r="43" ht="15" customHeight="1" s="55">
      <c r="AX43" s="84">
        <f>AV43-4997</f>
        <v/>
      </c>
      <c r="AY43" s="84">
        <f>AW43-5014</f>
        <v/>
      </c>
      <c r="BA43" s="95" t="n">
        <v>1150</v>
      </c>
      <c r="BB43" s="95" t="n">
        <v>1170</v>
      </c>
      <c r="BC43" s="84" t="n">
        <v>1150</v>
      </c>
      <c r="BD43" s="84" t="n">
        <v>1170</v>
      </c>
      <c r="BE43" s="84">
        <f>BC43-1147</f>
        <v/>
      </c>
      <c r="BF43" s="84">
        <f>BD43-1162</f>
        <v/>
      </c>
    </row>
    <row r="44" ht="16" customHeight="1" s="55" thickBot="1">
      <c r="AQ44" s="96" t="n"/>
      <c r="AR44" s="96" t="n"/>
      <c r="AS44" s="96" t="n"/>
      <c r="AT44" s="96" t="n"/>
      <c r="AX44" s="84">
        <f>AV44-4997</f>
        <v/>
      </c>
      <c r="AY44" s="84">
        <f>AW44-5014</f>
        <v/>
      </c>
      <c r="BA44" s="96" t="n"/>
      <c r="BB44" s="96" t="n"/>
      <c r="BE44" s="84">
        <f>BC44-1147</f>
        <v/>
      </c>
      <c r="BF44" s="84">
        <f>BD44-1162</f>
        <v/>
      </c>
    </row>
    <row r="45" ht="15" customHeight="1" s="55">
      <c r="AQ45" s="95" t="n">
        <v>4996</v>
      </c>
      <c r="AR45" s="95" t="n">
        <v>5023</v>
      </c>
      <c r="AS45" s="95" t="n">
        <v>5023</v>
      </c>
      <c r="AT45" s="95" t="n">
        <v>5023</v>
      </c>
      <c r="AV45" s="84" t="n">
        <v>4996</v>
      </c>
      <c r="AW45" s="84" t="n">
        <v>5023</v>
      </c>
      <c r="AX45" s="84">
        <f>AV45-4997</f>
        <v/>
      </c>
      <c r="AY45" s="84">
        <f>AW45-5014</f>
        <v/>
      </c>
      <c r="BA45" s="95" t="n">
        <v>1149</v>
      </c>
      <c r="BB45" s="95" t="n">
        <v>1172</v>
      </c>
      <c r="BC45" s="84" t="n">
        <v>1149</v>
      </c>
      <c r="BD45" s="84" t="n">
        <v>1172</v>
      </c>
      <c r="BE45" s="84">
        <f>BC45-1147</f>
        <v/>
      </c>
      <c r="BF45" s="84">
        <f>BD45-1162</f>
        <v/>
      </c>
    </row>
    <row r="46" ht="15" customHeight="1" s="55">
      <c r="AX46" s="84">
        <f>AV46-4997</f>
        <v/>
      </c>
      <c r="AY46" s="84">
        <f>AW46-5014</f>
        <v/>
      </c>
      <c r="BE46" s="84">
        <f>BC46-1147</f>
        <v/>
      </c>
      <c r="BF46" s="84">
        <f>BD46-1162</f>
        <v/>
      </c>
    </row>
    <row r="47" ht="16" customHeight="1" s="55" thickBot="1">
      <c r="AQ47" s="96" t="n"/>
      <c r="AR47" s="96" t="n"/>
      <c r="AS47" s="96" t="n"/>
      <c r="AT47" s="96" t="n"/>
      <c r="AX47" s="84">
        <f>AV47-4997</f>
        <v/>
      </c>
      <c r="AY47" s="84">
        <f>AW47-5014</f>
        <v/>
      </c>
      <c r="BA47" s="96" t="n"/>
      <c r="BB47" s="96" t="n"/>
      <c r="BE47" s="84">
        <f>BC47-1147</f>
        <v/>
      </c>
      <c r="BF47" s="84">
        <f>BD47-1162</f>
        <v/>
      </c>
    </row>
    <row r="48" ht="15" customHeight="1" s="55">
      <c r="AQ48" s="95" t="n">
        <v>4999</v>
      </c>
      <c r="AR48" s="95" t="n">
        <v>5021</v>
      </c>
      <c r="AS48" s="95" t="n">
        <v>5021</v>
      </c>
      <c r="AT48" s="95" t="n">
        <v>5021</v>
      </c>
      <c r="AV48" s="84" t="n">
        <v>4999</v>
      </c>
      <c r="AW48" s="84" t="n">
        <v>5021</v>
      </c>
      <c r="AX48" s="84">
        <f>AV48-4997</f>
        <v/>
      </c>
      <c r="AY48" s="84">
        <f>AW48-5014</f>
        <v/>
      </c>
      <c r="BA48" s="95" t="n">
        <v>1148</v>
      </c>
      <c r="BB48" s="95" t="n">
        <v>1172</v>
      </c>
      <c r="BC48" s="84" t="n">
        <v>1148</v>
      </c>
      <c r="BD48" s="84" t="n">
        <v>1172</v>
      </c>
      <c r="BE48" s="84">
        <f>BC48-1147</f>
        <v/>
      </c>
      <c r="BF48" s="84">
        <f>BD48-1162</f>
        <v/>
      </c>
    </row>
    <row r="49" ht="16" customHeight="1" s="55" thickBot="1">
      <c r="AQ49" s="96" t="n"/>
      <c r="AR49" s="96" t="n"/>
      <c r="AS49" s="96" t="n"/>
      <c r="AT49" s="96" t="n"/>
      <c r="AX49" s="84">
        <f>AV49-4997</f>
        <v/>
      </c>
      <c r="AY49" s="84">
        <f>AW49-5014</f>
        <v/>
      </c>
      <c r="BE49" s="84">
        <f>BC49-1147</f>
        <v/>
      </c>
      <c r="BF49" s="84">
        <f>BD49-1162</f>
        <v/>
      </c>
    </row>
    <row r="50" ht="16" customHeight="1" s="55" thickBot="1">
      <c r="AQ50" s="95" t="n">
        <v>4999</v>
      </c>
      <c r="AR50" s="95" t="n">
        <v>5022</v>
      </c>
      <c r="AS50" s="95" t="n">
        <v>5022</v>
      </c>
      <c r="AT50" s="95" t="n">
        <v>5022</v>
      </c>
      <c r="AV50" s="84" t="n">
        <v>4999</v>
      </c>
      <c r="AW50" s="84" t="n">
        <v>5022</v>
      </c>
      <c r="AX50" s="84">
        <f>AV50-4997</f>
        <v/>
      </c>
      <c r="AY50" s="84">
        <f>AW50-5014</f>
        <v/>
      </c>
      <c r="BA50" s="96" t="n"/>
      <c r="BB50" s="96" t="n"/>
      <c r="BE50" s="84">
        <f>BC50-1147</f>
        <v/>
      </c>
      <c r="BF50" s="84">
        <f>BD50-1162</f>
        <v/>
      </c>
    </row>
    <row r="51" ht="16" customHeight="1" s="55" thickBot="1">
      <c r="AQ51" s="96" t="n"/>
      <c r="AR51" s="96" t="n"/>
      <c r="AS51" s="96" t="n"/>
      <c r="AT51" s="96" t="n"/>
      <c r="AX51" s="84">
        <f>AV51-4997</f>
        <v/>
      </c>
      <c r="AY51" s="84">
        <f>AW51-5014</f>
        <v/>
      </c>
      <c r="BA51" s="95" t="n">
        <v>1151</v>
      </c>
      <c r="BB51" s="95" t="n">
        <v>1170</v>
      </c>
      <c r="BC51" s="84" t="n">
        <v>1151</v>
      </c>
      <c r="BD51" s="84" t="n">
        <v>1170</v>
      </c>
      <c r="BE51" s="84">
        <f>BC51-1147</f>
        <v/>
      </c>
      <c r="BF51" s="84">
        <f>BD51-1162</f>
        <v/>
      </c>
    </row>
    <row r="52" ht="16" customHeight="1" s="55" thickBot="1">
      <c r="AQ52" s="95" t="n">
        <v>4954</v>
      </c>
      <c r="AR52" s="95" t="n">
        <v>4977</v>
      </c>
      <c r="AS52" s="95" t="n">
        <v>4977</v>
      </c>
      <c r="AT52" s="95" t="n">
        <v>4977</v>
      </c>
      <c r="AV52" s="84" t="n">
        <v>4954</v>
      </c>
      <c r="AW52" s="84" t="n">
        <v>4977</v>
      </c>
      <c r="AX52" s="84">
        <f>AV52-4997</f>
        <v/>
      </c>
      <c r="AY52" s="84">
        <f>AW52-5014</f>
        <v/>
      </c>
      <c r="BA52" s="96" t="n"/>
      <c r="BB52" s="96" t="n"/>
      <c r="BE52" s="84">
        <f>BC52-1147</f>
        <v/>
      </c>
      <c r="BF52" s="84">
        <f>BD52-1162</f>
        <v/>
      </c>
    </row>
    <row r="53" ht="16" customHeight="1" s="55" thickBot="1">
      <c r="AQ53" s="96" t="n"/>
      <c r="AR53" s="96" t="n"/>
      <c r="AS53" s="96" t="n"/>
      <c r="AT53" s="96" t="n"/>
      <c r="AX53" s="84">
        <f>AV53-4997</f>
        <v/>
      </c>
      <c r="AY53" s="84">
        <f>AW53-5014</f>
        <v/>
      </c>
      <c r="BA53" s="95" t="n">
        <v>1150</v>
      </c>
      <c r="BB53" s="95" t="n">
        <v>1169</v>
      </c>
      <c r="BC53" s="84" t="n">
        <v>1150</v>
      </c>
      <c r="BD53" s="84" t="n">
        <v>1169</v>
      </c>
      <c r="BE53" s="84">
        <f>BC53-1147</f>
        <v/>
      </c>
      <c r="BF53" s="84">
        <f>BD53-1162</f>
        <v/>
      </c>
    </row>
    <row r="54" ht="16" customHeight="1" s="55" thickBot="1">
      <c r="AQ54" s="95" t="n">
        <v>5001</v>
      </c>
      <c r="AR54" s="95" t="n">
        <v>5023</v>
      </c>
      <c r="AS54" s="95" t="n">
        <v>5023</v>
      </c>
      <c r="AT54" s="95" t="n">
        <v>5023</v>
      </c>
      <c r="AV54" s="84" t="n">
        <v>5001</v>
      </c>
      <c r="AW54" s="84" t="n">
        <v>5023</v>
      </c>
      <c r="AX54" s="84">
        <f>AV54-4997</f>
        <v/>
      </c>
      <c r="AY54" s="84">
        <f>AW54-5014</f>
        <v/>
      </c>
      <c r="BA54" s="96" t="n"/>
      <c r="BB54" s="96" t="n"/>
      <c r="BE54" s="84">
        <f>BC54-1147</f>
        <v/>
      </c>
      <c r="BF54" s="84">
        <f>BD54-1162</f>
        <v/>
      </c>
    </row>
    <row r="55" ht="16" customHeight="1" s="55" thickBot="1">
      <c r="AQ55" s="96" t="n"/>
      <c r="AR55" s="96" t="n"/>
      <c r="AS55" s="96" t="n"/>
      <c r="AT55" s="96" t="n"/>
      <c r="AX55" s="84">
        <f>AV55-4997</f>
        <v/>
      </c>
      <c r="AY55" s="84">
        <f>AW55-5014</f>
        <v/>
      </c>
      <c r="BA55" s="95" t="n">
        <v>1149</v>
      </c>
      <c r="BB55" s="95" t="n">
        <v>1170</v>
      </c>
      <c r="BC55" s="84" t="n">
        <v>1149</v>
      </c>
      <c r="BD55" s="84" t="n">
        <v>1170</v>
      </c>
      <c r="BE55" s="84">
        <f>BC55-1147</f>
        <v/>
      </c>
      <c r="BF55" s="84">
        <f>BD55-1162</f>
        <v/>
      </c>
    </row>
    <row r="56" ht="16" customHeight="1" s="55" thickBot="1">
      <c r="AQ56" s="95" t="n">
        <v>4998</v>
      </c>
      <c r="AR56" s="95" t="n">
        <v>5021</v>
      </c>
      <c r="AS56" s="95" t="n">
        <v>5021</v>
      </c>
      <c r="AT56" s="95" t="n">
        <v>5021</v>
      </c>
      <c r="AV56" s="84" t="n">
        <v>4998</v>
      </c>
      <c r="AW56" s="84" t="n">
        <v>5021</v>
      </c>
      <c r="AX56" s="84">
        <f>AV56-4997</f>
        <v/>
      </c>
      <c r="AY56" s="84">
        <f>AW56-5014</f>
        <v/>
      </c>
      <c r="BA56" s="96" t="n"/>
      <c r="BB56" s="96" t="n"/>
      <c r="BE56" s="84">
        <f>BC56-1147</f>
        <v/>
      </c>
      <c r="BF56" s="84">
        <f>BD56-1162</f>
        <v/>
      </c>
    </row>
    <row r="57" ht="16" customHeight="1" s="55" thickBot="1">
      <c r="AQ57" s="96" t="n"/>
      <c r="AR57" s="96" t="n"/>
      <c r="AS57" s="96" t="n"/>
      <c r="AT57" s="96" t="n"/>
      <c r="AX57" s="84">
        <f>AV57-4997</f>
        <v/>
      </c>
      <c r="AY57" s="84">
        <f>AW57-5014</f>
        <v/>
      </c>
      <c r="BA57" s="95" t="n">
        <v>1148</v>
      </c>
      <c r="BB57" s="95" t="n">
        <v>1168</v>
      </c>
      <c r="BC57" s="84" t="n">
        <v>1148</v>
      </c>
      <c r="BD57" s="84" t="n">
        <v>1168</v>
      </c>
      <c r="BE57" s="84">
        <f>BC57-1147</f>
        <v/>
      </c>
      <c r="BF57" s="84">
        <f>BD57-1162</f>
        <v/>
      </c>
    </row>
    <row r="58" ht="16" customHeight="1" s="55" thickBot="1">
      <c r="AQ58" s="95" t="n">
        <v>4998</v>
      </c>
      <c r="AR58" s="95" t="n">
        <v>5021</v>
      </c>
      <c r="AS58" s="95" t="n">
        <v>5021</v>
      </c>
      <c r="AT58" s="95" t="n">
        <v>5021</v>
      </c>
      <c r="AV58" s="84" t="n">
        <v>4998</v>
      </c>
      <c r="AW58" s="84" t="n">
        <v>5021</v>
      </c>
      <c r="AX58" s="84">
        <f>AV58-4997</f>
        <v/>
      </c>
      <c r="AY58" s="84">
        <f>AW58-5014</f>
        <v/>
      </c>
      <c r="BA58" s="96" t="n"/>
      <c r="BB58" s="96" t="n"/>
      <c r="BE58" s="84">
        <f>BC58-1147</f>
        <v/>
      </c>
      <c r="BF58" s="84">
        <f>BD58-1162</f>
        <v/>
      </c>
    </row>
    <row r="59" ht="16" customHeight="1" s="55" thickBot="1">
      <c r="AQ59" s="96" t="n"/>
      <c r="AR59" s="96" t="n"/>
      <c r="AS59" s="96" t="n"/>
      <c r="AT59" s="96" t="n"/>
      <c r="AX59" s="84">
        <f>AV59-4997</f>
        <v/>
      </c>
      <c r="AY59" s="84">
        <f>AW59-5014</f>
        <v/>
      </c>
      <c r="BA59" s="95" t="n">
        <v>1170</v>
      </c>
      <c r="BB59" s="95" t="n">
        <v>1150</v>
      </c>
      <c r="BC59" s="84" t="n">
        <v>1150</v>
      </c>
      <c r="BD59" s="84" t="n">
        <v>1170</v>
      </c>
      <c r="BE59" s="84">
        <f>BC59-1147</f>
        <v/>
      </c>
      <c r="BF59" s="84">
        <f>BD59-1162</f>
        <v/>
      </c>
    </row>
    <row r="60" ht="16" customHeight="1" s="55" thickBot="1">
      <c r="AQ60" s="95" t="n">
        <v>5000</v>
      </c>
      <c r="AR60" s="95" t="n">
        <v>5042</v>
      </c>
      <c r="AS60" s="95" t="n">
        <v>5042</v>
      </c>
      <c r="AT60" s="95" t="n">
        <v>5042</v>
      </c>
      <c r="AV60" s="84" t="n">
        <v>5000</v>
      </c>
      <c r="AW60" s="84" t="n">
        <v>5042</v>
      </c>
      <c r="AX60" s="84">
        <f>AV60-4997</f>
        <v/>
      </c>
      <c r="AY60" s="84">
        <f>AW60-5014</f>
        <v/>
      </c>
      <c r="BA60" s="96" t="n"/>
      <c r="BB60" s="96" t="n"/>
      <c r="BE60" s="84">
        <f>BC60-1147</f>
        <v/>
      </c>
      <c r="BF60" s="84">
        <f>BD60-1162</f>
        <v/>
      </c>
    </row>
    <row r="61" ht="15" customHeight="1" s="55">
      <c r="AX61" s="84">
        <f>AV61-4997</f>
        <v/>
      </c>
      <c r="AY61" s="84">
        <f>AW61-5014</f>
        <v/>
      </c>
      <c r="BA61" s="95" t="n">
        <v>1170</v>
      </c>
      <c r="BB61" s="95" t="n">
        <v>1150</v>
      </c>
      <c r="BC61" s="84" t="n">
        <v>1150</v>
      </c>
      <c r="BD61" s="84" t="n">
        <v>1170</v>
      </c>
      <c r="BE61" s="84">
        <f>BC61-1147</f>
        <v/>
      </c>
      <c r="BF61" s="84">
        <f>BD61-1162</f>
        <v/>
      </c>
    </row>
    <row r="62" ht="16" customHeight="1" s="55" thickBot="1">
      <c r="AX62" s="84">
        <f>AV62-4997</f>
        <v/>
      </c>
      <c r="AY62" s="84">
        <f>AW62-5014</f>
        <v/>
      </c>
      <c r="BA62" s="96" t="n"/>
      <c r="BB62" s="96" t="n"/>
      <c r="BE62" s="84">
        <f>BC62-1147</f>
        <v/>
      </c>
      <c r="BF62" s="84">
        <f>BD62-1162</f>
        <v/>
      </c>
    </row>
    <row r="63" ht="15" customHeight="1" s="55">
      <c r="AX63" s="84">
        <f>AV63-4997</f>
        <v/>
      </c>
      <c r="AY63" s="84">
        <f>AW63-5014</f>
        <v/>
      </c>
      <c r="BA63" s="95" t="n">
        <v>1149</v>
      </c>
      <c r="BB63" s="95" t="n">
        <v>1182</v>
      </c>
      <c r="BC63" s="84" t="n">
        <v>1149</v>
      </c>
      <c r="BD63" s="84" t="n">
        <v>1182</v>
      </c>
      <c r="BE63" s="84">
        <f>BC63-1147</f>
        <v/>
      </c>
      <c r="BF63" s="84">
        <f>BD63-1162</f>
        <v/>
      </c>
    </row>
    <row r="64" ht="15" customHeight="1" s="55">
      <c r="AX64" s="84">
        <f>AV64-4997</f>
        <v/>
      </c>
      <c r="AY64" s="84">
        <f>AW64-5014</f>
        <v/>
      </c>
      <c r="BE64" s="84">
        <f>BC64-1147</f>
        <v/>
      </c>
      <c r="BF64" s="84">
        <f>BD64-1162</f>
        <v/>
      </c>
    </row>
    <row r="65" ht="16" customHeight="1" s="55" thickBot="1">
      <c r="AQ65" s="96" t="n"/>
      <c r="AR65" s="96" t="n"/>
      <c r="AS65" s="96" t="n"/>
      <c r="AT65" s="96" t="n"/>
      <c r="AX65" s="84">
        <f>AV65-4997</f>
        <v/>
      </c>
      <c r="AY65" s="84">
        <f>AW65-5014</f>
        <v/>
      </c>
      <c r="BE65" s="84">
        <f>BC65-1147</f>
        <v/>
      </c>
      <c r="BF65" s="84">
        <f>BD65-1162</f>
        <v/>
      </c>
    </row>
    <row r="66" ht="15" customHeight="1" s="55">
      <c r="AQ66" s="95" t="n">
        <v>4874</v>
      </c>
      <c r="AR66" s="95" t="n">
        <v>4906</v>
      </c>
      <c r="AS66" s="95" t="n">
        <v>4906</v>
      </c>
      <c r="AT66" s="95" t="n">
        <v>4906</v>
      </c>
      <c r="AV66" s="84" t="n">
        <v>4874</v>
      </c>
      <c r="AW66" s="84" t="n">
        <v>4906</v>
      </c>
      <c r="AX66" s="84">
        <f>AV66-4997</f>
        <v/>
      </c>
      <c r="AY66" s="84">
        <f>AW66-5014</f>
        <v/>
      </c>
      <c r="BE66" s="84">
        <f>BC66-1147</f>
        <v/>
      </c>
      <c r="BF66" s="84">
        <f>BD66-1162</f>
        <v/>
      </c>
    </row>
    <row r="67" ht="16" customHeight="1" s="55" thickBot="1">
      <c r="AX67" s="84">
        <f>AV67-4997</f>
        <v/>
      </c>
      <c r="AY67" s="84">
        <f>AW67-5014</f>
        <v/>
      </c>
      <c r="BA67" s="96" t="n"/>
      <c r="BB67" s="96" t="n"/>
      <c r="BE67" s="84">
        <f>BC67-1147</f>
        <v/>
      </c>
      <c r="BF67" s="84">
        <f>BD67-1162</f>
        <v/>
      </c>
    </row>
    <row r="68" ht="15" customHeight="1" s="55">
      <c r="AX68" s="84">
        <f>AV68-4997</f>
        <v/>
      </c>
      <c r="AY68" s="84">
        <f>AW68-5014</f>
        <v/>
      </c>
      <c r="BA68" s="95" t="n">
        <v>1149</v>
      </c>
      <c r="BB68" s="95" t="n">
        <v>1177</v>
      </c>
      <c r="BC68" s="84" t="n">
        <v>1149</v>
      </c>
      <c r="BD68" s="84" t="n">
        <v>1177</v>
      </c>
      <c r="BE68" s="84">
        <f>BC68-1147</f>
        <v/>
      </c>
      <c r="BF68" s="84">
        <f>BD68-1162</f>
        <v/>
      </c>
    </row>
    <row r="69" ht="16" customHeight="1" s="55" thickBot="1">
      <c r="AQ69" s="96" t="n"/>
      <c r="AR69" s="96" t="n"/>
      <c r="AS69" s="96" t="n"/>
      <c r="AT69" s="96" t="n"/>
      <c r="AX69" s="84">
        <f>AV69-4997</f>
        <v/>
      </c>
      <c r="AY69" s="84">
        <f>AW69-5014</f>
        <v/>
      </c>
      <c r="BE69" s="84">
        <f>BC69-1147</f>
        <v/>
      </c>
      <c r="BF69" s="84">
        <f>BD69-1162</f>
        <v/>
      </c>
    </row>
    <row r="70" ht="15" customHeight="1" s="55">
      <c r="AQ70" s="95" t="n">
        <v>4881</v>
      </c>
      <c r="AR70" s="95" t="n">
        <v>4909</v>
      </c>
      <c r="AS70" s="95" t="n">
        <v>4909</v>
      </c>
      <c r="AT70" s="95" t="n">
        <v>4909</v>
      </c>
      <c r="AV70" s="84" t="n">
        <v>4881</v>
      </c>
      <c r="AW70" s="84" t="n">
        <v>4909</v>
      </c>
      <c r="AX70" s="84">
        <f>AV70-4997</f>
        <v/>
      </c>
      <c r="AY70" s="84">
        <f>AW70-5014</f>
        <v/>
      </c>
      <c r="BE70" s="84">
        <f>BC70-1147</f>
        <v/>
      </c>
      <c r="BF70" s="84">
        <f>BD70-1162</f>
        <v/>
      </c>
    </row>
    <row r="71" ht="16" customHeight="1" s="55" thickBot="1">
      <c r="BA71" s="96" t="n"/>
      <c r="BB71" s="96" t="n"/>
      <c r="BE71" s="84">
        <f>BC71-1147</f>
        <v/>
      </c>
      <c r="BF71" s="84">
        <f>BD71-1162</f>
        <v/>
      </c>
    </row>
    <row r="72" ht="16" customHeight="1" s="55" thickBot="1">
      <c r="AQ72" s="96" t="n"/>
      <c r="AR72" s="96" t="n"/>
      <c r="AS72" s="96" t="n"/>
      <c r="AT72" s="96" t="n"/>
      <c r="BA72" s="95" t="n">
        <v>1149</v>
      </c>
      <c r="BB72" s="95" t="n">
        <v>1173</v>
      </c>
      <c r="BC72" s="84" t="n">
        <v>1149</v>
      </c>
      <c r="BD72" s="84" t="n">
        <v>1173</v>
      </c>
      <c r="BE72" s="84">
        <f>BC72-1147</f>
        <v/>
      </c>
      <c r="BF72" s="84">
        <f>BD72-1162</f>
        <v/>
      </c>
    </row>
    <row r="73"/>
    <row r="74" ht="16" customHeight="1" s="55" thickBot="1">
      <c r="BA74" s="96" t="n"/>
      <c r="BB74" s="96" t="n"/>
    </row>
  </sheetData>
  <mergeCells count="144">
    <mergeCell ref="AQ54:AQ55"/>
    <mergeCell ref="AS54:AS55"/>
    <mergeCell ref="AR58:AR59"/>
    <mergeCell ref="AS70:AS72"/>
    <mergeCell ref="BA30:BA32"/>
    <mergeCell ref="BA45:BA47"/>
    <mergeCell ref="AR52:AR53"/>
    <mergeCell ref="AT52:AT53"/>
    <mergeCell ref="BA51:BA52"/>
    <mergeCell ref="AQ56:AQ57"/>
    <mergeCell ref="AS56:AS57"/>
    <mergeCell ref="BB68:BB71"/>
    <mergeCell ref="AT18:AT19"/>
    <mergeCell ref="AS40:AS41"/>
    <mergeCell ref="BB45:BB47"/>
    <mergeCell ref="AR28:AR31"/>
    <mergeCell ref="BA43:BA44"/>
    <mergeCell ref="AT50:AT51"/>
    <mergeCell ref="AQ23:AQ24"/>
    <mergeCell ref="AQ58:AQ59"/>
    <mergeCell ref="AS23:AS24"/>
    <mergeCell ref="BB30:BB32"/>
    <mergeCell ref="AQ25:AQ27"/>
    <mergeCell ref="BB21:BB24"/>
    <mergeCell ref="AS25:AS27"/>
    <mergeCell ref="BA53:BA54"/>
    <mergeCell ref="AT32:AT34"/>
    <mergeCell ref="AS18:AS19"/>
    <mergeCell ref="AS58:AS59"/>
    <mergeCell ref="BA68:BA71"/>
    <mergeCell ref="AQ11:AQ12"/>
    <mergeCell ref="BA27:BA29"/>
    <mergeCell ref="AT13:AT14"/>
    <mergeCell ref="BA25:BA26"/>
    <mergeCell ref="AR18:AR19"/>
    <mergeCell ref="BA55:BA56"/>
    <mergeCell ref="AT56:AT57"/>
    <mergeCell ref="AQ42:AQ44"/>
    <mergeCell ref="BB7:BB10"/>
    <mergeCell ref="AR15:AR17"/>
    <mergeCell ref="AQ66:AQ69"/>
    <mergeCell ref="BB43:BB44"/>
    <mergeCell ref="BA11:BA12"/>
    <mergeCell ref="AT15:AT17"/>
    <mergeCell ref="BA36:BA39"/>
    <mergeCell ref="AS37:AS39"/>
    <mergeCell ref="AT23:AT24"/>
    <mergeCell ref="BB27:BB29"/>
    <mergeCell ref="AR66:AR69"/>
    <mergeCell ref="AQ15:AQ17"/>
    <mergeCell ref="AS15:AS17"/>
    <mergeCell ref="AT25:AT27"/>
    <mergeCell ref="AT35:AT36"/>
    <mergeCell ref="BB59:BB60"/>
    <mergeCell ref="AQ48:AQ49"/>
    <mergeCell ref="AS48:AS49"/>
    <mergeCell ref="AQ70:AQ72"/>
    <mergeCell ref="AS7:AS10"/>
    <mergeCell ref="BB61:BB62"/>
    <mergeCell ref="AQ32:AQ34"/>
    <mergeCell ref="AT42:AT44"/>
    <mergeCell ref="AR54:AR55"/>
    <mergeCell ref="AQ40:AQ41"/>
    <mergeCell ref="BA13:BA15"/>
    <mergeCell ref="AR11:AR12"/>
    <mergeCell ref="AT11:AT12"/>
    <mergeCell ref="AR60:AR65"/>
    <mergeCell ref="AR56:AR57"/>
    <mergeCell ref="AT60:AT65"/>
    <mergeCell ref="BB36:BB39"/>
    <mergeCell ref="AT20:AT22"/>
    <mergeCell ref="BA33:BA35"/>
    <mergeCell ref="BA57:BA58"/>
    <mergeCell ref="AS35:AS36"/>
    <mergeCell ref="BB40:BB42"/>
    <mergeCell ref="AR48:AR49"/>
    <mergeCell ref="BB72:BB74"/>
    <mergeCell ref="AQ50:AQ51"/>
    <mergeCell ref="AS50:AS51"/>
    <mergeCell ref="AT28:AT31"/>
    <mergeCell ref="AR23:AR24"/>
    <mergeCell ref="AR32:AR34"/>
    <mergeCell ref="AT54:AT55"/>
    <mergeCell ref="AQ52:AQ53"/>
    <mergeCell ref="AT70:AT72"/>
    <mergeCell ref="AS52:AS53"/>
    <mergeCell ref="AS60:AS65"/>
    <mergeCell ref="AT45:AT47"/>
    <mergeCell ref="BB51:BB52"/>
    <mergeCell ref="BA19:BA20"/>
    <mergeCell ref="BB16:BB18"/>
    <mergeCell ref="AQ45:AQ47"/>
    <mergeCell ref="AS45:AS47"/>
    <mergeCell ref="AT58:AT59"/>
    <mergeCell ref="AT40:AT41"/>
    <mergeCell ref="AQ13:AQ14"/>
    <mergeCell ref="AS13:AS14"/>
    <mergeCell ref="AR37:AR39"/>
    <mergeCell ref="BB25:BB26"/>
    <mergeCell ref="BB33:BB35"/>
    <mergeCell ref="BA72:BA74"/>
    <mergeCell ref="AQ37:AQ39"/>
    <mergeCell ref="AR50:AR51"/>
    <mergeCell ref="BB19:BB20"/>
    <mergeCell ref="BA48:BA50"/>
    <mergeCell ref="BA21:BA24"/>
    <mergeCell ref="AR25:AR27"/>
    <mergeCell ref="AT66:AT69"/>
    <mergeCell ref="AS32:AS34"/>
    <mergeCell ref="BB53:BB54"/>
    <mergeCell ref="AR45:AR47"/>
    <mergeCell ref="AQ7:AQ10"/>
    <mergeCell ref="AR13:AR14"/>
    <mergeCell ref="AR20:AR22"/>
    <mergeCell ref="BB55:BB56"/>
    <mergeCell ref="BA7:BA10"/>
    <mergeCell ref="AR42:AR44"/>
    <mergeCell ref="AT48:AT49"/>
    <mergeCell ref="AS11:AS12"/>
    <mergeCell ref="BB48:BB50"/>
    <mergeCell ref="BA16:BA18"/>
    <mergeCell ref="AS42:AS44"/>
    <mergeCell ref="AQ18:AQ19"/>
    <mergeCell ref="BA63:BA67"/>
    <mergeCell ref="BA40:BA42"/>
    <mergeCell ref="AT37:AT39"/>
    <mergeCell ref="AR40:AR41"/>
    <mergeCell ref="BB13:BB15"/>
    <mergeCell ref="AR70:AR72"/>
    <mergeCell ref="AQ35:AQ36"/>
    <mergeCell ref="AS66:AS69"/>
    <mergeCell ref="AQ20:AQ22"/>
    <mergeCell ref="AS20:AS22"/>
    <mergeCell ref="AS28:AS31"/>
    <mergeCell ref="BB11:BB12"/>
    <mergeCell ref="BA59:BA60"/>
    <mergeCell ref="AR35:AR36"/>
    <mergeCell ref="BB57:BB58"/>
    <mergeCell ref="AQ60:AQ65"/>
    <mergeCell ref="BB63:BB67"/>
    <mergeCell ref="AR7:AR10"/>
    <mergeCell ref="AQ28:AQ31"/>
    <mergeCell ref="AT7:AT10"/>
    <mergeCell ref="BA61:BA6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17"/>
  <sheetViews>
    <sheetView topLeftCell="G1" workbookViewId="0">
      <selection activeCell="D18" sqref="D18:D22"/>
    </sheetView>
  </sheetViews>
  <sheetFormatPr baseColWidth="10" defaultRowHeight="15"/>
  <sheetData>
    <row r="1" ht="16" customFormat="1" customHeight="1" s="20">
      <c r="A1" s="88" t="inlineStr">
        <is>
          <t>authoryr</t>
        </is>
      </c>
      <c r="B1" s="88" t="inlineStr">
        <is>
          <t>idx</t>
        </is>
      </c>
      <c r="C1" s="88" t="inlineStr">
        <is>
          <t>test</t>
        </is>
      </c>
      <c r="D1" s="88" t="inlineStr">
        <is>
          <t>readerexpertise</t>
        </is>
      </c>
      <c r="E1" s="88" t="inlineStr">
        <is>
          <t>article</t>
        </is>
      </c>
      <c r="F1" s="88" t="inlineStr">
        <is>
          <t>study</t>
        </is>
      </c>
      <c r="G1" s="88" t="inlineStr">
        <is>
          <t>economic</t>
        </is>
      </c>
      <c r="H1" s="88" t="inlineStr">
        <is>
          <t>healthcare</t>
        </is>
      </c>
      <c r="I1" s="88" t="inlineStr">
        <is>
          <t>external</t>
        </is>
      </c>
      <c r="J1" s="88" t="inlineStr">
        <is>
          <t>dr</t>
        </is>
      </c>
      <c r="K1" s="88" t="inlineStr">
        <is>
          <t>othereyetarget</t>
        </is>
      </c>
      <c r="L1" s="88" t="inlineStr">
        <is>
          <t>pupil</t>
        </is>
      </c>
      <c r="M1" s="88" t="inlineStr">
        <is>
          <t>ctype</t>
        </is>
      </c>
      <c r="N1" s="88" t="inlineStr">
        <is>
          <t>camera</t>
        </is>
      </c>
      <c r="O1" s="88" t="inlineStr">
        <is>
          <t>criteria</t>
        </is>
      </c>
      <c r="P1" s="88" t="inlineStr">
        <is>
          <t>rstandard</t>
        </is>
      </c>
      <c r="Q1" s="88" t="inlineStr">
        <is>
          <t>disagree</t>
        </is>
      </c>
      <c r="R1" s="88" t="inlineStr">
        <is>
          <t>rimage</t>
        </is>
      </c>
      <c r="S1" s="88" t="inlineStr">
        <is>
          <t>field</t>
        </is>
      </c>
      <c r="T1" s="88" t="inlineStr">
        <is>
          <t>vendor</t>
        </is>
      </c>
      <c r="U1" s="88" t="inlineStr">
        <is>
          <t>commercial</t>
        </is>
      </c>
      <c r="V1" s="88" t="inlineStr">
        <is>
          <t>certified</t>
        </is>
      </c>
      <c r="W1" s="88" t="inlineStr">
        <is>
          <t>architecture</t>
        </is>
      </c>
      <c r="X1" s="88" t="inlineStr">
        <is>
          <t>region</t>
        </is>
      </c>
      <c r="Y1" s="88" t="inlineStr">
        <is>
          <t>aigradable</t>
        </is>
      </c>
      <c r="Z1" s="88" t="inlineStr">
        <is>
          <t>hgradable</t>
        </is>
      </c>
      <c r="AA1" s="88" t="inlineStr">
        <is>
          <t>ungradable</t>
        </is>
      </c>
      <c r="AB1" s="88" t="inlineStr">
        <is>
          <t>prevalance</t>
        </is>
      </c>
      <c r="AC1" s="88" t="inlineStr">
        <is>
          <t>Total_ai1</t>
        </is>
      </c>
      <c r="AD1" s="103" t="inlineStr">
        <is>
          <t>Prevalence1</t>
        </is>
      </c>
      <c r="AE1" s="103" t="inlineStr">
        <is>
          <t>Positive1</t>
        </is>
      </c>
      <c r="AF1" s="103" t="inlineStr">
        <is>
          <t>Negative1</t>
        </is>
      </c>
      <c r="AG1" s="103" t="inlineStr">
        <is>
          <t>Sensitivity1</t>
        </is>
      </c>
      <c r="AH1" s="103" t="inlineStr">
        <is>
          <t>Specificity1</t>
        </is>
      </c>
      <c r="AI1" s="88" t="inlineStr">
        <is>
          <t>tp1</t>
        </is>
      </c>
      <c r="AJ1" s="88" t="inlineStr">
        <is>
          <t>fn1</t>
        </is>
      </c>
      <c r="AK1" s="88" t="inlineStr">
        <is>
          <t>tn1</t>
        </is>
      </c>
      <c r="AL1" s="88" t="inlineStr">
        <is>
          <t>fp1</t>
        </is>
      </c>
      <c r="AM1" s="2" t="n"/>
      <c r="AN1" s="102" t="n"/>
      <c r="AO1" s="102" t="n"/>
      <c r="AP1" s="102" t="n"/>
      <c r="AQ1" s="102" t="n"/>
      <c r="AR1" s="102" t="n"/>
      <c r="AS1" s="2" t="n"/>
      <c r="AT1" s="2" t="n"/>
      <c r="AU1" s="2" t="n"/>
      <c r="AV1" s="2" t="n"/>
    </row>
    <row r="2" ht="16" customHeight="1" s="55">
      <c r="A2" s="88" t="inlineStr">
        <is>
          <t>Šín et al. 2025</t>
        </is>
      </c>
      <c r="B2" s="86" t="inlineStr">
        <is>
          <t>Reader</t>
        </is>
      </c>
      <c r="C2" s="86" t="inlineStr">
        <is>
          <t>Aireen</t>
        </is>
      </c>
      <c r="D2" s="86" t="inlineStr">
        <is>
          <t>ophthalmologist</t>
        </is>
      </c>
      <c r="E2" s="86" t="inlineStr">
        <is>
          <t>original</t>
        </is>
      </c>
      <c r="F2" s="86" t="inlineStr">
        <is>
          <t>prospective</t>
        </is>
      </c>
      <c r="G2" s="86" t="inlineStr">
        <is>
          <t>high</t>
        </is>
      </c>
      <c r="H2" s="86" t="inlineStr">
        <is>
          <t>primary</t>
        </is>
      </c>
      <c r="I2" s="86" t="inlineStr">
        <is>
          <t>no</t>
        </is>
      </c>
      <c r="J2" s="86" t="inlineStr">
        <is>
          <t>dr</t>
        </is>
      </c>
      <c r="K2" s="86" t="inlineStr">
        <is>
          <t>no</t>
        </is>
      </c>
      <c r="L2" s="86" t="inlineStr">
        <is>
          <t>no</t>
        </is>
      </c>
      <c r="M2" s="86" t="inlineStr">
        <is>
          <t>desktop</t>
        </is>
      </c>
      <c r="N2" s="86" t="inlineStr">
        <is>
          <t>canon</t>
        </is>
      </c>
      <c r="O2" s="86" t="inlineStr">
        <is>
          <t>other</t>
        </is>
      </c>
      <c r="P2" s="86" t="inlineStr">
        <is>
          <t>retina specialist</t>
        </is>
      </c>
      <c r="Q2" s="86" t="inlineStr">
        <is>
          <t>yes</t>
        </is>
      </c>
      <c r="R2" s="86" t="inlineStr">
        <is>
          <t>fundus</t>
        </is>
      </c>
      <c r="S2" s="86" t="inlineStr">
        <is>
          <t>1</t>
        </is>
      </c>
      <c r="T2" s="86" t="inlineStr">
        <is>
          <t>yes</t>
        </is>
      </c>
      <c r="U2" s="86" t="inlineStr">
        <is>
          <t>yes</t>
        </is>
      </c>
      <c r="V2" s="86" t="inlineStr">
        <is>
          <t>yes</t>
        </is>
      </c>
      <c r="W2" s="86" t="inlineStr">
        <is>
          <t>efficientnet family</t>
        </is>
      </c>
      <c r="X2" s="86" t="inlineStr">
        <is>
          <t>europe</t>
        </is>
      </c>
      <c r="Y2" s="86" t="inlineStr">
        <is>
          <t>low</t>
        </is>
      </c>
      <c r="Z2" s="86" t="inlineStr">
        <is>
          <t>low</t>
        </is>
      </c>
      <c r="AA2" s="86" t="inlineStr">
        <is>
          <t>positive</t>
        </is>
      </c>
      <c r="AB2" s="86" t="inlineStr">
        <is>
          <t>high</t>
        </is>
      </c>
      <c r="AC2" s="86" t="n">
        <v>1154</v>
      </c>
      <c r="AD2" s="104" t="n">
        <v>0.3188908145580589</v>
      </c>
      <c r="AE2" s="104" t="n">
        <v>368</v>
      </c>
      <c r="AF2" s="104" t="n">
        <v>786</v>
      </c>
      <c r="AG2" s="104" t="n">
        <v>0.8695652173913043</v>
      </c>
      <c r="AH2" s="104" t="n">
        <v>0.7646310432569975</v>
      </c>
      <c r="AI2" s="86" t="n">
        <v>320</v>
      </c>
      <c r="AJ2" s="86" t="n">
        <v>48</v>
      </c>
      <c r="AK2" s="86" t="n">
        <v>601</v>
      </c>
      <c r="AL2" s="86" t="n">
        <v>185</v>
      </c>
    </row>
    <row r="3" ht="16" customHeight="1" s="55">
      <c r="A3" s="88" t="inlineStr">
        <is>
          <t>Šín et al. 2025</t>
        </is>
      </c>
      <c r="B3" s="86" t="inlineStr">
        <is>
          <t>Reader</t>
        </is>
      </c>
      <c r="C3" s="86" t="inlineStr">
        <is>
          <t>Aireen</t>
        </is>
      </c>
      <c r="D3" s="86" t="inlineStr">
        <is>
          <t>retinaspecialist</t>
        </is>
      </c>
      <c r="E3" s="86" t="inlineStr">
        <is>
          <t>original</t>
        </is>
      </c>
      <c r="F3" s="86" t="inlineStr">
        <is>
          <t>prospective</t>
        </is>
      </c>
      <c r="G3" s="86" t="inlineStr">
        <is>
          <t>high</t>
        </is>
      </c>
      <c r="H3" s="86" t="inlineStr">
        <is>
          <t>primary</t>
        </is>
      </c>
      <c r="I3" s="86" t="inlineStr">
        <is>
          <t>no</t>
        </is>
      </c>
      <c r="J3" s="86" t="inlineStr">
        <is>
          <t>dr</t>
        </is>
      </c>
      <c r="K3" s="86" t="inlineStr">
        <is>
          <t>no</t>
        </is>
      </c>
      <c r="L3" s="86" t="inlineStr">
        <is>
          <t>no</t>
        </is>
      </c>
      <c r="M3" s="86" t="inlineStr">
        <is>
          <t>desktop</t>
        </is>
      </c>
      <c r="N3" s="86" t="inlineStr">
        <is>
          <t>canon</t>
        </is>
      </c>
      <c r="O3" s="86" t="inlineStr">
        <is>
          <t>other</t>
        </is>
      </c>
      <c r="P3" s="86" t="inlineStr">
        <is>
          <t>retina specialist</t>
        </is>
      </c>
      <c r="Q3" s="86" t="inlineStr">
        <is>
          <t>yes</t>
        </is>
      </c>
      <c r="R3" s="86" t="inlineStr">
        <is>
          <t>fundus</t>
        </is>
      </c>
      <c r="S3" s="86" t="inlineStr">
        <is>
          <t>1</t>
        </is>
      </c>
      <c r="T3" s="86" t="inlineStr">
        <is>
          <t>yes</t>
        </is>
      </c>
      <c r="U3" s="86" t="inlineStr">
        <is>
          <t>yes</t>
        </is>
      </c>
      <c r="V3" s="86" t="inlineStr">
        <is>
          <t>yes</t>
        </is>
      </c>
      <c r="W3" s="86" t="inlineStr">
        <is>
          <t>efficientnet family</t>
        </is>
      </c>
      <c r="X3" s="86" t="inlineStr">
        <is>
          <t>europe</t>
        </is>
      </c>
      <c r="Y3" s="86" t="inlineStr">
        <is>
          <t>low</t>
        </is>
      </c>
      <c r="Z3" s="86" t="inlineStr">
        <is>
          <t>low</t>
        </is>
      </c>
      <c r="AA3" s="86" t="inlineStr">
        <is>
          <t>positive</t>
        </is>
      </c>
      <c r="AB3" s="86" t="inlineStr">
        <is>
          <t>high</t>
        </is>
      </c>
      <c r="AC3" s="86" t="n">
        <v>1154</v>
      </c>
      <c r="AD3" s="104" t="n">
        <v>0.3188908145580589</v>
      </c>
      <c r="AE3" s="104" t="n">
        <v>368</v>
      </c>
      <c r="AF3" s="104" t="n">
        <v>786</v>
      </c>
      <c r="AG3" s="104" t="n">
        <v>0.8288043478260869</v>
      </c>
      <c r="AH3" s="104" t="n">
        <v>0.8117048346055979</v>
      </c>
      <c r="AI3" s="86" t="n">
        <v>305</v>
      </c>
      <c r="AJ3" s="86" t="n">
        <v>63</v>
      </c>
      <c r="AK3" s="86" t="n">
        <v>638</v>
      </c>
      <c r="AL3" s="86" t="n">
        <v>148</v>
      </c>
    </row>
    <row r="4" ht="16" customHeight="1" s="55">
      <c r="A4" s="88" t="inlineStr">
        <is>
          <t>Pandey et al. 2024</t>
        </is>
      </c>
      <c r="B4" s="86" t="inlineStr">
        <is>
          <t>Reader</t>
        </is>
      </c>
      <c r="C4" s="86" t="inlineStr">
        <is>
          <t>DCE</t>
        </is>
      </c>
      <c r="D4" s="86" t="inlineStr">
        <is>
          <t>ophthalmologist</t>
        </is>
      </c>
      <c r="E4" s="86" t="inlineStr">
        <is>
          <t>original</t>
        </is>
      </c>
      <c r="F4" s="86" t="inlineStr">
        <is>
          <t>retrospective</t>
        </is>
      </c>
      <c r="G4" s="86" t="inlineStr">
        <is>
          <t>mixed</t>
        </is>
      </c>
      <c r="H4" s="86" t="inlineStr">
        <is>
          <t>public dataset</t>
        </is>
      </c>
      <c r="I4" s="86" t="inlineStr">
        <is>
          <t>no</t>
        </is>
      </c>
      <c r="J4" s="86" t="inlineStr">
        <is>
          <t>dr</t>
        </is>
      </c>
      <c r="K4" s="86" t="inlineStr">
        <is>
          <t>yes</t>
        </is>
      </c>
      <c r="L4" s="86" t="inlineStr">
        <is>
          <t>mixed</t>
        </is>
      </c>
      <c r="M4" s="86" t="inlineStr">
        <is>
          <t>mixed</t>
        </is>
      </c>
      <c r="N4" s="86" t="inlineStr">
        <is>
          <t>mixed</t>
        </is>
      </c>
      <c r="O4" s="86" t="inlineStr">
        <is>
          <t>multiple</t>
        </is>
      </c>
      <c r="P4" s="86" t="inlineStr">
        <is>
          <t>retina specialist</t>
        </is>
      </c>
      <c r="Q4" s="86" t="inlineStr">
        <is>
          <t>no</t>
        </is>
      </c>
      <c r="R4" s="86" t="inlineStr">
        <is>
          <t>fundus</t>
        </is>
      </c>
      <c r="S4" s="86" t="inlineStr">
        <is>
          <t>1</t>
        </is>
      </c>
      <c r="T4" s="86" t="inlineStr">
        <is>
          <t>no</t>
        </is>
      </c>
      <c r="U4" s="86" t="inlineStr">
        <is>
          <t>no</t>
        </is>
      </c>
      <c r="V4" s="86" t="inlineStr">
        <is>
          <t>no</t>
        </is>
      </c>
      <c r="W4" s="86" t="inlineStr">
        <is>
          <t>inception family</t>
        </is>
      </c>
      <c r="X4" s="86" t="inlineStr">
        <is>
          <t>mixed</t>
        </is>
      </c>
      <c r="Y4" s="86" t="inlineStr">
        <is>
          <t>high</t>
        </is>
      </c>
      <c r="Z4" s="86" t="inlineStr">
        <is>
          <t>high</t>
        </is>
      </c>
      <c r="AA4" s="86" t="inlineStr">
        <is>
          <t>excluded</t>
        </is>
      </c>
      <c r="AB4" s="86" t="inlineStr">
        <is>
          <t>middle</t>
        </is>
      </c>
      <c r="AC4" s="86" t="n">
        <v>100</v>
      </c>
      <c r="AD4" s="104" t="n">
        <v>0.25</v>
      </c>
      <c r="AE4" s="104" t="n">
        <v>25</v>
      </c>
      <c r="AF4" s="104" t="n">
        <v>75</v>
      </c>
      <c r="AG4" s="104" t="n">
        <v>0.48</v>
      </c>
      <c r="AH4" s="104" t="n">
        <v>0.9333333333333333</v>
      </c>
      <c r="AI4" s="86" t="n">
        <v>12</v>
      </c>
      <c r="AJ4" s="86" t="n">
        <v>13</v>
      </c>
      <c r="AK4" s="86" t="n">
        <v>70</v>
      </c>
      <c r="AL4" s="86" t="n">
        <v>5</v>
      </c>
    </row>
    <row r="5" ht="16" customHeight="1" s="55">
      <c r="A5" s="88" t="inlineStr">
        <is>
          <t>Dow et al. 2023</t>
        </is>
      </c>
      <c r="B5" s="86" t="inlineStr">
        <is>
          <t>Reader</t>
        </is>
      </c>
      <c r="C5" s="86" t="inlineStr">
        <is>
          <t>IDx-DR</t>
        </is>
      </c>
      <c r="D5" s="86" t="inlineStr">
        <is>
          <t>retinaspecialist</t>
        </is>
      </c>
      <c r="E5" s="86" t="inlineStr">
        <is>
          <t>original</t>
        </is>
      </c>
      <c r="F5" s="86" t="inlineStr">
        <is>
          <t>retrospective</t>
        </is>
      </c>
      <c r="G5" s="86" t="inlineStr">
        <is>
          <t>high</t>
        </is>
      </c>
      <c r="H5" s="86" t="inlineStr">
        <is>
          <t>primary</t>
        </is>
      </c>
      <c r="I5" s="86" t="inlineStr">
        <is>
          <t>no</t>
        </is>
      </c>
      <c r="J5" s="86" t="inlineStr">
        <is>
          <t>rdr</t>
        </is>
      </c>
      <c r="K5" s="86" t="inlineStr">
        <is>
          <t>no</t>
        </is>
      </c>
      <c r="L5" s="86" t="inlineStr">
        <is>
          <t>no</t>
        </is>
      </c>
      <c r="M5" s="86" t="inlineStr">
        <is>
          <t>desktop</t>
        </is>
      </c>
      <c r="N5" s="86" t="inlineStr">
        <is>
          <t>topcon</t>
        </is>
      </c>
      <c r="O5" s="86" t="inlineStr">
        <is>
          <t>multiple</t>
        </is>
      </c>
      <c r="P5" s="86" t="inlineStr">
        <is>
          <t>retina specialist</t>
        </is>
      </c>
      <c r="Q5" s="86" t="inlineStr">
        <is>
          <t>yes</t>
        </is>
      </c>
      <c r="R5" s="86" t="inlineStr">
        <is>
          <t>with advanced image</t>
        </is>
      </c>
      <c r="S5" s="86" t="inlineStr">
        <is>
          <t>2</t>
        </is>
      </c>
      <c r="T5" s="86" t="inlineStr">
        <is>
          <t>no</t>
        </is>
      </c>
      <c r="U5" s="86" t="inlineStr">
        <is>
          <t>yes</t>
        </is>
      </c>
      <c r="V5" s="86" t="inlineStr">
        <is>
          <t>yes</t>
        </is>
      </c>
      <c r="W5" s="86" t="inlineStr">
        <is>
          <t>inception family</t>
        </is>
      </c>
      <c r="X5" s="86" t="inlineStr">
        <is>
          <t>north america</t>
        </is>
      </c>
      <c r="Y5" s="86" t="inlineStr">
        <is>
          <t>low</t>
        </is>
      </c>
      <c r="Z5" s="86" t="inlineStr">
        <is>
          <t>high</t>
        </is>
      </c>
      <c r="AA5" s="86" t="inlineStr">
        <is>
          <t>positive</t>
        </is>
      </c>
      <c r="AB5" s="86" t="inlineStr">
        <is>
          <t>middle</t>
        </is>
      </c>
      <c r="AC5" s="86" t="n">
        <v>122</v>
      </c>
      <c r="AD5" s="104" t="n">
        <v>0.1885245901639344</v>
      </c>
      <c r="AE5" s="104" t="n">
        <v>23</v>
      </c>
      <c r="AF5" s="104" t="n">
        <v>99</v>
      </c>
      <c r="AG5" s="104" t="n">
        <v>0.6956521739130435</v>
      </c>
      <c r="AH5" s="104" t="n">
        <v>0.9696969696969697</v>
      </c>
      <c r="AI5" s="86" t="n">
        <v>16</v>
      </c>
      <c r="AJ5" s="86" t="n">
        <v>7</v>
      </c>
      <c r="AK5" s="86" t="n">
        <v>96</v>
      </c>
      <c r="AL5" s="86" t="n">
        <v>3</v>
      </c>
    </row>
    <row r="6" ht="16" customHeight="1" s="55">
      <c r="A6" s="88" t="inlineStr">
        <is>
          <t>Lim et al. 2023</t>
        </is>
      </c>
      <c r="B6" s="86" t="inlineStr">
        <is>
          <t>Reader</t>
        </is>
      </c>
      <c r="C6" s="86" t="inlineStr">
        <is>
          <t>EyeArt</t>
        </is>
      </c>
      <c r="D6" s="86" t="inlineStr">
        <is>
          <t>retinaspecialist</t>
        </is>
      </c>
      <c r="E6" s="86" t="inlineStr">
        <is>
          <t>original</t>
        </is>
      </c>
      <c r="F6" s="86" t="inlineStr">
        <is>
          <t>prospective</t>
        </is>
      </c>
      <c r="G6" s="86" t="inlineStr">
        <is>
          <t>high</t>
        </is>
      </c>
      <c r="H6" s="86" t="inlineStr">
        <is>
          <t>tertiary</t>
        </is>
      </c>
      <c r="I6" s="86" t="inlineStr">
        <is>
          <t>no</t>
        </is>
      </c>
      <c r="J6" s="86" t="inlineStr">
        <is>
          <t>rdr</t>
        </is>
      </c>
      <c r="K6" s="86" t="inlineStr">
        <is>
          <t>no</t>
        </is>
      </c>
      <c r="L6" s="86" t="inlineStr">
        <is>
          <t>mixed</t>
        </is>
      </c>
      <c r="M6" s="86" t="inlineStr">
        <is>
          <t>desktop</t>
        </is>
      </c>
      <c r="N6" s="86" t="inlineStr">
        <is>
          <t>canon</t>
        </is>
      </c>
      <c r="O6" s="86" t="inlineStr">
        <is>
          <t>other</t>
        </is>
      </c>
      <c r="P6" s="86" t="inlineStr">
        <is>
          <t>certified graders</t>
        </is>
      </c>
      <c r="Q6" s="86" t="inlineStr">
        <is>
          <t>yes</t>
        </is>
      </c>
      <c r="R6" s="86" t="inlineStr">
        <is>
          <t>with advanced image</t>
        </is>
      </c>
      <c r="S6" s="86" t="inlineStr">
        <is>
          <t>2</t>
        </is>
      </c>
      <c r="T6" s="86" t="inlineStr">
        <is>
          <t>yes</t>
        </is>
      </c>
      <c r="U6" s="86" t="inlineStr">
        <is>
          <t>yes</t>
        </is>
      </c>
      <c r="V6" s="86" t="inlineStr">
        <is>
          <t>yes</t>
        </is>
      </c>
      <c r="W6" s="86" t="inlineStr">
        <is>
          <t>cnn</t>
        </is>
      </c>
      <c r="X6" s="86" t="inlineStr">
        <is>
          <t>north america</t>
        </is>
      </c>
      <c r="Y6" s="86" t="inlineStr">
        <is>
          <t>high</t>
        </is>
      </c>
      <c r="Z6" s="86" t="inlineStr">
        <is>
          <t>high</t>
        </is>
      </c>
      <c r="AA6" s="86" t="inlineStr">
        <is>
          <t>positive</t>
        </is>
      </c>
      <c r="AB6" s="86" t="inlineStr">
        <is>
          <t>middle</t>
        </is>
      </c>
      <c r="AC6" s="86" t="n">
        <v>221</v>
      </c>
      <c r="AD6" s="104" t="n">
        <v>0.167420814479638</v>
      </c>
      <c r="AE6" s="104" t="n">
        <v>37</v>
      </c>
      <c r="AF6" s="104" t="n">
        <v>184</v>
      </c>
      <c r="AG6" s="104" t="n">
        <v>0.5945945945945946</v>
      </c>
      <c r="AH6" s="104" t="n">
        <v>0.9891304347826086</v>
      </c>
      <c r="AI6" s="86" t="n">
        <v>22</v>
      </c>
      <c r="AJ6" s="86" t="n">
        <v>15</v>
      </c>
      <c r="AK6" s="86" t="n">
        <v>182</v>
      </c>
      <c r="AL6" s="86" t="n">
        <v>2</v>
      </c>
    </row>
    <row r="7" ht="16" customHeight="1" s="55">
      <c r="A7" s="88" t="inlineStr">
        <is>
          <t>Lim et al. 2023</t>
        </is>
      </c>
      <c r="B7" s="86" t="inlineStr">
        <is>
          <t>Reader</t>
        </is>
      </c>
      <c r="C7" s="86" t="inlineStr">
        <is>
          <t>EyeArt</t>
        </is>
      </c>
      <c r="D7" s="86" t="inlineStr">
        <is>
          <t>ophthalmologist</t>
        </is>
      </c>
      <c r="E7" s="86" t="inlineStr">
        <is>
          <t>original</t>
        </is>
      </c>
      <c r="F7" s="86" t="inlineStr">
        <is>
          <t>prospective</t>
        </is>
      </c>
      <c r="G7" s="86" t="inlineStr">
        <is>
          <t>high</t>
        </is>
      </c>
      <c r="H7" s="86" t="inlineStr">
        <is>
          <t>tertiary</t>
        </is>
      </c>
      <c r="I7" s="86" t="inlineStr">
        <is>
          <t>no</t>
        </is>
      </c>
      <c r="J7" s="86" t="inlineStr">
        <is>
          <t>rdr</t>
        </is>
      </c>
      <c r="K7" s="86" t="inlineStr">
        <is>
          <t>no</t>
        </is>
      </c>
      <c r="L7" s="86" t="inlineStr">
        <is>
          <t>mixed</t>
        </is>
      </c>
      <c r="M7" s="86" t="inlineStr">
        <is>
          <t>desktop</t>
        </is>
      </c>
      <c r="N7" s="86" t="inlineStr">
        <is>
          <t>canon</t>
        </is>
      </c>
      <c r="O7" s="86" t="inlineStr">
        <is>
          <t>other</t>
        </is>
      </c>
      <c r="P7" s="86" t="inlineStr">
        <is>
          <t>certified graders</t>
        </is>
      </c>
      <c r="Q7" s="86" t="inlineStr">
        <is>
          <t>yes</t>
        </is>
      </c>
      <c r="R7" s="86" t="inlineStr">
        <is>
          <t>with advanced image</t>
        </is>
      </c>
      <c r="S7" s="86" t="inlineStr">
        <is>
          <t>2</t>
        </is>
      </c>
      <c r="T7" s="86" t="inlineStr">
        <is>
          <t>yes</t>
        </is>
      </c>
      <c r="U7" s="86" t="inlineStr">
        <is>
          <t>yes</t>
        </is>
      </c>
      <c r="V7" s="86" t="inlineStr">
        <is>
          <t>yes</t>
        </is>
      </c>
      <c r="W7" s="86" t="inlineStr">
        <is>
          <t>cnn</t>
        </is>
      </c>
      <c r="X7" s="86" t="inlineStr">
        <is>
          <t>north america</t>
        </is>
      </c>
      <c r="Y7" s="86" t="inlineStr">
        <is>
          <t>high</t>
        </is>
      </c>
      <c r="Z7" s="86" t="inlineStr">
        <is>
          <t>high</t>
        </is>
      </c>
      <c r="AA7" s="86" t="inlineStr">
        <is>
          <t>positive</t>
        </is>
      </c>
      <c r="AB7" s="86" t="inlineStr">
        <is>
          <t>middle</t>
        </is>
      </c>
      <c r="AC7" s="86" t="n">
        <v>778</v>
      </c>
      <c r="AD7" s="104" t="n">
        <v>0.2185089974293059</v>
      </c>
      <c r="AE7" s="104" t="n">
        <v>170</v>
      </c>
      <c r="AF7" s="104" t="n">
        <v>608</v>
      </c>
      <c r="AG7" s="104" t="n">
        <v>0.2058823529411765</v>
      </c>
      <c r="AH7" s="104" t="n">
        <v>0.9983552631578947</v>
      </c>
      <c r="AI7" s="86" t="n">
        <v>35</v>
      </c>
      <c r="AJ7" s="86" t="n">
        <v>135</v>
      </c>
      <c r="AK7" s="86" t="n">
        <v>607</v>
      </c>
      <c r="AL7" s="86" t="n">
        <v>1</v>
      </c>
    </row>
    <row r="8" ht="16" customHeight="1" s="55">
      <c r="A8" s="28" t="inlineStr">
        <is>
          <t>Li et al. 2022</t>
        </is>
      </c>
      <c r="B8" s="86" t="inlineStr">
        <is>
          <t>Reader</t>
        </is>
      </c>
      <c r="C8" s="86" t="inlineStr">
        <is>
          <t>AI-100</t>
        </is>
      </c>
      <c r="D8" s="86" t="inlineStr">
        <is>
          <t>ophthalmologist</t>
        </is>
      </c>
      <c r="E8" s="86" t="inlineStr">
        <is>
          <t>original</t>
        </is>
      </c>
      <c r="F8" s="86" t="inlineStr">
        <is>
          <t>prospective</t>
        </is>
      </c>
      <c r="G8" s="86" t="inlineStr">
        <is>
          <t>middle</t>
        </is>
      </c>
      <c r="H8" s="86" t="inlineStr">
        <is>
          <t>tertiary</t>
        </is>
      </c>
      <c r="I8" s="86" t="inlineStr">
        <is>
          <t>no</t>
        </is>
      </c>
      <c r="J8" s="86" t="inlineStr">
        <is>
          <t>rdr</t>
        </is>
      </c>
      <c r="K8" s="86" t="inlineStr">
        <is>
          <t>yes</t>
        </is>
      </c>
      <c r="L8" s="86" t="inlineStr">
        <is>
          <t>no</t>
        </is>
      </c>
      <c r="M8" s="86" t="inlineStr">
        <is>
          <t>desktop</t>
        </is>
      </c>
      <c r="N8" s="86" t="inlineStr">
        <is>
          <t>mixed</t>
        </is>
      </c>
      <c r="O8" s="86" t="inlineStr">
        <is>
          <t>icdr</t>
        </is>
      </c>
      <c r="P8" s="86" t="inlineStr">
        <is>
          <t>ophthalmologist</t>
        </is>
      </c>
      <c r="Q8" s="86" t="inlineStr">
        <is>
          <t>yes</t>
        </is>
      </c>
      <c r="R8" s="86" t="inlineStr">
        <is>
          <t>fundus</t>
        </is>
      </c>
      <c r="S8" s="86" t="inlineStr">
        <is>
          <t>1</t>
        </is>
      </c>
      <c r="T8" s="86" t="inlineStr">
        <is>
          <t>yes</t>
        </is>
      </c>
      <c r="U8" s="86" t="inlineStr">
        <is>
          <t>yes</t>
        </is>
      </c>
      <c r="V8" s="86" t="inlineStr">
        <is>
          <t>yes</t>
        </is>
      </c>
      <c r="W8" s="86" t="inlineStr">
        <is>
          <t>densenet family</t>
        </is>
      </c>
      <c r="X8" s="86" t="inlineStr">
        <is>
          <t>asia</t>
        </is>
      </c>
      <c r="Y8" s="86" t="inlineStr">
        <is>
          <t>high</t>
        </is>
      </c>
      <c r="Z8" s="86" t="inlineStr">
        <is>
          <t>high</t>
        </is>
      </c>
      <c r="AA8" s="86" t="inlineStr">
        <is>
          <t>excluded</t>
        </is>
      </c>
      <c r="AB8" s="86" t="inlineStr">
        <is>
          <t>middle</t>
        </is>
      </c>
      <c r="AC8" s="86" t="n">
        <v>1585</v>
      </c>
      <c r="AD8" s="104" t="n">
        <v>0.2044164037854889</v>
      </c>
      <c r="AE8" s="104" t="n">
        <v>324</v>
      </c>
      <c r="AF8" s="104" t="n">
        <v>1261</v>
      </c>
      <c r="AG8" s="104" t="n">
        <v>0.9629629629629629</v>
      </c>
      <c r="AH8" s="104" t="n">
        <v>0.9888977002379065</v>
      </c>
      <c r="AI8" s="86" t="n">
        <v>312</v>
      </c>
      <c r="AJ8" s="86" t="n">
        <v>12</v>
      </c>
      <c r="AK8" s="86" t="n">
        <v>1247</v>
      </c>
      <c r="AL8" s="86" t="n">
        <v>14</v>
      </c>
    </row>
    <row r="9" ht="16" customHeight="1" s="55">
      <c r="A9" s="28" t="inlineStr">
        <is>
          <t>Li et al. 2022</t>
        </is>
      </c>
      <c r="B9" s="86" t="inlineStr">
        <is>
          <t>Reader</t>
        </is>
      </c>
      <c r="C9" s="86" t="inlineStr">
        <is>
          <t>AI-100</t>
        </is>
      </c>
      <c r="D9" s="86" t="inlineStr">
        <is>
          <t>ophthalmologist</t>
        </is>
      </c>
      <c r="E9" s="86" t="inlineStr">
        <is>
          <t>original</t>
        </is>
      </c>
      <c r="F9" s="86" t="inlineStr">
        <is>
          <t>prospective</t>
        </is>
      </c>
      <c r="G9" s="86" t="inlineStr">
        <is>
          <t>middle</t>
        </is>
      </c>
      <c r="H9" s="86" t="inlineStr">
        <is>
          <t>tertiary</t>
        </is>
      </c>
      <c r="I9" s="86" t="inlineStr">
        <is>
          <t>no</t>
        </is>
      </c>
      <c r="J9" s="86" t="inlineStr">
        <is>
          <t>rdr</t>
        </is>
      </c>
      <c r="K9" s="86" t="inlineStr">
        <is>
          <t>yes</t>
        </is>
      </c>
      <c r="L9" s="86" t="inlineStr">
        <is>
          <t>no</t>
        </is>
      </c>
      <c r="M9" s="86" t="inlineStr">
        <is>
          <t>desktop</t>
        </is>
      </c>
      <c r="N9" s="86" t="inlineStr">
        <is>
          <t>mixed</t>
        </is>
      </c>
      <c r="O9" s="86" t="inlineStr">
        <is>
          <t>icdr</t>
        </is>
      </c>
      <c r="P9" s="86" t="inlineStr">
        <is>
          <t>ophthalmologist</t>
        </is>
      </c>
      <c r="Q9" s="86" t="inlineStr">
        <is>
          <t>yes</t>
        </is>
      </c>
      <c r="R9" s="86" t="inlineStr">
        <is>
          <t>fundus</t>
        </is>
      </c>
      <c r="S9" s="86" t="inlineStr">
        <is>
          <t>1</t>
        </is>
      </c>
      <c r="T9" s="86" t="inlineStr">
        <is>
          <t>yes</t>
        </is>
      </c>
      <c r="U9" s="86" t="inlineStr">
        <is>
          <t>yes</t>
        </is>
      </c>
      <c r="V9" s="86" t="inlineStr">
        <is>
          <t>yes</t>
        </is>
      </c>
      <c r="W9" s="86" t="inlineStr">
        <is>
          <t>densenet family</t>
        </is>
      </c>
      <c r="X9" s="86" t="inlineStr">
        <is>
          <t>asia</t>
        </is>
      </c>
      <c r="Y9" s="86" t="inlineStr">
        <is>
          <t>high</t>
        </is>
      </c>
      <c r="Z9" s="86" t="inlineStr">
        <is>
          <t>high</t>
        </is>
      </c>
      <c r="AA9" s="86" t="inlineStr">
        <is>
          <t>excluded</t>
        </is>
      </c>
      <c r="AB9" s="86" t="inlineStr">
        <is>
          <t>middle</t>
        </is>
      </c>
      <c r="AC9" s="86" t="n">
        <v>1585</v>
      </c>
      <c r="AD9" s="104" t="n">
        <v>0.2044164037854889</v>
      </c>
      <c r="AE9" s="104" t="n">
        <v>324</v>
      </c>
      <c r="AF9" s="104" t="n">
        <v>1261</v>
      </c>
      <c r="AG9" s="104" t="n">
        <v>0.9845679012345679</v>
      </c>
      <c r="AH9" s="104" t="n">
        <v>0.9952418715305313</v>
      </c>
      <c r="AI9" s="86" t="n">
        <v>319</v>
      </c>
      <c r="AJ9" s="86" t="n">
        <v>5</v>
      </c>
      <c r="AK9" s="86" t="n">
        <v>1255</v>
      </c>
      <c r="AL9" s="86" t="n">
        <v>6</v>
      </c>
    </row>
    <row r="10" ht="16" customHeight="1" s="55">
      <c r="A10" s="88" t="inlineStr">
        <is>
          <t>Ruamviboonsuk et al. 2022</t>
        </is>
      </c>
      <c r="B10" s="86" t="inlineStr">
        <is>
          <t>Reader</t>
        </is>
      </c>
      <c r="C10" s="86" t="inlineStr">
        <is>
          <t>ARDA</t>
        </is>
      </c>
      <c r="D10" s="86" t="inlineStr">
        <is>
          <t>retinaspecialist</t>
        </is>
      </c>
      <c r="E10" s="86" t="inlineStr">
        <is>
          <t>original</t>
        </is>
      </c>
      <c r="F10" s="86" t="inlineStr">
        <is>
          <t>prospective</t>
        </is>
      </c>
      <c r="G10" s="86" t="inlineStr">
        <is>
          <t>middle</t>
        </is>
      </c>
      <c r="H10" s="86" t="inlineStr">
        <is>
          <t>primary</t>
        </is>
      </c>
      <c r="I10" s="86" t="inlineStr">
        <is>
          <t>yes</t>
        </is>
      </c>
      <c r="J10" s="86" t="inlineStr">
        <is>
          <t>vtdr</t>
        </is>
      </c>
      <c r="K10" s="86" t="inlineStr">
        <is>
          <t>no</t>
        </is>
      </c>
      <c r="L10" s="86" t="inlineStr">
        <is>
          <t>no</t>
        </is>
      </c>
      <c r="M10" s="86" t="inlineStr">
        <is>
          <t>desktop</t>
        </is>
      </c>
      <c r="N10" s="86" t="inlineStr">
        <is>
          <t>mixed</t>
        </is>
      </c>
      <c r="O10" s="86" t="inlineStr">
        <is>
          <t>icdr</t>
        </is>
      </c>
      <c r="P10" s="86" t="inlineStr">
        <is>
          <t>retina specialist</t>
        </is>
      </c>
      <c r="Q10" s="86" t="inlineStr">
        <is>
          <t>yes</t>
        </is>
      </c>
      <c r="R10" s="86" t="inlineStr">
        <is>
          <t>fundus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yes</t>
        </is>
      </c>
      <c r="V10" s="86" t="inlineStr">
        <is>
          <t>yes</t>
        </is>
      </c>
      <c r="W10" s="86" t="inlineStr">
        <is>
          <t>inception family</t>
        </is>
      </c>
      <c r="X10" s="86" t="inlineStr">
        <is>
          <t>asia</t>
        </is>
      </c>
      <c r="Y10" s="86" t="inlineStr">
        <is>
          <t>high</t>
        </is>
      </c>
      <c r="Z10" s="86" t="inlineStr">
        <is>
          <t>low</t>
        </is>
      </c>
      <c r="AA10" s="86" t="inlineStr">
        <is>
          <t>positive</t>
        </is>
      </c>
      <c r="AB10" s="86" t="inlineStr">
        <is>
          <t>middle</t>
        </is>
      </c>
      <c r="AC10" s="86" t="n">
        <v>926</v>
      </c>
      <c r="AD10" s="104" t="n">
        <v>0.275377969762419</v>
      </c>
      <c r="AE10" s="104" t="n">
        <v>255</v>
      </c>
      <c r="AF10" s="104" t="n">
        <v>671</v>
      </c>
      <c r="AG10" s="104" t="n">
        <v>0.8470588235294118</v>
      </c>
      <c r="AH10" s="104" t="n">
        <v>0.9552906110283159</v>
      </c>
      <c r="AI10" s="86" t="n">
        <v>216</v>
      </c>
      <c r="AJ10" s="86" t="n">
        <v>39</v>
      </c>
      <c r="AK10" s="86" t="n">
        <v>641</v>
      </c>
      <c r="AL10" s="86" t="n">
        <v>30</v>
      </c>
    </row>
    <row r="11" ht="16" customHeight="1" s="55">
      <c r="A11" s="88" t="inlineStr">
        <is>
          <t>Kim et al. 2021</t>
        </is>
      </c>
      <c r="B11" s="86" t="inlineStr">
        <is>
          <t>Reader</t>
        </is>
      </c>
      <c r="C11" s="86" t="inlineStr">
        <is>
          <t>EyeArt</t>
        </is>
      </c>
      <c r="D11" s="86" t="inlineStr">
        <is>
          <t>retinaspecialist</t>
        </is>
      </c>
      <c r="E11" s="86" t="inlineStr">
        <is>
          <t>original</t>
        </is>
      </c>
      <c r="F11" s="86" t="inlineStr">
        <is>
          <t>prospective</t>
        </is>
      </c>
      <c r="G11" s="86" t="inlineStr">
        <is>
          <t>high</t>
        </is>
      </c>
      <c r="H11" s="86" t="inlineStr">
        <is>
          <t>tertiary</t>
        </is>
      </c>
      <c r="I11" s="86" t="inlineStr">
        <is>
          <t>no</t>
        </is>
      </c>
      <c r="J11" s="86" t="inlineStr">
        <is>
          <t>rdr</t>
        </is>
      </c>
      <c r="K11" s="86" t="inlineStr">
        <is>
          <t>no</t>
        </is>
      </c>
      <c r="L11" s="86" t="inlineStr">
        <is>
          <t>yes</t>
        </is>
      </c>
      <c r="M11" s="86" t="inlineStr">
        <is>
          <t>smartphone</t>
        </is>
      </c>
      <c r="N11" s="86" t="inlineStr">
        <is>
          <t>retinascope</t>
        </is>
      </c>
      <c r="O11" s="86" t="inlineStr">
        <is>
          <t>etdrs</t>
        </is>
      </c>
      <c r="P11" s="86" t="inlineStr">
        <is>
          <t>retina specialist</t>
        </is>
      </c>
      <c r="Q11" s="86" t="inlineStr">
        <is>
          <t>no</t>
        </is>
      </c>
      <c r="R11" s="86" t="inlineStr">
        <is>
          <t>clinical examination</t>
        </is>
      </c>
      <c r="S11" s="86" t="inlineStr">
        <is>
          <t>&gt;2</t>
        </is>
      </c>
      <c r="T11" s="86" t="inlineStr">
        <is>
          <t>yes</t>
        </is>
      </c>
      <c r="U11" s="86" t="inlineStr">
        <is>
          <t>yes</t>
        </is>
      </c>
      <c r="V11" s="86" t="inlineStr">
        <is>
          <t>yes</t>
        </is>
      </c>
      <c r="W11" s="86" t="inlineStr">
        <is>
          <t>cnn</t>
        </is>
      </c>
      <c r="X11" s="86" t="inlineStr">
        <is>
          <t>north america</t>
        </is>
      </c>
      <c r="Y11" s="86" t="inlineStr">
        <is>
          <t>high</t>
        </is>
      </c>
      <c r="Z11" s="86" t="inlineStr">
        <is>
          <t>high</t>
        </is>
      </c>
      <c r="AA11" s="86" t="inlineStr">
        <is>
          <t>excluded</t>
        </is>
      </c>
      <c r="AB11" s="86" t="inlineStr">
        <is>
          <t>high</t>
        </is>
      </c>
      <c r="AC11" s="86" t="n">
        <v>68</v>
      </c>
      <c r="AD11" s="104" t="n">
        <v>0.7941176470588235</v>
      </c>
      <c r="AE11" s="104" t="n">
        <v>54</v>
      </c>
      <c r="AF11" s="104" t="n">
        <v>14</v>
      </c>
      <c r="AG11" s="104" t="n">
        <v>0.9629629629629629</v>
      </c>
      <c r="AH11" s="104" t="n">
        <v>0.4285714285714285</v>
      </c>
      <c r="AI11" s="86" t="n">
        <v>52</v>
      </c>
      <c r="AJ11" s="86" t="n">
        <v>2</v>
      </c>
      <c r="AK11" s="86" t="n">
        <v>6</v>
      </c>
      <c r="AL11" s="86" t="n">
        <v>8</v>
      </c>
    </row>
    <row r="12" ht="16" customHeight="1" s="55">
      <c r="A12" s="88" t="inlineStr">
        <is>
          <t>Kim et al. 2021</t>
        </is>
      </c>
      <c r="B12" s="86" t="inlineStr">
        <is>
          <t>Reader</t>
        </is>
      </c>
      <c r="C12" s="86" t="inlineStr">
        <is>
          <t>EyeArt</t>
        </is>
      </c>
      <c r="D12" s="86" t="inlineStr">
        <is>
          <t>ophthalmologist</t>
        </is>
      </c>
      <c r="E12" s="86" t="inlineStr">
        <is>
          <t>original</t>
        </is>
      </c>
      <c r="F12" s="86" t="inlineStr">
        <is>
          <t>prospective</t>
        </is>
      </c>
      <c r="G12" s="86" t="inlineStr">
        <is>
          <t>high</t>
        </is>
      </c>
      <c r="H12" s="86" t="inlineStr">
        <is>
          <t>tertiary</t>
        </is>
      </c>
      <c r="I12" s="86" t="inlineStr">
        <is>
          <t>no</t>
        </is>
      </c>
      <c r="J12" s="86" t="inlineStr">
        <is>
          <t>rdr</t>
        </is>
      </c>
      <c r="K12" s="86" t="inlineStr">
        <is>
          <t>no</t>
        </is>
      </c>
      <c r="L12" s="86" t="inlineStr">
        <is>
          <t>yes</t>
        </is>
      </c>
      <c r="M12" s="86" t="inlineStr">
        <is>
          <t>smartphone</t>
        </is>
      </c>
      <c r="N12" s="86" t="inlineStr">
        <is>
          <t>retinascope</t>
        </is>
      </c>
      <c r="O12" s="86" t="inlineStr">
        <is>
          <t>etdrs</t>
        </is>
      </c>
      <c r="P12" s="86" t="inlineStr">
        <is>
          <t>retina specialist</t>
        </is>
      </c>
      <c r="Q12" s="86" t="inlineStr">
        <is>
          <t>no</t>
        </is>
      </c>
      <c r="R12" s="86" t="inlineStr">
        <is>
          <t>clinical examination</t>
        </is>
      </c>
      <c r="S12" s="86" t="inlineStr">
        <is>
          <t>&gt;2</t>
        </is>
      </c>
      <c r="T12" s="86" t="inlineStr">
        <is>
          <t>yes</t>
        </is>
      </c>
      <c r="U12" s="86" t="inlineStr">
        <is>
          <t>yes</t>
        </is>
      </c>
      <c r="V12" s="86" t="inlineStr">
        <is>
          <t>yes</t>
        </is>
      </c>
      <c r="W12" s="86" t="inlineStr">
        <is>
          <t>cnn</t>
        </is>
      </c>
      <c r="X12" s="86" t="inlineStr">
        <is>
          <t>north america</t>
        </is>
      </c>
      <c r="Y12" s="86" t="inlineStr">
        <is>
          <t>high</t>
        </is>
      </c>
      <c r="Z12" s="86" t="inlineStr">
        <is>
          <t>high</t>
        </is>
      </c>
      <c r="AA12" s="86" t="inlineStr">
        <is>
          <t>excluded</t>
        </is>
      </c>
      <c r="AB12" s="86" t="inlineStr">
        <is>
          <t>high</t>
        </is>
      </c>
      <c r="AC12" s="86" t="n">
        <v>67</v>
      </c>
      <c r="AD12" s="104" t="n">
        <v>0.7910447761194029</v>
      </c>
      <c r="AE12" s="104" t="n">
        <v>53</v>
      </c>
      <c r="AF12" s="104" t="n">
        <v>14</v>
      </c>
      <c r="AG12" s="104" t="n">
        <v>0.9245283018867925</v>
      </c>
      <c r="AH12" s="104" t="n">
        <v>0.5</v>
      </c>
      <c r="AI12" s="86" t="n">
        <v>49</v>
      </c>
      <c r="AJ12" s="86" t="n">
        <v>4</v>
      </c>
      <c r="AK12" s="86" t="n">
        <v>7</v>
      </c>
      <c r="AL12" s="86" t="n">
        <v>7</v>
      </c>
    </row>
    <row r="13" ht="16" customHeight="1" s="55">
      <c r="A13" s="28" t="inlineStr">
        <is>
          <t>Li et al. 2021</t>
        </is>
      </c>
      <c r="B13" s="86" t="inlineStr">
        <is>
          <t>Reader</t>
        </is>
      </c>
      <c r="C13" s="86" t="inlineStr">
        <is>
          <t>VeriSee</t>
        </is>
      </c>
      <c r="D13" s="86" t="inlineStr">
        <is>
          <t>physician</t>
        </is>
      </c>
      <c r="E13" s="86" t="inlineStr">
        <is>
          <t>original</t>
        </is>
      </c>
      <c r="F13" s="86" t="inlineStr">
        <is>
          <t>retrospective</t>
        </is>
      </c>
      <c r="G13" s="86" t="inlineStr">
        <is>
          <t>high</t>
        </is>
      </c>
      <c r="H13" s="86" t="inlineStr">
        <is>
          <t>tertiary</t>
        </is>
      </c>
      <c r="I13" s="86" t="inlineStr">
        <is>
          <t>no</t>
        </is>
      </c>
      <c r="J13" s="86" t="inlineStr">
        <is>
          <t>rdr</t>
        </is>
      </c>
      <c r="K13" s="86" t="inlineStr">
        <is>
          <t>no</t>
        </is>
      </c>
      <c r="L13" s="86" t="inlineStr">
        <is>
          <t>no</t>
        </is>
      </c>
      <c r="M13" s="86" t="inlineStr">
        <is>
          <t>desktop</t>
        </is>
      </c>
      <c r="N13" s="86" t="inlineStr">
        <is>
          <t>canon</t>
        </is>
      </c>
      <c r="O13" s="86" t="inlineStr">
        <is>
          <t>icdr</t>
        </is>
      </c>
      <c r="P13" s="86" t="inlineStr">
        <is>
          <t>ophthalmologist</t>
        </is>
      </c>
      <c r="Q13" s="86" t="inlineStr">
        <is>
          <t>yes</t>
        </is>
      </c>
      <c r="R13" s="86" t="inlineStr">
        <is>
          <t>fundus</t>
        </is>
      </c>
      <c r="S13" s="86" t="inlineStr">
        <is>
          <t>1</t>
        </is>
      </c>
      <c r="T13" s="86" t="inlineStr">
        <is>
          <t>no</t>
        </is>
      </c>
      <c r="U13" s="86" t="inlineStr">
        <is>
          <t>yes</t>
        </is>
      </c>
      <c r="V13" s="86" t="inlineStr">
        <is>
          <t>yes</t>
        </is>
      </c>
      <c r="W13" s="86" t="inlineStr">
        <is>
          <t>inception family</t>
        </is>
      </c>
      <c r="X13" s="86" t="inlineStr">
        <is>
          <t>asia</t>
        </is>
      </c>
      <c r="Y13" s="86" t="inlineStr">
        <is>
          <t>high</t>
        </is>
      </c>
      <c r="Z13" s="86" t="inlineStr">
        <is>
          <t>high</t>
        </is>
      </c>
      <c r="AA13" s="86" t="inlineStr">
        <is>
          <t>excluded</t>
        </is>
      </c>
      <c r="AB13" s="86" t="inlineStr">
        <is>
          <t>middle</t>
        </is>
      </c>
      <c r="AC13" s="86" t="n">
        <v>469</v>
      </c>
      <c r="AD13" s="104" t="n">
        <v>0.1215351812366738</v>
      </c>
      <c r="AE13" s="104" t="n">
        <v>57</v>
      </c>
      <c r="AF13" s="104" t="n">
        <v>412</v>
      </c>
      <c r="AG13" s="104" t="n">
        <v>0.9122807017543859</v>
      </c>
      <c r="AH13" s="104" t="n">
        <v>0.5</v>
      </c>
      <c r="AI13" s="86" t="n">
        <v>52</v>
      </c>
      <c r="AJ13" s="86" t="n">
        <v>5</v>
      </c>
      <c r="AK13" s="86" t="n">
        <v>206</v>
      </c>
      <c r="AL13" s="86" t="n">
        <v>206</v>
      </c>
    </row>
    <row r="14" ht="16" customHeight="1" s="55">
      <c r="A14" s="28" t="inlineStr">
        <is>
          <t>Noriega et al. 2021</t>
        </is>
      </c>
      <c r="B14" s="86" t="inlineStr">
        <is>
          <t>Reader</t>
        </is>
      </c>
      <c r="C14" s="86" t="inlineStr">
        <is>
          <t>ARIA</t>
        </is>
      </c>
      <c r="D14" s="86" t="inlineStr">
        <is>
          <t>ophthalmologist</t>
        </is>
      </c>
      <c r="E14" s="86" t="inlineStr">
        <is>
          <t>original</t>
        </is>
      </c>
      <c r="F14" s="86" t="inlineStr">
        <is>
          <t>prospective</t>
        </is>
      </c>
      <c r="G14" s="86" t="inlineStr">
        <is>
          <t>middle</t>
        </is>
      </c>
      <c r="H14" s="86" t="inlineStr">
        <is>
          <t>tertiary</t>
        </is>
      </c>
      <c r="I14" s="86" t="inlineStr">
        <is>
          <t>yes</t>
        </is>
      </c>
      <c r="J14" s="86" t="inlineStr">
        <is>
          <t>rdr</t>
        </is>
      </c>
      <c r="K14" s="86" t="inlineStr">
        <is>
          <t>no</t>
        </is>
      </c>
      <c r="L14" s="86" t="inlineStr">
        <is>
          <t>no</t>
        </is>
      </c>
      <c r="M14" s="86" t="inlineStr">
        <is>
          <t>mixed</t>
        </is>
      </c>
      <c r="N14" s="86" t="inlineStr">
        <is>
          <t>mixed</t>
        </is>
      </c>
      <c r="O14" s="86" t="inlineStr">
        <is>
          <t>icdr</t>
        </is>
      </c>
      <c r="P14" s="86" t="inlineStr">
        <is>
          <t>retina specialist</t>
        </is>
      </c>
      <c r="Q14" s="86" t="inlineStr">
        <is>
          <t>no</t>
        </is>
      </c>
      <c r="R14" s="86" t="inlineStr">
        <is>
          <t>fundus</t>
        </is>
      </c>
      <c r="S14" s="86" t="inlineStr">
        <is>
          <t>1</t>
        </is>
      </c>
      <c r="T14" s="86" t="inlineStr">
        <is>
          <t>no</t>
        </is>
      </c>
      <c r="U14" s="86" t="inlineStr">
        <is>
          <t>no</t>
        </is>
      </c>
      <c r="V14" s="86" t="inlineStr">
        <is>
          <t>no</t>
        </is>
      </c>
      <c r="W14" s="86" t="inlineStr">
        <is>
          <t>vgg family</t>
        </is>
      </c>
      <c r="X14" s="86" t="inlineStr">
        <is>
          <t>north america</t>
        </is>
      </c>
      <c r="Y14" s="86" t="inlineStr">
        <is>
          <t>high</t>
        </is>
      </c>
      <c r="Z14" s="86" t="inlineStr">
        <is>
          <t>high</t>
        </is>
      </c>
      <c r="AA14" s="86" t="inlineStr">
        <is>
          <t>excluded</t>
        </is>
      </c>
      <c r="AB14" s="86" t="inlineStr">
        <is>
          <t>high</t>
        </is>
      </c>
      <c r="AC14" s="86" t="n">
        <v>100</v>
      </c>
      <c r="AD14" s="104" t="n">
        <v>0.5</v>
      </c>
      <c r="AE14" s="104" t="n">
        <v>50</v>
      </c>
      <c r="AF14" s="104" t="n">
        <v>50</v>
      </c>
      <c r="AG14" s="104" t="n">
        <v>0.88</v>
      </c>
      <c r="AH14" s="104" t="n">
        <v>0.86</v>
      </c>
      <c r="AI14" s="86" t="n">
        <v>44</v>
      </c>
      <c r="AJ14" s="86" t="n">
        <v>6</v>
      </c>
      <c r="AK14" s="86" t="n">
        <v>43</v>
      </c>
      <c r="AL14" s="86" t="n">
        <v>7</v>
      </c>
    </row>
    <row r="15" ht="16" customHeight="1" s="55">
      <c r="A15" s="88" t="inlineStr">
        <is>
          <t>Wintergerst et al. 2021</t>
        </is>
      </c>
      <c r="B15" s="86" t="inlineStr">
        <is>
          <t>Reader</t>
        </is>
      </c>
      <c r="C15" s="86" t="inlineStr">
        <is>
          <t>EyeArt</t>
        </is>
      </c>
      <c r="D15" s="86" t="inlineStr">
        <is>
          <t>ophthalmologist</t>
        </is>
      </c>
      <c r="E15" s="86" t="inlineStr">
        <is>
          <t>original</t>
        </is>
      </c>
      <c r="F15" s="86" t="inlineStr">
        <is>
          <t>prospective</t>
        </is>
      </c>
      <c r="G15" s="86" t="inlineStr">
        <is>
          <t>high</t>
        </is>
      </c>
      <c r="H15" s="86" t="inlineStr">
        <is>
          <t>primary</t>
        </is>
      </c>
      <c r="I15" s="86" t="inlineStr">
        <is>
          <t>yes</t>
        </is>
      </c>
      <c r="J15" s="86" t="inlineStr">
        <is>
          <t>rdr</t>
        </is>
      </c>
      <c r="K15" s="86" t="inlineStr">
        <is>
          <t>no</t>
        </is>
      </c>
      <c r="L15" s="86" t="inlineStr">
        <is>
          <t>mixed</t>
        </is>
      </c>
      <c r="M15" s="86" t="inlineStr">
        <is>
          <t>desktop</t>
        </is>
      </c>
      <c r="N15" s="86" t="inlineStr">
        <is>
          <t>centervue</t>
        </is>
      </c>
      <c r="O15" s="86" t="inlineStr">
        <is>
          <t>icdr</t>
        </is>
      </c>
      <c r="P15" s="86" t="inlineStr">
        <is>
          <t>retina specialist</t>
        </is>
      </c>
      <c r="Q15" s="86" t="inlineStr">
        <is>
          <t>yes</t>
        </is>
      </c>
      <c r="R15" s="86" t="inlineStr">
        <is>
          <t>fundus</t>
        </is>
      </c>
      <c r="S15" s="86" t="inlineStr">
        <is>
          <t>&gt;2</t>
        </is>
      </c>
      <c r="T15" s="86" t="inlineStr">
        <is>
          <t>no</t>
        </is>
      </c>
      <c r="U15" s="86" t="inlineStr">
        <is>
          <t>yes</t>
        </is>
      </c>
      <c r="V15" s="86" t="inlineStr">
        <is>
          <t>yes</t>
        </is>
      </c>
      <c r="W15" s="86" t="inlineStr">
        <is>
          <t>cnn</t>
        </is>
      </c>
      <c r="X15" s="86" t="inlineStr">
        <is>
          <t>europe</t>
        </is>
      </c>
      <c r="Y15" s="86" t="inlineStr">
        <is>
          <t>low</t>
        </is>
      </c>
      <c r="Z15" s="86" t="inlineStr">
        <is>
          <t>low</t>
        </is>
      </c>
      <c r="AA15" s="86" t="inlineStr">
        <is>
          <t>positive</t>
        </is>
      </c>
      <c r="AB15" s="86" t="inlineStr">
        <is>
          <t>low</t>
        </is>
      </c>
      <c r="AC15" s="86" t="n">
        <v>63</v>
      </c>
      <c r="AD15" s="104" t="n">
        <v>0.09523809523809523</v>
      </c>
      <c r="AE15" s="104" t="n">
        <v>6</v>
      </c>
      <c r="AF15" s="104" t="n">
        <v>57</v>
      </c>
      <c r="AG15" s="104" t="n">
        <v>0.5</v>
      </c>
      <c r="AH15" s="104" t="n">
        <v>0.7368421052631579</v>
      </c>
      <c r="AI15" s="86" t="n">
        <v>3</v>
      </c>
      <c r="AJ15" s="86" t="n">
        <v>3</v>
      </c>
      <c r="AK15" s="86" t="n">
        <v>42</v>
      </c>
      <c r="AL15" s="86" t="n">
        <v>15</v>
      </c>
    </row>
    <row r="16" ht="16" customHeight="1" s="55">
      <c r="A16" s="88" t="inlineStr">
        <is>
          <t>Wintergerst et al. 2021</t>
        </is>
      </c>
      <c r="B16" s="86" t="inlineStr">
        <is>
          <t>Reader</t>
        </is>
      </c>
      <c r="C16" s="86" t="inlineStr">
        <is>
          <t>EyeArt</t>
        </is>
      </c>
      <c r="D16" s="86" t="inlineStr">
        <is>
          <t>ophthalmologist</t>
        </is>
      </c>
      <c r="E16" s="86" t="inlineStr">
        <is>
          <t>original</t>
        </is>
      </c>
      <c r="F16" s="86" t="inlineStr">
        <is>
          <t>prospective</t>
        </is>
      </c>
      <c r="G16" s="86" t="inlineStr">
        <is>
          <t>high</t>
        </is>
      </c>
      <c r="H16" s="86" t="inlineStr">
        <is>
          <t>primary</t>
        </is>
      </c>
      <c r="I16" s="86" t="inlineStr">
        <is>
          <t>yes</t>
        </is>
      </c>
      <c r="J16" s="86" t="inlineStr">
        <is>
          <t>dr</t>
        </is>
      </c>
      <c r="K16" s="86" t="inlineStr">
        <is>
          <t>no</t>
        </is>
      </c>
      <c r="L16" s="86" t="inlineStr">
        <is>
          <t>mixed</t>
        </is>
      </c>
      <c r="M16" s="86" t="inlineStr">
        <is>
          <t>desktop</t>
        </is>
      </c>
      <c r="N16" s="86" t="inlineStr">
        <is>
          <t>centervue</t>
        </is>
      </c>
      <c r="O16" s="86" t="inlineStr">
        <is>
          <t>icdr</t>
        </is>
      </c>
      <c r="P16" s="86" t="inlineStr">
        <is>
          <t>retina specialist</t>
        </is>
      </c>
      <c r="Q16" s="86" t="inlineStr">
        <is>
          <t>yes</t>
        </is>
      </c>
      <c r="R16" s="86" t="inlineStr">
        <is>
          <t>fundus</t>
        </is>
      </c>
      <c r="S16" s="86" t="inlineStr">
        <is>
          <t>&gt;2</t>
        </is>
      </c>
      <c r="T16" s="86" t="inlineStr">
        <is>
          <t>no</t>
        </is>
      </c>
      <c r="U16" s="86" t="inlineStr">
        <is>
          <t>yes</t>
        </is>
      </c>
      <c r="V16" s="86" t="inlineStr">
        <is>
          <t>yes</t>
        </is>
      </c>
      <c r="W16" s="86" t="inlineStr">
        <is>
          <t>cnn</t>
        </is>
      </c>
      <c r="X16" s="86" t="inlineStr">
        <is>
          <t>europe</t>
        </is>
      </c>
      <c r="Y16" s="86" t="inlineStr">
        <is>
          <t>low</t>
        </is>
      </c>
      <c r="Z16" s="86" t="inlineStr">
        <is>
          <t>low</t>
        </is>
      </c>
      <c r="AA16" s="86" t="inlineStr">
        <is>
          <t>positive</t>
        </is>
      </c>
      <c r="AB16" s="86" t="inlineStr">
        <is>
          <t>middle</t>
        </is>
      </c>
      <c r="AC16" s="86" t="n">
        <v>63</v>
      </c>
      <c r="AD16" s="104" t="n">
        <v>0.1111111111111111</v>
      </c>
      <c r="AE16" s="104" t="n">
        <v>7</v>
      </c>
      <c r="AF16" s="104" t="n">
        <v>56</v>
      </c>
      <c r="AG16" s="104" t="n">
        <v>0.7142857142857143</v>
      </c>
      <c r="AH16" s="104" t="n">
        <v>0.7321428571428571</v>
      </c>
      <c r="AI16" s="86" t="n">
        <v>5</v>
      </c>
      <c r="AJ16" s="86" t="n">
        <v>2</v>
      </c>
      <c r="AK16" s="86" t="n">
        <v>41</v>
      </c>
      <c r="AL16" s="86" t="n">
        <v>15</v>
      </c>
    </row>
    <row r="17" ht="16" customHeight="1" s="55">
      <c r="A17" s="28" t="inlineStr">
        <is>
          <t>Limwattanayingyong et al .2020</t>
        </is>
      </c>
      <c r="B17" s="86" t="inlineStr">
        <is>
          <t>Reader</t>
        </is>
      </c>
      <c r="C17" s="86" t="inlineStr">
        <is>
          <t>ARDA</t>
        </is>
      </c>
      <c r="D17" s="86" t="inlineStr">
        <is>
          <t>trainedgrader</t>
        </is>
      </c>
      <c r="E17" s="86" t="inlineStr">
        <is>
          <t>original</t>
        </is>
      </c>
      <c r="F17" s="86" t="inlineStr">
        <is>
          <t>retrospective</t>
        </is>
      </c>
      <c r="G17" s="86" t="inlineStr">
        <is>
          <t>middle</t>
        </is>
      </c>
      <c r="H17" s="86" t="inlineStr">
        <is>
          <t>primary</t>
        </is>
      </c>
      <c r="I17" s="86" t="inlineStr">
        <is>
          <t>yes</t>
        </is>
      </c>
      <c r="J17" s="86" t="inlineStr">
        <is>
          <t>vtdr</t>
        </is>
      </c>
      <c r="K17" s="86" t="inlineStr">
        <is>
          <t>no</t>
        </is>
      </c>
      <c r="L17" s="86" t="inlineStr">
        <is>
          <t>no</t>
        </is>
      </c>
      <c r="M17" s="86" t="inlineStr">
        <is>
          <t>desktop</t>
        </is>
      </c>
      <c r="N17" s="86" t="inlineStr">
        <is>
          <t>mixed</t>
        </is>
      </c>
      <c r="O17" s="86" t="inlineStr">
        <is>
          <t>icdr</t>
        </is>
      </c>
      <c r="P17" s="86" t="inlineStr">
        <is>
          <t>retina specialist</t>
        </is>
      </c>
      <c r="Q17" s="86" t="inlineStr">
        <is>
          <t>yes</t>
        </is>
      </c>
      <c r="R17" s="86" t="inlineStr">
        <is>
          <t>fundus</t>
        </is>
      </c>
      <c r="S17" s="86" t="inlineStr">
        <is>
          <t>1</t>
        </is>
      </c>
      <c r="T17" s="86" t="inlineStr">
        <is>
          <t>yes</t>
        </is>
      </c>
      <c r="U17" s="86" t="inlineStr">
        <is>
          <t>yes</t>
        </is>
      </c>
      <c r="V17" s="86" t="inlineStr">
        <is>
          <t>yes</t>
        </is>
      </c>
      <c r="W17" s="86" t="inlineStr">
        <is>
          <t>inception family</t>
        </is>
      </c>
      <c r="X17" s="86" t="inlineStr">
        <is>
          <t>asia</t>
        </is>
      </c>
      <c r="Y17" s="86" t="inlineStr">
        <is>
          <t>high</t>
        </is>
      </c>
      <c r="Z17" s="86" t="inlineStr">
        <is>
          <t>high</t>
        </is>
      </c>
      <c r="AA17" s="86" t="inlineStr">
        <is>
          <t>excluded</t>
        </is>
      </c>
      <c r="AB17" s="86" t="inlineStr">
        <is>
          <t>middle</t>
        </is>
      </c>
      <c r="AC17" s="86" t="n">
        <v>5738</v>
      </c>
      <c r="AD17" s="104" t="n">
        <v>0.1028232833739979</v>
      </c>
      <c r="AE17" s="104" t="n">
        <v>590</v>
      </c>
      <c r="AF17" s="104" t="n">
        <v>5148</v>
      </c>
      <c r="AG17" s="104" t="n">
        <v>0.8796610169491526</v>
      </c>
      <c r="AH17" s="104" t="n">
        <v>0.9640637140637141</v>
      </c>
      <c r="AI17" s="86" t="n">
        <v>519</v>
      </c>
      <c r="AJ17" s="86" t="n">
        <v>71</v>
      </c>
      <c r="AK17" s="86" t="n">
        <v>4963</v>
      </c>
      <c r="AL17" s="86" t="n">
        <v>185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selection activeCell="I23" sqref="I23"/>
    </sheetView>
  </sheetViews>
  <sheetFormatPr baseColWidth="10" defaultRowHeight="15"/>
  <sheetData>
    <row r="1" ht="16" customFormat="1" customHeight="1" s="20">
      <c r="A1" s="88" t="inlineStr">
        <is>
          <t>authoryr</t>
        </is>
      </c>
      <c r="B1" s="88" t="inlineStr">
        <is>
          <t>idx</t>
        </is>
      </c>
      <c r="C1" s="88" t="inlineStr">
        <is>
          <t>test</t>
        </is>
      </c>
      <c r="D1" s="88" t="inlineStr">
        <is>
          <t>readerexpertise</t>
        </is>
      </c>
      <c r="E1" s="88" t="inlineStr">
        <is>
          <t>article</t>
        </is>
      </c>
      <c r="F1" s="88" t="inlineStr">
        <is>
          <t>study</t>
        </is>
      </c>
      <c r="G1" s="88" t="inlineStr">
        <is>
          <t>economic</t>
        </is>
      </c>
      <c r="H1" s="88" t="inlineStr">
        <is>
          <t>healthcare</t>
        </is>
      </c>
      <c r="I1" s="88" t="inlineStr">
        <is>
          <t>external</t>
        </is>
      </c>
      <c r="J1" s="88" t="inlineStr">
        <is>
          <t>dr</t>
        </is>
      </c>
      <c r="K1" s="88" t="inlineStr">
        <is>
          <t>othereyetarget</t>
        </is>
      </c>
      <c r="L1" s="88" t="inlineStr">
        <is>
          <t>pupil</t>
        </is>
      </c>
      <c r="M1" s="88" t="inlineStr">
        <is>
          <t>ctype</t>
        </is>
      </c>
      <c r="N1" s="88" t="inlineStr">
        <is>
          <t>camera</t>
        </is>
      </c>
      <c r="O1" s="88" t="inlineStr">
        <is>
          <t>criteria</t>
        </is>
      </c>
      <c r="P1" s="88" t="inlineStr">
        <is>
          <t>rstandard</t>
        </is>
      </c>
      <c r="Q1" s="88" t="inlineStr">
        <is>
          <t>disagree</t>
        </is>
      </c>
      <c r="R1" s="88" t="inlineStr">
        <is>
          <t>rimage</t>
        </is>
      </c>
      <c r="S1" s="88" t="inlineStr">
        <is>
          <t>field</t>
        </is>
      </c>
      <c r="T1" s="88" t="inlineStr">
        <is>
          <t>vendor</t>
        </is>
      </c>
      <c r="U1" s="88" t="inlineStr">
        <is>
          <t>commercial</t>
        </is>
      </c>
      <c r="V1" s="88" t="inlineStr">
        <is>
          <t>certified</t>
        </is>
      </c>
      <c r="W1" s="88" t="inlineStr">
        <is>
          <t>architecture</t>
        </is>
      </c>
      <c r="X1" s="88" t="inlineStr">
        <is>
          <t>region</t>
        </is>
      </c>
      <c r="Y1" s="88" t="inlineStr">
        <is>
          <t>aigradable</t>
        </is>
      </c>
      <c r="Z1" s="88" t="inlineStr">
        <is>
          <t>hgradable</t>
        </is>
      </c>
      <c r="AA1" s="88" t="inlineStr">
        <is>
          <t>ungradable</t>
        </is>
      </c>
      <c r="AB1" s="88" t="inlineStr">
        <is>
          <t>prevalance</t>
        </is>
      </c>
      <c r="AC1" s="88" t="inlineStr">
        <is>
          <t>Total_eye1</t>
        </is>
      </c>
      <c r="AD1" s="103" t="inlineStr">
        <is>
          <t>Prevalence1</t>
        </is>
      </c>
      <c r="AE1" s="103" t="inlineStr">
        <is>
          <t>Positive1</t>
        </is>
      </c>
      <c r="AF1" s="103" t="inlineStr">
        <is>
          <t>Negative1</t>
        </is>
      </c>
      <c r="AG1" s="103" t="inlineStr">
        <is>
          <t>Sensitivity1</t>
        </is>
      </c>
      <c r="AH1" s="103" t="inlineStr">
        <is>
          <t>Specificity1</t>
        </is>
      </c>
      <c r="AI1" s="88" t="inlineStr">
        <is>
          <t>tp1</t>
        </is>
      </c>
      <c r="AJ1" s="88" t="inlineStr">
        <is>
          <t>fn1</t>
        </is>
      </c>
      <c r="AK1" s="88" t="inlineStr">
        <is>
          <t>tn1</t>
        </is>
      </c>
      <c r="AL1" s="88" t="inlineStr">
        <is>
          <t>fp1</t>
        </is>
      </c>
      <c r="AM1" s="2" t="n"/>
      <c r="AN1" s="102" t="n"/>
      <c r="AO1" s="102" t="n"/>
      <c r="AP1" s="102" t="n"/>
      <c r="AQ1" s="102" t="n"/>
      <c r="AR1" s="102" t="n"/>
      <c r="AS1" s="2" t="n"/>
      <c r="AT1" s="2" t="n"/>
      <c r="AU1" s="2" t="n"/>
      <c r="AV1" s="2" t="n"/>
    </row>
    <row r="2" ht="16" customFormat="1" customHeight="1" s="20">
      <c r="A2" s="88" t="inlineStr">
        <is>
          <t>Similié et al. 2025</t>
        </is>
      </c>
      <c r="B2" s="86" t="inlineStr">
        <is>
          <t>DL</t>
        </is>
      </c>
      <c r="C2" s="88" t="inlineStr">
        <is>
          <t>DL classifier</t>
        </is>
      </c>
      <c r="D2" s="88" t="inlineStr">
        <is>
          <t>trainedgrader</t>
        </is>
      </c>
      <c r="E2" s="88" t="inlineStr">
        <is>
          <t>original</t>
        </is>
      </c>
      <c r="F2" s="88" t="inlineStr">
        <is>
          <t>retrospective</t>
        </is>
      </c>
      <c r="G2" s="88" t="inlineStr">
        <is>
          <t>high</t>
        </is>
      </c>
      <c r="H2" s="88" t="inlineStr">
        <is>
          <t>tertiary</t>
        </is>
      </c>
      <c r="I2" s="88" t="inlineStr">
        <is>
          <t>no</t>
        </is>
      </c>
      <c r="J2" s="88" t="inlineStr">
        <is>
          <t>dr</t>
        </is>
      </c>
      <c r="K2" s="88" t="inlineStr">
        <is>
          <t>no</t>
        </is>
      </c>
      <c r="L2" s="88" t="inlineStr">
        <is>
          <t>no</t>
        </is>
      </c>
      <c r="M2" s="88" t="inlineStr">
        <is>
          <t>desktop</t>
        </is>
      </c>
      <c r="N2" s="88" t="inlineStr">
        <is>
          <t>topcon</t>
        </is>
      </c>
      <c r="O2" s="88" t="inlineStr">
        <is>
          <t>icdr</t>
        </is>
      </c>
      <c r="P2" s="86" t="inlineStr">
        <is>
          <t>retina specialist</t>
        </is>
      </c>
      <c r="Q2" s="88" t="inlineStr">
        <is>
          <t>no</t>
        </is>
      </c>
      <c r="R2" s="88" t="inlineStr">
        <is>
          <t>fundus</t>
        </is>
      </c>
      <c r="S2" s="88" t="inlineStr">
        <is>
          <t>&gt;2</t>
        </is>
      </c>
      <c r="T2" s="88" t="inlineStr">
        <is>
          <t>no</t>
        </is>
      </c>
      <c r="U2" s="88" t="inlineStr">
        <is>
          <t>no</t>
        </is>
      </c>
      <c r="V2" s="88" t="inlineStr">
        <is>
          <t>no</t>
        </is>
      </c>
      <c r="W2" s="88" t="inlineStr">
        <is>
          <t>inception family</t>
        </is>
      </c>
      <c r="X2" s="88" t="inlineStr">
        <is>
          <t>europe</t>
        </is>
      </c>
      <c r="Y2" s="88" t="inlineStr">
        <is>
          <t>high</t>
        </is>
      </c>
      <c r="Z2" s="88" t="inlineStr">
        <is>
          <t>high</t>
        </is>
      </c>
      <c r="AA2" s="88" t="inlineStr">
        <is>
          <t>excluded</t>
        </is>
      </c>
      <c r="AB2" s="86" t="inlineStr">
        <is>
          <t>High</t>
        </is>
      </c>
      <c r="AC2" s="86">
        <f>AE2+AF2</f>
        <v/>
      </c>
      <c r="AD2" s="104">
        <f>AE2/AC2</f>
        <v/>
      </c>
      <c r="AE2" s="104">
        <f>AI2+AJ2</f>
        <v/>
      </c>
      <c r="AF2" s="104">
        <f>AL2+AK2</f>
        <v/>
      </c>
      <c r="AG2" s="104">
        <f>AI2/(AI2+AJ2)</f>
        <v/>
      </c>
      <c r="AH2" s="104">
        <f>AK2/(AK2+AL2)</f>
        <v/>
      </c>
      <c r="AI2" s="88" t="n">
        <v>316</v>
      </c>
      <c r="AJ2" s="88" t="n">
        <v>87</v>
      </c>
      <c r="AK2" s="88" t="n">
        <v>79</v>
      </c>
      <c r="AL2" s="88" t="n">
        <v>18</v>
      </c>
      <c r="AN2" s="102" t="n"/>
      <c r="AO2" s="102" t="n"/>
      <c r="AP2" s="102" t="n"/>
      <c r="AQ2" s="102" t="n"/>
      <c r="AR2" s="102" t="n"/>
      <c r="AS2" s="2" t="n"/>
      <c r="AT2" s="2" t="n"/>
      <c r="AU2" s="2" t="n"/>
      <c r="AV2" s="2" t="n"/>
    </row>
    <row r="3" ht="16" customFormat="1" customHeight="1" s="20">
      <c r="A3" s="88" t="inlineStr">
        <is>
          <t>Zhao et al. 2025</t>
        </is>
      </c>
      <c r="B3" s="86" t="inlineStr">
        <is>
          <t>DL</t>
        </is>
      </c>
      <c r="C3" s="88" t="inlineStr">
        <is>
          <t xml:space="preserve">WARM model </t>
        </is>
      </c>
      <c r="D3" s="88" t="inlineStr">
        <is>
          <t>ophthalmologist</t>
        </is>
      </c>
      <c r="E3" s="88" t="inlineStr">
        <is>
          <t>original</t>
        </is>
      </c>
      <c r="F3" s="88" t="inlineStr">
        <is>
          <t>retrospective</t>
        </is>
      </c>
      <c r="G3" s="88" t="inlineStr">
        <is>
          <t>middle</t>
        </is>
      </c>
      <c r="H3" s="88" t="inlineStr">
        <is>
          <t>tertiary</t>
        </is>
      </c>
      <c r="I3" s="88" t="inlineStr">
        <is>
          <t>no</t>
        </is>
      </c>
      <c r="J3" s="88" t="inlineStr">
        <is>
          <t>vtdr</t>
        </is>
      </c>
      <c r="K3" s="88" t="inlineStr">
        <is>
          <t>yes</t>
        </is>
      </c>
      <c r="L3" s="88" t="inlineStr">
        <is>
          <t>no</t>
        </is>
      </c>
      <c r="M3" s="88" t="inlineStr">
        <is>
          <t>desktop</t>
        </is>
      </c>
      <c r="N3" s="88" t="inlineStr">
        <is>
          <t>optos</t>
        </is>
      </c>
      <c r="O3" s="88" t="inlineStr">
        <is>
          <t>icdr</t>
        </is>
      </c>
      <c r="P3" s="86" t="inlineStr">
        <is>
          <t>ophthalmologist</t>
        </is>
      </c>
      <c r="Q3" s="88" t="inlineStr">
        <is>
          <t>yes</t>
        </is>
      </c>
      <c r="R3" s="86" t="inlineStr">
        <is>
          <t>with advanced image</t>
        </is>
      </c>
      <c r="S3" s="88" t="n">
        <v>1</v>
      </c>
      <c r="T3" s="88" t="inlineStr">
        <is>
          <t>yes</t>
        </is>
      </c>
      <c r="U3" s="88" t="inlineStr">
        <is>
          <t>no</t>
        </is>
      </c>
      <c r="V3" s="88" t="inlineStr">
        <is>
          <t>no</t>
        </is>
      </c>
      <c r="W3" s="88" t="inlineStr">
        <is>
          <t>transformer family</t>
        </is>
      </c>
      <c r="X3" s="88" t="inlineStr">
        <is>
          <t>asia</t>
        </is>
      </c>
      <c r="Y3" s="88" t="inlineStr">
        <is>
          <t>high</t>
        </is>
      </c>
      <c r="Z3" s="88" t="inlineStr">
        <is>
          <t>high</t>
        </is>
      </c>
      <c r="AA3" s="88" t="inlineStr">
        <is>
          <t>excluded</t>
        </is>
      </c>
      <c r="AB3" s="86" t="inlineStr">
        <is>
          <t>Low</t>
        </is>
      </c>
      <c r="AC3" s="86">
        <f>AE3+AF3</f>
        <v/>
      </c>
      <c r="AD3" s="104">
        <f>AE3/AC3</f>
        <v/>
      </c>
      <c r="AE3" s="104">
        <f>AI3+AJ3</f>
        <v/>
      </c>
      <c r="AF3" s="104">
        <f>AL3+AK3</f>
        <v/>
      </c>
      <c r="AG3" s="104">
        <f>AI3/(AI3+AJ3)</f>
        <v/>
      </c>
      <c r="AH3" s="104">
        <f>AK3/(AK3+AL3)</f>
        <v/>
      </c>
      <c r="AI3" s="88" t="n">
        <v>603</v>
      </c>
      <c r="AJ3" s="88" t="n">
        <v>28</v>
      </c>
      <c r="AK3" s="88" t="n">
        <v>7865</v>
      </c>
      <c r="AL3" s="88" t="n">
        <v>312</v>
      </c>
      <c r="AN3" s="102" t="n"/>
      <c r="AO3" s="102" t="n"/>
      <c r="AP3" s="102" t="n"/>
      <c r="AQ3" s="102" t="n"/>
      <c r="AR3" s="102" t="n"/>
      <c r="AS3" s="2" t="n"/>
      <c r="AT3" s="2" t="n"/>
      <c r="AU3" s="2" t="n"/>
      <c r="AV3" s="2" t="n"/>
    </row>
    <row r="4" ht="16" customHeight="1" s="55">
      <c r="A4" s="88" t="inlineStr">
        <is>
          <t>Chia et al. 2024</t>
        </is>
      </c>
      <c r="B4" s="86" t="inlineStr">
        <is>
          <t>DL</t>
        </is>
      </c>
      <c r="C4" s="86" t="inlineStr">
        <is>
          <t>ARDA</t>
        </is>
      </c>
      <c r="D4" s="86" t="inlineStr">
        <is>
          <t>retinaspecialist</t>
        </is>
      </c>
      <c r="E4" s="86" t="inlineStr">
        <is>
          <t>original</t>
        </is>
      </c>
      <c r="F4" s="86" t="inlineStr">
        <is>
          <t>retrospective</t>
        </is>
      </c>
      <c r="G4" s="86" t="inlineStr">
        <is>
          <t>high</t>
        </is>
      </c>
      <c r="H4" s="86" t="inlineStr">
        <is>
          <t>primary</t>
        </is>
      </c>
      <c r="I4" s="86" t="inlineStr">
        <is>
          <t>yes</t>
        </is>
      </c>
      <c r="J4" s="86" t="inlineStr">
        <is>
          <t>rdr</t>
        </is>
      </c>
      <c r="K4" s="86" t="inlineStr">
        <is>
          <t>no</t>
        </is>
      </c>
      <c r="L4" s="86" t="inlineStr">
        <is>
          <t>no</t>
        </is>
      </c>
      <c r="M4" s="86" t="inlineStr">
        <is>
          <t>desktop</t>
        </is>
      </c>
      <c r="N4" s="86" t="inlineStr">
        <is>
          <t>topcon</t>
        </is>
      </c>
      <c r="O4" s="86" t="inlineStr">
        <is>
          <t>icdr</t>
        </is>
      </c>
      <c r="P4" s="86" t="inlineStr">
        <is>
          <t>retina specialist</t>
        </is>
      </c>
      <c r="Q4" s="86" t="inlineStr">
        <is>
          <t>yes</t>
        </is>
      </c>
      <c r="R4" s="86" t="inlineStr">
        <is>
          <t>fundus</t>
        </is>
      </c>
      <c r="S4" s="32" t="inlineStr">
        <is>
          <t>1</t>
        </is>
      </c>
      <c r="T4" s="86" t="inlineStr">
        <is>
          <t>yes</t>
        </is>
      </c>
      <c r="U4" s="86" t="inlineStr">
        <is>
          <t>yes</t>
        </is>
      </c>
      <c r="V4" s="86" t="inlineStr">
        <is>
          <t>yes</t>
        </is>
      </c>
      <c r="W4" s="86" t="inlineStr">
        <is>
          <t>inception family</t>
        </is>
      </c>
      <c r="X4" s="86" t="inlineStr">
        <is>
          <t>asia</t>
        </is>
      </c>
      <c r="Y4" s="86" t="inlineStr">
        <is>
          <t>low</t>
        </is>
      </c>
      <c r="Z4" s="86" t="inlineStr">
        <is>
          <t>low</t>
        </is>
      </c>
      <c r="AA4" s="86" t="inlineStr">
        <is>
          <t>excluded</t>
        </is>
      </c>
      <c r="AB4" s="86" t="inlineStr">
        <is>
          <t>middle</t>
        </is>
      </c>
      <c r="AC4" s="86" t="n">
        <v>1483</v>
      </c>
      <c r="AD4" s="104" t="n">
        <v>0.2380310182063385</v>
      </c>
      <c r="AE4" s="104" t="n">
        <v>353</v>
      </c>
      <c r="AF4" s="104" t="n">
        <v>1130</v>
      </c>
      <c r="AG4" s="104" t="n">
        <v>0.9801699716713881</v>
      </c>
      <c r="AH4" s="104" t="n">
        <v>0.9513274336283186</v>
      </c>
      <c r="AI4" s="86" t="n">
        <v>346</v>
      </c>
      <c r="AJ4" s="86" t="n">
        <v>7</v>
      </c>
      <c r="AK4" s="86" t="n">
        <v>1075</v>
      </c>
      <c r="AL4" s="86" t="n">
        <v>55</v>
      </c>
      <c r="AM4" s="1" t="n"/>
      <c r="AN4" s="107" t="n"/>
      <c r="AO4" s="107" t="n"/>
      <c r="AP4" s="107" t="n"/>
      <c r="AQ4" s="107" t="n"/>
      <c r="AR4" s="107" t="n"/>
    </row>
    <row r="5" ht="16" customHeight="1" s="55">
      <c r="A5" s="88" t="inlineStr">
        <is>
          <t>Chia et al. 2024</t>
        </is>
      </c>
      <c r="B5" s="86" t="inlineStr">
        <is>
          <t>DL</t>
        </is>
      </c>
      <c r="C5" s="86" t="inlineStr">
        <is>
          <t>ARDA</t>
        </is>
      </c>
      <c r="D5" s="86" t="inlineStr">
        <is>
          <t>retinaspecialist</t>
        </is>
      </c>
      <c r="E5" s="86" t="inlineStr">
        <is>
          <t>original</t>
        </is>
      </c>
      <c r="F5" s="86" t="inlineStr">
        <is>
          <t>retrospective</t>
        </is>
      </c>
      <c r="G5" s="86" t="inlineStr">
        <is>
          <t>high</t>
        </is>
      </c>
      <c r="H5" s="86" t="inlineStr">
        <is>
          <t>primary</t>
        </is>
      </c>
      <c r="I5" s="86" t="inlineStr">
        <is>
          <t>yes</t>
        </is>
      </c>
      <c r="J5" s="86" t="inlineStr">
        <is>
          <t>rdr</t>
        </is>
      </c>
      <c r="K5" s="86" t="inlineStr">
        <is>
          <t>no</t>
        </is>
      </c>
      <c r="L5" s="86" t="inlineStr">
        <is>
          <t>no</t>
        </is>
      </c>
      <c r="M5" s="86" t="inlineStr">
        <is>
          <t>desktop</t>
        </is>
      </c>
      <c r="N5" s="86" t="inlineStr">
        <is>
          <t>topcon</t>
        </is>
      </c>
      <c r="O5" s="86" t="inlineStr">
        <is>
          <t>icdr</t>
        </is>
      </c>
      <c r="P5" s="86" t="inlineStr">
        <is>
          <t>retina specialist</t>
        </is>
      </c>
      <c r="Q5" s="86" t="inlineStr">
        <is>
          <t>yes</t>
        </is>
      </c>
      <c r="R5" s="86" t="inlineStr">
        <is>
          <t>fundus</t>
        </is>
      </c>
      <c r="S5" s="32" t="inlineStr">
        <is>
          <t>1</t>
        </is>
      </c>
      <c r="T5" s="86" t="inlineStr">
        <is>
          <t>yes</t>
        </is>
      </c>
      <c r="U5" s="86" t="inlineStr">
        <is>
          <t>yes</t>
        </is>
      </c>
      <c r="V5" s="86" t="inlineStr">
        <is>
          <t>yes</t>
        </is>
      </c>
      <c r="W5" s="86" t="inlineStr">
        <is>
          <t>inception family</t>
        </is>
      </c>
      <c r="X5" s="86" t="inlineStr">
        <is>
          <t>asia</t>
        </is>
      </c>
      <c r="Y5" s="86" t="inlineStr">
        <is>
          <t>low</t>
        </is>
      </c>
      <c r="Z5" s="86" t="inlineStr">
        <is>
          <t>low</t>
        </is>
      </c>
      <c r="AA5" s="86" t="inlineStr">
        <is>
          <t>positive</t>
        </is>
      </c>
      <c r="AB5" s="86" t="inlineStr">
        <is>
          <t>high</t>
        </is>
      </c>
      <c r="AC5" s="86" t="n">
        <v>1682</v>
      </c>
      <c r="AD5" s="104" t="n">
        <v>0.3281807372175981</v>
      </c>
      <c r="AE5" s="104" t="n">
        <v>552</v>
      </c>
      <c r="AF5" s="104" t="n">
        <v>1130</v>
      </c>
      <c r="AG5" s="104" t="n">
        <v>0.9365942028985508</v>
      </c>
      <c r="AH5" s="104" t="n">
        <v>0.9168141592920354</v>
      </c>
      <c r="AI5" s="86" t="n">
        <v>517</v>
      </c>
      <c r="AJ5" s="86" t="n">
        <v>35</v>
      </c>
      <c r="AK5" s="86" t="n">
        <v>1036</v>
      </c>
      <c r="AL5" s="86" t="n">
        <v>94</v>
      </c>
      <c r="AM5" s="1" t="n"/>
      <c r="AN5" s="107" t="n"/>
      <c r="AO5" s="107" t="n"/>
      <c r="AP5" s="107" t="n"/>
      <c r="AQ5" s="107" t="n"/>
      <c r="AR5" s="107" t="n"/>
    </row>
    <row r="6" ht="16" customHeight="1" s="55">
      <c r="A6" s="88" t="inlineStr">
        <is>
          <t>Chia et al. 2024</t>
        </is>
      </c>
      <c r="B6" s="86" t="inlineStr">
        <is>
          <t>DL</t>
        </is>
      </c>
      <c r="C6" s="86" t="inlineStr">
        <is>
          <t>ARDA</t>
        </is>
      </c>
      <c r="D6" s="86" t="inlineStr">
        <is>
          <t>retinaspecialist</t>
        </is>
      </c>
      <c r="E6" s="86" t="inlineStr">
        <is>
          <t>original</t>
        </is>
      </c>
      <c r="F6" s="86" t="inlineStr">
        <is>
          <t>retrospective</t>
        </is>
      </c>
      <c r="G6" s="86" t="inlineStr">
        <is>
          <t>high</t>
        </is>
      </c>
      <c r="H6" s="86" t="inlineStr">
        <is>
          <t>primary</t>
        </is>
      </c>
      <c r="I6" s="86" t="inlineStr">
        <is>
          <t>yes</t>
        </is>
      </c>
      <c r="J6" s="86" t="inlineStr">
        <is>
          <t>vtdr</t>
        </is>
      </c>
      <c r="K6" s="86" t="inlineStr">
        <is>
          <t>no</t>
        </is>
      </c>
      <c r="L6" s="86" t="inlineStr">
        <is>
          <t>no</t>
        </is>
      </c>
      <c r="M6" s="86" t="inlineStr">
        <is>
          <t>desktop</t>
        </is>
      </c>
      <c r="N6" s="86" t="inlineStr">
        <is>
          <t>topcon</t>
        </is>
      </c>
      <c r="O6" s="86" t="inlineStr">
        <is>
          <t>icdr</t>
        </is>
      </c>
      <c r="P6" s="86" t="inlineStr">
        <is>
          <t>retina specialist</t>
        </is>
      </c>
      <c r="Q6" s="86" t="inlineStr">
        <is>
          <t>yes</t>
        </is>
      </c>
      <c r="R6" s="86" t="inlineStr">
        <is>
          <t>fundus</t>
        </is>
      </c>
      <c r="S6" s="32" t="inlineStr">
        <is>
          <t>1</t>
        </is>
      </c>
      <c r="T6" s="86" t="inlineStr">
        <is>
          <t>yes</t>
        </is>
      </c>
      <c r="U6" s="86" t="inlineStr">
        <is>
          <t>yes</t>
        </is>
      </c>
      <c r="V6" s="86" t="inlineStr">
        <is>
          <t>yes</t>
        </is>
      </c>
      <c r="W6" s="86" t="inlineStr">
        <is>
          <t>inception family</t>
        </is>
      </c>
      <c r="X6" s="86" t="inlineStr">
        <is>
          <t>asia</t>
        </is>
      </c>
      <c r="Y6" s="86" t="inlineStr">
        <is>
          <t>low</t>
        </is>
      </c>
      <c r="Z6" s="86" t="inlineStr">
        <is>
          <t>low</t>
        </is>
      </c>
      <c r="AA6" s="86" t="inlineStr">
        <is>
          <t>excluded</t>
        </is>
      </c>
      <c r="AB6" s="86" t="inlineStr">
        <is>
          <t>middle</t>
        </is>
      </c>
      <c r="AC6" s="86" t="n">
        <v>1483</v>
      </c>
      <c r="AD6" s="104" t="n">
        <v>0.2380310182063385</v>
      </c>
      <c r="AE6" s="104" t="n">
        <v>353</v>
      </c>
      <c r="AF6" s="104" t="n">
        <v>1130</v>
      </c>
      <c r="AG6" s="104" t="n">
        <v>0.9631728045325779</v>
      </c>
      <c r="AH6" s="104" t="n">
        <v>0.9584070796460177</v>
      </c>
      <c r="AI6" s="86" t="n">
        <v>340</v>
      </c>
      <c r="AJ6" s="86" t="n">
        <v>13</v>
      </c>
      <c r="AK6" s="86" t="n">
        <v>1083</v>
      </c>
      <c r="AL6" s="86" t="n">
        <v>47</v>
      </c>
      <c r="AM6" s="1" t="n"/>
      <c r="AN6" s="107" t="n"/>
      <c r="AO6" s="107" t="n"/>
      <c r="AP6" s="107" t="n"/>
      <c r="AQ6" s="107" t="n"/>
      <c r="AR6" s="107" t="n"/>
    </row>
    <row r="7" ht="16" customHeight="1" s="55">
      <c r="A7" s="88" t="inlineStr">
        <is>
          <t>Hu et al. 2024</t>
        </is>
      </c>
      <c r="B7" s="86" t="inlineStr">
        <is>
          <t>DL</t>
        </is>
      </c>
      <c r="C7" s="86" t="inlineStr">
        <is>
          <t>AutoEye</t>
        </is>
      </c>
      <c r="D7" s="86" t="inlineStr">
        <is>
          <t>ophthalmologist</t>
        </is>
      </c>
      <c r="E7" s="86" t="inlineStr">
        <is>
          <t>original</t>
        </is>
      </c>
      <c r="F7" s="86" t="inlineStr">
        <is>
          <t>prospective</t>
        </is>
      </c>
      <c r="G7" s="86" t="inlineStr">
        <is>
          <t>middle</t>
        </is>
      </c>
      <c r="H7" s="86" t="inlineStr">
        <is>
          <t>tertiary</t>
        </is>
      </c>
      <c r="I7" s="86" t="inlineStr">
        <is>
          <t>no</t>
        </is>
      </c>
      <c r="J7" s="86" t="inlineStr">
        <is>
          <t>dr</t>
        </is>
      </c>
      <c r="K7" s="86" t="inlineStr">
        <is>
          <t>no</t>
        </is>
      </c>
      <c r="L7" s="86" t="inlineStr">
        <is>
          <t>no</t>
        </is>
      </c>
      <c r="M7" s="86" t="inlineStr">
        <is>
          <t>desktop</t>
        </is>
      </c>
      <c r="N7" s="86" t="inlineStr">
        <is>
          <t>topcon</t>
        </is>
      </c>
      <c r="O7" s="86" t="inlineStr">
        <is>
          <t>icdr</t>
        </is>
      </c>
      <c r="P7" s="86" t="inlineStr">
        <is>
          <t>other</t>
        </is>
      </c>
      <c r="Q7" s="86" t="inlineStr">
        <is>
          <t>no</t>
        </is>
      </c>
      <c r="R7" s="86" t="inlineStr">
        <is>
          <t>with advanced image</t>
        </is>
      </c>
      <c r="S7" s="32" t="inlineStr">
        <is>
          <t>1</t>
        </is>
      </c>
      <c r="T7" s="86" t="inlineStr">
        <is>
          <t>no</t>
        </is>
      </c>
      <c r="U7" s="86" t="inlineStr">
        <is>
          <t>no</t>
        </is>
      </c>
      <c r="V7" s="86" t="inlineStr">
        <is>
          <t>no</t>
        </is>
      </c>
      <c r="W7" s="86" t="inlineStr">
        <is>
          <t>cnn</t>
        </is>
      </c>
      <c r="X7" s="86" t="inlineStr">
        <is>
          <t>asia</t>
        </is>
      </c>
      <c r="Y7" s="86" t="inlineStr">
        <is>
          <t>high</t>
        </is>
      </c>
      <c r="Z7" s="86" t="inlineStr">
        <is>
          <t>high</t>
        </is>
      </c>
      <c r="AA7" s="86" t="inlineStr">
        <is>
          <t>excluded</t>
        </is>
      </c>
      <c r="AB7" s="86" t="inlineStr">
        <is>
          <t>high</t>
        </is>
      </c>
      <c r="AC7" s="86" t="n">
        <v>234</v>
      </c>
      <c r="AD7" s="104" t="n">
        <v>0.6837606837606838</v>
      </c>
      <c r="AE7" s="104" t="n">
        <v>160</v>
      </c>
      <c r="AF7" s="104" t="n">
        <v>74</v>
      </c>
      <c r="AG7" s="104" t="n">
        <v>0.975</v>
      </c>
      <c r="AH7" s="104" t="n">
        <v>0.972972972972973</v>
      </c>
      <c r="AI7" s="86" t="n">
        <v>156</v>
      </c>
      <c r="AJ7" s="86" t="n">
        <v>4</v>
      </c>
      <c r="AK7" s="86" t="n">
        <v>72</v>
      </c>
      <c r="AL7" s="86" t="n">
        <v>2</v>
      </c>
      <c r="AM7" s="1" t="n"/>
      <c r="AN7" s="107" t="n"/>
      <c r="AO7" s="107" t="n"/>
      <c r="AP7" s="107" t="n"/>
      <c r="AQ7" s="107" t="n"/>
      <c r="AR7" s="107" t="n"/>
    </row>
    <row r="8" ht="16" customHeight="1" s="55">
      <c r="A8" s="88" t="inlineStr">
        <is>
          <t>Li et al. 2024</t>
        </is>
      </c>
      <c r="B8" s="86" t="inlineStr">
        <is>
          <t>DL</t>
        </is>
      </c>
      <c r="C8" s="86" t="inlineStr">
        <is>
          <t>DLS</t>
        </is>
      </c>
      <c r="D8" s="86" t="inlineStr">
        <is>
          <t>ophthalmologist</t>
        </is>
      </c>
      <c r="E8" s="86" t="inlineStr">
        <is>
          <t>original</t>
        </is>
      </c>
      <c r="F8" s="86" t="inlineStr">
        <is>
          <t>prospective</t>
        </is>
      </c>
      <c r="G8" s="86" t="inlineStr">
        <is>
          <t>middle</t>
        </is>
      </c>
      <c r="H8" s="86" t="inlineStr">
        <is>
          <t>tertiary</t>
        </is>
      </c>
      <c r="I8" s="86" t="inlineStr">
        <is>
          <t>no</t>
        </is>
      </c>
      <c r="J8" s="86" t="inlineStr">
        <is>
          <t>rdr</t>
        </is>
      </c>
      <c r="K8" s="86" t="inlineStr">
        <is>
          <t>yes</t>
        </is>
      </c>
      <c r="L8" s="86" t="inlineStr">
        <is>
          <t>mixed</t>
        </is>
      </c>
      <c r="M8" s="86" t="inlineStr">
        <is>
          <t>desktop</t>
        </is>
      </c>
      <c r="N8" s="86" t="inlineStr">
        <is>
          <t>mixed</t>
        </is>
      </c>
      <c r="O8" s="86" t="inlineStr">
        <is>
          <t>icdr</t>
        </is>
      </c>
      <c r="P8" s="86" t="inlineStr">
        <is>
          <t>retina specialist</t>
        </is>
      </c>
      <c r="Q8" s="86" t="inlineStr">
        <is>
          <t>yes</t>
        </is>
      </c>
      <c r="R8" s="86" t="inlineStr">
        <is>
          <t>fundus</t>
        </is>
      </c>
      <c r="S8" s="32" t="inlineStr">
        <is>
          <t>1</t>
        </is>
      </c>
      <c r="T8" s="86" t="inlineStr">
        <is>
          <t>yes</t>
        </is>
      </c>
      <c r="U8" s="86" t="inlineStr">
        <is>
          <t>no</t>
        </is>
      </c>
      <c r="V8" s="86" t="inlineStr">
        <is>
          <t>no</t>
        </is>
      </c>
      <c r="W8" s="86" t="inlineStr">
        <is>
          <t>resnet family</t>
        </is>
      </c>
      <c r="X8" s="86" t="inlineStr">
        <is>
          <t>asia</t>
        </is>
      </c>
      <c r="Y8" s="86" t="inlineStr">
        <is>
          <t>high</t>
        </is>
      </c>
      <c r="Z8" s="86" t="inlineStr">
        <is>
          <t>high</t>
        </is>
      </c>
      <c r="AA8" s="86" t="inlineStr">
        <is>
          <t>excluded</t>
        </is>
      </c>
      <c r="AB8" s="86" t="inlineStr">
        <is>
          <t>middle</t>
        </is>
      </c>
      <c r="AC8" s="86" t="n">
        <v>1493</v>
      </c>
      <c r="AD8" s="104" t="n">
        <v>0.1105157401205626</v>
      </c>
      <c r="AE8" s="104" t="n">
        <v>165</v>
      </c>
      <c r="AF8" s="104" t="n">
        <v>1328</v>
      </c>
      <c r="AG8" s="104" t="n">
        <v>0.9636363636363636</v>
      </c>
      <c r="AH8" s="104" t="n">
        <v>0.8832831325301205</v>
      </c>
      <c r="AI8" s="86" t="n">
        <v>159</v>
      </c>
      <c r="AJ8" s="86" t="n">
        <v>6</v>
      </c>
      <c r="AK8" s="86" t="n">
        <v>1173</v>
      </c>
      <c r="AL8" s="86" t="n">
        <v>155</v>
      </c>
      <c r="AM8" s="1" t="n"/>
      <c r="AN8" s="107" t="n"/>
      <c r="AO8" s="107" t="n"/>
      <c r="AP8" s="107" t="n"/>
      <c r="AQ8" s="107" t="n"/>
      <c r="AR8" s="107" t="n"/>
    </row>
    <row r="9" ht="16" customHeight="1" s="55">
      <c r="A9" s="28" t="inlineStr">
        <is>
          <t>Núñez do Rio et al. 2023</t>
        </is>
      </c>
      <c r="B9" s="86" t="inlineStr">
        <is>
          <t>DL</t>
        </is>
      </c>
      <c r="C9" s="86" t="inlineStr">
        <is>
          <t>SMART-India DLS</t>
        </is>
      </c>
      <c r="D9" s="86" t="inlineStr">
        <is>
          <t>trainedgrader</t>
        </is>
      </c>
      <c r="E9" s="86" t="inlineStr">
        <is>
          <t>original</t>
        </is>
      </c>
      <c r="F9" s="86" t="inlineStr">
        <is>
          <t>prospective</t>
        </is>
      </c>
      <c r="G9" s="86" t="inlineStr">
        <is>
          <t>middle</t>
        </is>
      </c>
      <c r="H9" s="86" t="inlineStr">
        <is>
          <t>primary</t>
        </is>
      </c>
      <c r="I9" s="86" t="inlineStr">
        <is>
          <t>no</t>
        </is>
      </c>
      <c r="J9" s="86" t="inlineStr">
        <is>
          <t>rdr</t>
        </is>
      </c>
      <c r="K9" s="86" t="inlineStr">
        <is>
          <t>no</t>
        </is>
      </c>
      <c r="L9" s="86" t="inlineStr">
        <is>
          <t>no</t>
        </is>
      </c>
      <c r="M9" s="86" t="inlineStr">
        <is>
          <t>portable</t>
        </is>
      </c>
      <c r="N9" s="86" t="inlineStr">
        <is>
          <t>zeiss</t>
        </is>
      </c>
      <c r="O9" s="86" t="inlineStr">
        <is>
          <t>icdr</t>
        </is>
      </c>
      <c r="P9" s="86" t="inlineStr">
        <is>
          <t>retina specialist</t>
        </is>
      </c>
      <c r="Q9" s="86" t="inlineStr">
        <is>
          <t>no</t>
        </is>
      </c>
      <c r="R9" s="86" t="inlineStr">
        <is>
          <t>fundus</t>
        </is>
      </c>
      <c r="S9" s="32" t="inlineStr">
        <is>
          <t>2</t>
        </is>
      </c>
      <c r="T9" s="86" t="inlineStr">
        <is>
          <t>no</t>
        </is>
      </c>
      <c r="U9" s="86" t="inlineStr">
        <is>
          <t>no</t>
        </is>
      </c>
      <c r="V9" s="86" t="inlineStr">
        <is>
          <t>no</t>
        </is>
      </c>
      <c r="W9" s="86" t="inlineStr">
        <is>
          <t>resnet family</t>
        </is>
      </c>
      <c r="X9" s="86" t="inlineStr">
        <is>
          <t>asia</t>
        </is>
      </c>
      <c r="Y9" s="86" t="inlineStr">
        <is>
          <t>high</t>
        </is>
      </c>
      <c r="Z9" s="86" t="inlineStr">
        <is>
          <t>high</t>
        </is>
      </c>
      <c r="AA9" s="86" t="inlineStr">
        <is>
          <t>excluded</t>
        </is>
      </c>
      <c r="AB9" s="86" t="inlineStr">
        <is>
          <t>middle</t>
        </is>
      </c>
      <c r="AC9" s="86" t="n">
        <v>16247</v>
      </c>
      <c r="AD9" s="104" t="n">
        <v>0.2300732442912538</v>
      </c>
      <c r="AE9" s="104" t="n">
        <v>3738</v>
      </c>
      <c r="AF9" s="104" t="n">
        <v>12509</v>
      </c>
      <c r="AG9" s="104" t="n">
        <v>0.8386837881219904</v>
      </c>
      <c r="AH9" s="104" t="n">
        <v>0.9600287792789192</v>
      </c>
      <c r="AI9" s="86" t="n">
        <v>3135</v>
      </c>
      <c r="AJ9" s="86" t="n">
        <v>603</v>
      </c>
      <c r="AK9" s="86" t="n">
        <v>12009</v>
      </c>
      <c r="AL9" s="86" t="n">
        <v>500</v>
      </c>
      <c r="AM9" s="1" t="n"/>
      <c r="AN9" s="107" t="n"/>
      <c r="AO9" s="107" t="n"/>
      <c r="AP9" s="107" t="n"/>
      <c r="AQ9" s="107" t="n"/>
      <c r="AR9" s="107" t="n"/>
    </row>
    <row r="10" ht="16" customHeight="1" s="55">
      <c r="A10" s="88" t="inlineStr">
        <is>
          <t>Ruamviboonsuk et al. 2022</t>
        </is>
      </c>
      <c r="B10" s="86" t="inlineStr">
        <is>
          <t>DL</t>
        </is>
      </c>
      <c r="C10" s="86" t="inlineStr">
        <is>
          <t>ARDA</t>
        </is>
      </c>
      <c r="D10" s="86" t="inlineStr">
        <is>
          <t>retinaspecialist</t>
        </is>
      </c>
      <c r="E10" s="86" t="inlineStr">
        <is>
          <t>original</t>
        </is>
      </c>
      <c r="F10" s="86" t="inlineStr">
        <is>
          <t>prospective</t>
        </is>
      </c>
      <c r="G10" s="86" t="inlineStr">
        <is>
          <t>middle</t>
        </is>
      </c>
      <c r="H10" s="86" t="inlineStr">
        <is>
          <t>primary</t>
        </is>
      </c>
      <c r="I10" s="86" t="inlineStr">
        <is>
          <t>yes</t>
        </is>
      </c>
      <c r="J10" s="86" t="inlineStr">
        <is>
          <t>vtdr</t>
        </is>
      </c>
      <c r="K10" s="86" t="inlineStr">
        <is>
          <t>no</t>
        </is>
      </c>
      <c r="L10" s="86" t="inlineStr">
        <is>
          <t>no</t>
        </is>
      </c>
      <c r="M10" s="86" t="inlineStr">
        <is>
          <t>desktop</t>
        </is>
      </c>
      <c r="N10" s="86" t="inlineStr">
        <is>
          <t>mixed</t>
        </is>
      </c>
      <c r="O10" s="86" t="inlineStr">
        <is>
          <t>icdr</t>
        </is>
      </c>
      <c r="P10" s="86" t="inlineStr">
        <is>
          <t>retina specialist</t>
        </is>
      </c>
      <c r="Q10" s="86" t="inlineStr">
        <is>
          <t>yes</t>
        </is>
      </c>
      <c r="R10" s="86" t="inlineStr">
        <is>
          <t>fundus</t>
        </is>
      </c>
      <c r="S10" s="32" t="inlineStr">
        <is>
          <t>1</t>
        </is>
      </c>
      <c r="T10" s="86" t="inlineStr">
        <is>
          <t>yes</t>
        </is>
      </c>
      <c r="U10" s="86" t="inlineStr">
        <is>
          <t>yes</t>
        </is>
      </c>
      <c r="V10" s="86" t="inlineStr">
        <is>
          <t>yes</t>
        </is>
      </c>
      <c r="W10" s="86" t="inlineStr">
        <is>
          <t>inception family</t>
        </is>
      </c>
      <c r="X10" s="86" t="inlineStr">
        <is>
          <t>asia</t>
        </is>
      </c>
      <c r="Y10" s="86" t="inlineStr">
        <is>
          <t>high</t>
        </is>
      </c>
      <c r="Z10" s="86" t="inlineStr">
        <is>
          <t>low</t>
        </is>
      </c>
      <c r="AA10" s="86" t="inlineStr">
        <is>
          <t>positive</t>
        </is>
      </c>
      <c r="AB10" s="86" t="inlineStr">
        <is>
          <t>middle</t>
        </is>
      </c>
      <c r="AC10" s="86" t="n">
        <v>987</v>
      </c>
      <c r="AD10" s="104" t="n">
        <v>0.1661600810536981</v>
      </c>
      <c r="AE10" s="104" t="n">
        <v>164</v>
      </c>
      <c r="AF10" s="104" t="n">
        <v>823</v>
      </c>
      <c r="AG10" s="104" t="n">
        <v>0.9146341463414634</v>
      </c>
      <c r="AH10" s="104" t="n">
        <v>0.9635479951397327</v>
      </c>
      <c r="AI10" s="86" t="n">
        <v>150</v>
      </c>
      <c r="AJ10" s="86" t="n">
        <v>14</v>
      </c>
      <c r="AK10" s="86" t="n">
        <v>793</v>
      </c>
      <c r="AL10" s="86" t="n">
        <v>30</v>
      </c>
      <c r="AM10" s="1" t="n"/>
      <c r="AN10" s="107" t="n"/>
      <c r="AO10" s="107" t="n"/>
      <c r="AP10" s="107" t="n"/>
      <c r="AQ10" s="107" t="n"/>
      <c r="AR10" s="107" t="n"/>
    </row>
    <row r="11" ht="16" customHeight="1" s="55">
      <c r="A11" s="28" t="inlineStr">
        <is>
          <t>Zhang et al. 2022</t>
        </is>
      </c>
      <c r="B11" s="86" t="inlineStr">
        <is>
          <t>DL</t>
        </is>
      </c>
      <c r="C11" s="86" t="inlineStr">
        <is>
          <t>DGCN</t>
        </is>
      </c>
      <c r="D11" s="86" t="inlineStr">
        <is>
          <t>retinaspecialist</t>
        </is>
      </c>
      <c r="E11" s="86" t="inlineStr">
        <is>
          <t>original</t>
        </is>
      </c>
      <c r="F11" s="86" t="inlineStr">
        <is>
          <t>retrospective</t>
        </is>
      </c>
      <c r="G11" s="86" t="inlineStr">
        <is>
          <t>high</t>
        </is>
      </c>
      <c r="H11" s="86" t="inlineStr">
        <is>
          <t>public dataset</t>
        </is>
      </c>
      <c r="I11" s="86" t="inlineStr">
        <is>
          <t>no</t>
        </is>
      </c>
      <c r="J11" s="86" t="inlineStr">
        <is>
          <t>dr</t>
        </is>
      </c>
      <c r="K11" s="86" t="inlineStr">
        <is>
          <t>no</t>
        </is>
      </c>
      <c r="L11" s="86" t="inlineStr">
        <is>
          <t>mixed</t>
        </is>
      </c>
      <c r="M11" s="86" t="inlineStr">
        <is>
          <t>mixed</t>
        </is>
      </c>
      <c r="N11" s="86" t="inlineStr">
        <is>
          <t>mixed</t>
        </is>
      </c>
      <c r="O11" s="86" t="inlineStr">
        <is>
          <t>icdr</t>
        </is>
      </c>
      <c r="P11" s="86" t="inlineStr">
        <is>
          <t>ophthalmologist</t>
        </is>
      </c>
      <c r="Q11" s="86" t="inlineStr">
        <is>
          <t>yes</t>
        </is>
      </c>
      <c r="R11" s="86" t="inlineStr">
        <is>
          <t>fundus</t>
        </is>
      </c>
      <c r="S11" s="32" t="inlineStr">
        <is>
          <t>1</t>
        </is>
      </c>
      <c r="T11" s="86" t="inlineStr">
        <is>
          <t>no</t>
        </is>
      </c>
      <c r="U11" s="86" t="inlineStr">
        <is>
          <t>no</t>
        </is>
      </c>
      <c r="V11" s="86" t="inlineStr">
        <is>
          <t>no</t>
        </is>
      </c>
      <c r="W11" s="86" t="inlineStr">
        <is>
          <t>resnet family</t>
        </is>
      </c>
      <c r="X11" s="86" t="inlineStr">
        <is>
          <t>north america</t>
        </is>
      </c>
      <c r="Y11" s="86" t="inlineStr">
        <is>
          <t>high</t>
        </is>
      </c>
      <c r="Z11" s="86" t="inlineStr">
        <is>
          <t>high</t>
        </is>
      </c>
      <c r="AA11" s="86" t="inlineStr">
        <is>
          <t>excluded</t>
        </is>
      </c>
      <c r="AB11" s="86" t="inlineStr">
        <is>
          <t>high</t>
        </is>
      </c>
      <c r="AC11" s="86" t="n">
        <v>10286</v>
      </c>
      <c r="AD11" s="104" t="n">
        <v>0.7787283686564263</v>
      </c>
      <c r="AE11" s="104" t="n">
        <v>8010</v>
      </c>
      <c r="AF11" s="104" t="n">
        <v>2276</v>
      </c>
      <c r="AG11" s="104" t="n">
        <v>0.8820224719101124</v>
      </c>
      <c r="AH11" s="104" t="n">
        <v>0.9130052724077329</v>
      </c>
      <c r="AI11" s="86" t="n">
        <v>7065</v>
      </c>
      <c r="AJ11" s="86" t="n">
        <v>945</v>
      </c>
      <c r="AK11" s="86" t="n">
        <v>2078</v>
      </c>
      <c r="AL11" s="86" t="n">
        <v>198</v>
      </c>
      <c r="AM11" s="1" t="n"/>
      <c r="AN11" s="107" t="n"/>
      <c r="AO11" s="107" t="n"/>
      <c r="AP11" s="107" t="n"/>
      <c r="AQ11" s="107" t="n"/>
      <c r="AR11" s="107" t="n"/>
    </row>
    <row r="12" ht="16" customHeight="1" s="55">
      <c r="A12" s="28" t="inlineStr">
        <is>
          <t>Zhang et al. 2022</t>
        </is>
      </c>
      <c r="B12" s="86" t="inlineStr">
        <is>
          <t>DL</t>
        </is>
      </c>
      <c r="C12" s="86" t="inlineStr">
        <is>
          <t>DGCN</t>
        </is>
      </c>
      <c r="D12" s="86" t="inlineStr">
        <is>
          <t>trainedgrader</t>
        </is>
      </c>
      <c r="E12" s="86" t="inlineStr">
        <is>
          <t>original</t>
        </is>
      </c>
      <c r="F12" s="86" t="inlineStr">
        <is>
          <t>retrospective</t>
        </is>
      </c>
      <c r="G12" s="86" t="inlineStr">
        <is>
          <t>high</t>
        </is>
      </c>
      <c r="H12" s="86" t="inlineStr">
        <is>
          <t>public dataset</t>
        </is>
      </c>
      <c r="I12" s="86" t="inlineStr">
        <is>
          <t>no</t>
        </is>
      </c>
      <c r="J12" s="86" t="inlineStr">
        <is>
          <t>dr</t>
        </is>
      </c>
      <c r="K12" s="86" t="inlineStr">
        <is>
          <t>no</t>
        </is>
      </c>
      <c r="L12" s="86" t="inlineStr">
        <is>
          <t>mixed</t>
        </is>
      </c>
      <c r="M12" s="86" t="inlineStr">
        <is>
          <t>mixed</t>
        </is>
      </c>
      <c r="N12" s="86" t="inlineStr">
        <is>
          <t>mixed</t>
        </is>
      </c>
      <c r="O12" s="86" t="inlineStr">
        <is>
          <t>icdr</t>
        </is>
      </c>
      <c r="P12" s="86" t="inlineStr">
        <is>
          <t>ophthalmologist</t>
        </is>
      </c>
      <c r="Q12" s="86" t="inlineStr">
        <is>
          <t>yes</t>
        </is>
      </c>
      <c r="R12" s="86" t="inlineStr">
        <is>
          <t>fundus</t>
        </is>
      </c>
      <c r="S12" s="32" t="inlineStr">
        <is>
          <t>1</t>
        </is>
      </c>
      <c r="T12" s="86" t="inlineStr">
        <is>
          <t>no</t>
        </is>
      </c>
      <c r="U12" s="86" t="inlineStr">
        <is>
          <t>no</t>
        </is>
      </c>
      <c r="V12" s="86" t="inlineStr">
        <is>
          <t>no</t>
        </is>
      </c>
      <c r="W12" s="86" t="inlineStr">
        <is>
          <t>resnet family</t>
        </is>
      </c>
      <c r="X12" s="86" t="inlineStr">
        <is>
          <t>north america</t>
        </is>
      </c>
      <c r="Y12" s="86" t="inlineStr">
        <is>
          <t>high</t>
        </is>
      </c>
      <c r="Z12" s="86" t="inlineStr">
        <is>
          <t>high</t>
        </is>
      </c>
      <c r="AA12" s="86" t="inlineStr">
        <is>
          <t>excluded</t>
        </is>
      </c>
      <c r="AB12" s="86" t="inlineStr">
        <is>
          <t>high</t>
        </is>
      </c>
      <c r="AC12" s="86" t="n">
        <v>10286</v>
      </c>
      <c r="AD12" s="104" t="n">
        <v>0.7787283686564263</v>
      </c>
      <c r="AE12" s="104" t="n">
        <v>8010</v>
      </c>
      <c r="AF12" s="104" t="n">
        <v>2276</v>
      </c>
      <c r="AG12" s="104" t="n">
        <v>0.8820224719101124</v>
      </c>
      <c r="AH12" s="104" t="n">
        <v>0.9130052724077329</v>
      </c>
      <c r="AI12" s="86" t="n">
        <v>7065</v>
      </c>
      <c r="AJ12" s="86" t="n">
        <v>945</v>
      </c>
      <c r="AK12" s="86" t="n">
        <v>2078</v>
      </c>
      <c r="AL12" s="86" t="n">
        <v>198</v>
      </c>
      <c r="AM12" s="1" t="n"/>
      <c r="AN12" s="107" t="n"/>
      <c r="AO12" s="107" t="n"/>
      <c r="AP12" s="107" t="n"/>
      <c r="AQ12" s="107" t="n"/>
      <c r="AR12" s="107" t="n"/>
    </row>
    <row r="13" ht="16" customHeight="1" s="55">
      <c r="A13" s="28" t="inlineStr">
        <is>
          <t>Zhang et al. 2022</t>
        </is>
      </c>
      <c r="B13" s="86" t="inlineStr">
        <is>
          <t>DL</t>
        </is>
      </c>
      <c r="C13" s="86" t="inlineStr">
        <is>
          <t>DGCN</t>
        </is>
      </c>
      <c r="D13" s="86" t="inlineStr">
        <is>
          <t>retinaspecialist</t>
        </is>
      </c>
      <c r="E13" s="86" t="inlineStr">
        <is>
          <t>original</t>
        </is>
      </c>
      <c r="F13" s="86" t="inlineStr">
        <is>
          <t>retrospective</t>
        </is>
      </c>
      <c r="G13" s="86" t="inlineStr">
        <is>
          <t>high</t>
        </is>
      </c>
      <c r="H13" s="86" t="inlineStr">
        <is>
          <t>public dataset</t>
        </is>
      </c>
      <c r="I13" s="86" t="inlineStr">
        <is>
          <t>no</t>
        </is>
      </c>
      <c r="J13" s="86" t="inlineStr">
        <is>
          <t>rdr</t>
        </is>
      </c>
      <c r="K13" s="86" t="inlineStr">
        <is>
          <t>no</t>
        </is>
      </c>
      <c r="L13" s="86" t="inlineStr">
        <is>
          <t>mixed</t>
        </is>
      </c>
      <c r="M13" s="86" t="inlineStr">
        <is>
          <t>mixed</t>
        </is>
      </c>
      <c r="N13" s="86" t="inlineStr">
        <is>
          <t>mixed</t>
        </is>
      </c>
      <c r="O13" s="86" t="inlineStr">
        <is>
          <t>icdr</t>
        </is>
      </c>
      <c r="P13" s="86" t="inlineStr">
        <is>
          <t>ophthalmologist</t>
        </is>
      </c>
      <c r="Q13" s="86" t="inlineStr">
        <is>
          <t>yes</t>
        </is>
      </c>
      <c r="R13" s="86" t="inlineStr">
        <is>
          <t>fundus</t>
        </is>
      </c>
      <c r="S13" s="32" t="inlineStr">
        <is>
          <t>1</t>
        </is>
      </c>
      <c r="T13" s="86" t="inlineStr">
        <is>
          <t>no</t>
        </is>
      </c>
      <c r="U13" s="86" t="inlineStr">
        <is>
          <t>no</t>
        </is>
      </c>
      <c r="V13" s="86" t="inlineStr">
        <is>
          <t>no</t>
        </is>
      </c>
      <c r="W13" s="86" t="inlineStr">
        <is>
          <t>resnet family</t>
        </is>
      </c>
      <c r="X13" s="86" t="inlineStr">
        <is>
          <t>europe</t>
        </is>
      </c>
      <c r="Y13" s="86" t="inlineStr">
        <is>
          <t>high</t>
        </is>
      </c>
      <c r="Z13" s="86" t="inlineStr">
        <is>
          <t>high</t>
        </is>
      </c>
      <c r="AA13" s="86" t="inlineStr">
        <is>
          <t>excluded</t>
        </is>
      </c>
      <c r="AB13" s="86" t="inlineStr">
        <is>
          <t>middle</t>
        </is>
      </c>
      <c r="AC13" s="86" t="n">
        <v>1748</v>
      </c>
      <c r="AD13" s="104" t="n">
        <v>0.1453089244851259</v>
      </c>
      <c r="AE13" s="104" t="n">
        <v>254</v>
      </c>
      <c r="AF13" s="104" t="n">
        <v>1494</v>
      </c>
      <c r="AG13" s="104" t="n">
        <v>0.9015748031496063</v>
      </c>
      <c r="AH13" s="104" t="n">
        <v>0.929718875502008</v>
      </c>
      <c r="AI13" s="86" t="n">
        <v>229</v>
      </c>
      <c r="AJ13" s="86" t="n">
        <v>25</v>
      </c>
      <c r="AK13" s="86" t="n">
        <v>1389</v>
      </c>
      <c r="AL13" s="86" t="n">
        <v>105</v>
      </c>
      <c r="AM13" s="1" t="n"/>
      <c r="AN13" s="107" t="n"/>
      <c r="AO13" s="107" t="n"/>
      <c r="AP13" s="107" t="n"/>
      <c r="AQ13" s="107" t="n"/>
      <c r="AR13" s="107" t="n"/>
    </row>
    <row r="14" ht="16" customHeight="1" s="55">
      <c r="A14" s="28" t="inlineStr">
        <is>
          <t>Zhang et al. 2022</t>
        </is>
      </c>
      <c r="B14" s="86" t="inlineStr">
        <is>
          <t>DL</t>
        </is>
      </c>
      <c r="C14" s="86" t="inlineStr">
        <is>
          <t>DGCN</t>
        </is>
      </c>
      <c r="D14" s="86" t="inlineStr">
        <is>
          <t>trainedgrader</t>
        </is>
      </c>
      <c r="E14" s="86" t="inlineStr">
        <is>
          <t>original</t>
        </is>
      </c>
      <c r="F14" s="86" t="inlineStr">
        <is>
          <t>retrospective</t>
        </is>
      </c>
      <c r="G14" s="86" t="inlineStr">
        <is>
          <t>high</t>
        </is>
      </c>
      <c r="H14" s="86" t="inlineStr">
        <is>
          <t>public dataset</t>
        </is>
      </c>
      <c r="I14" s="86" t="inlineStr">
        <is>
          <t>no</t>
        </is>
      </c>
      <c r="J14" s="86" t="inlineStr">
        <is>
          <t>rdr</t>
        </is>
      </c>
      <c r="K14" s="86" t="inlineStr">
        <is>
          <t>no</t>
        </is>
      </c>
      <c r="L14" s="86" t="inlineStr">
        <is>
          <t>mixed</t>
        </is>
      </c>
      <c r="M14" s="86" t="inlineStr">
        <is>
          <t>mixed</t>
        </is>
      </c>
      <c r="N14" s="86" t="inlineStr">
        <is>
          <t>mixed</t>
        </is>
      </c>
      <c r="O14" s="86" t="inlineStr">
        <is>
          <t>icdr</t>
        </is>
      </c>
      <c r="P14" s="86" t="inlineStr">
        <is>
          <t>ophthalmologist</t>
        </is>
      </c>
      <c r="Q14" s="86" t="inlineStr">
        <is>
          <t>yes</t>
        </is>
      </c>
      <c r="R14" s="86" t="inlineStr">
        <is>
          <t>fundus</t>
        </is>
      </c>
      <c r="S14" s="32" t="inlineStr">
        <is>
          <t>1</t>
        </is>
      </c>
      <c r="T14" s="86" t="inlineStr">
        <is>
          <t>no</t>
        </is>
      </c>
      <c r="U14" s="86" t="inlineStr">
        <is>
          <t>no</t>
        </is>
      </c>
      <c r="V14" s="86" t="inlineStr">
        <is>
          <t>no</t>
        </is>
      </c>
      <c r="W14" s="86" t="inlineStr">
        <is>
          <t>resnet family</t>
        </is>
      </c>
      <c r="X14" s="86" t="inlineStr">
        <is>
          <t>europe</t>
        </is>
      </c>
      <c r="Y14" s="86" t="inlineStr">
        <is>
          <t>high</t>
        </is>
      </c>
      <c r="Z14" s="86" t="inlineStr">
        <is>
          <t>high</t>
        </is>
      </c>
      <c r="AA14" s="86" t="inlineStr">
        <is>
          <t>excluded</t>
        </is>
      </c>
      <c r="AB14" s="86" t="inlineStr">
        <is>
          <t>middle</t>
        </is>
      </c>
      <c r="AC14" s="86" t="n">
        <v>1748</v>
      </c>
      <c r="AD14" s="104" t="n">
        <v>0.1453089244851259</v>
      </c>
      <c r="AE14" s="104" t="n">
        <v>254</v>
      </c>
      <c r="AF14" s="104" t="n">
        <v>1494</v>
      </c>
      <c r="AG14" s="104" t="n">
        <v>0.9015748031496063</v>
      </c>
      <c r="AH14" s="104" t="n">
        <v>0.929718875502008</v>
      </c>
      <c r="AI14" s="86" t="n">
        <v>229</v>
      </c>
      <c r="AJ14" s="86" t="n">
        <v>25</v>
      </c>
      <c r="AK14" s="86" t="n">
        <v>1389</v>
      </c>
      <c r="AL14" s="86" t="n">
        <v>105</v>
      </c>
      <c r="AM14" s="1" t="n"/>
      <c r="AN14" s="107" t="n"/>
      <c r="AO14" s="107" t="n"/>
      <c r="AP14" s="107" t="n"/>
      <c r="AQ14" s="107" t="n"/>
      <c r="AR14" s="107" t="n"/>
    </row>
    <row r="15" ht="16" customHeight="1" s="55">
      <c r="A15" s="28" t="inlineStr">
        <is>
          <t>Hsieh et al. 2021</t>
        </is>
      </c>
      <c r="B15" s="86" t="inlineStr">
        <is>
          <t>DL</t>
        </is>
      </c>
      <c r="C15" s="86" t="inlineStr">
        <is>
          <t>VeriSee</t>
        </is>
      </c>
      <c r="D15" s="86" t="inlineStr">
        <is>
          <t>ophthalmologist</t>
        </is>
      </c>
      <c r="E15" s="86" t="inlineStr">
        <is>
          <t>original</t>
        </is>
      </c>
      <c r="F15" s="86" t="inlineStr">
        <is>
          <t>retrospective</t>
        </is>
      </c>
      <c r="G15" s="86" t="inlineStr">
        <is>
          <t>high</t>
        </is>
      </c>
      <c r="H15" s="86" t="inlineStr">
        <is>
          <t>tertiary</t>
        </is>
      </c>
      <c r="I15" s="86" t="inlineStr">
        <is>
          <t>no</t>
        </is>
      </c>
      <c r="J15" s="86" t="inlineStr">
        <is>
          <t>dr</t>
        </is>
      </c>
      <c r="K15" s="86" t="inlineStr">
        <is>
          <t>no</t>
        </is>
      </c>
      <c r="L15" s="86" t="inlineStr">
        <is>
          <t>no</t>
        </is>
      </c>
      <c r="M15" s="86" t="inlineStr">
        <is>
          <t>desktop</t>
        </is>
      </c>
      <c r="N15" s="86" t="inlineStr">
        <is>
          <t>canon</t>
        </is>
      </c>
      <c r="O15" s="86" t="inlineStr">
        <is>
          <t>icdr</t>
        </is>
      </c>
      <c r="P15" s="86" t="inlineStr">
        <is>
          <t>ophthalmologist</t>
        </is>
      </c>
      <c r="Q15" s="86" t="inlineStr">
        <is>
          <t>yes</t>
        </is>
      </c>
      <c r="R15" s="86" t="inlineStr">
        <is>
          <t>fundus</t>
        </is>
      </c>
      <c r="S15" s="32" t="inlineStr">
        <is>
          <t>1</t>
        </is>
      </c>
      <c r="T15" s="86" t="inlineStr">
        <is>
          <t>yes</t>
        </is>
      </c>
      <c r="U15" s="86" t="inlineStr">
        <is>
          <t>yes</t>
        </is>
      </c>
      <c r="V15" s="86" t="inlineStr">
        <is>
          <t>yes</t>
        </is>
      </c>
      <c r="W15" s="86" t="inlineStr">
        <is>
          <t>inception family</t>
        </is>
      </c>
      <c r="X15" s="86" t="inlineStr">
        <is>
          <t>asia</t>
        </is>
      </c>
      <c r="Y15" s="86" t="inlineStr">
        <is>
          <t>high</t>
        </is>
      </c>
      <c r="Z15" s="86" t="inlineStr">
        <is>
          <t>high</t>
        </is>
      </c>
      <c r="AA15" s="86" t="inlineStr">
        <is>
          <t>excluded</t>
        </is>
      </c>
      <c r="AB15" s="86" t="inlineStr">
        <is>
          <t>high</t>
        </is>
      </c>
      <c r="AC15" s="86" t="n">
        <v>1875</v>
      </c>
      <c r="AD15" s="104" t="n">
        <v>0.3488</v>
      </c>
      <c r="AE15" s="104" t="n">
        <v>654</v>
      </c>
      <c r="AF15" s="104" t="n">
        <v>1221</v>
      </c>
      <c r="AG15" s="104" t="n">
        <v>0.9220183486238532</v>
      </c>
      <c r="AH15" s="104" t="n">
        <v>0.8951678951678952</v>
      </c>
      <c r="AI15" s="86" t="n">
        <v>603</v>
      </c>
      <c r="AJ15" s="86" t="n">
        <v>51</v>
      </c>
      <c r="AK15" s="86" t="n">
        <v>1093</v>
      </c>
      <c r="AL15" s="86" t="n">
        <v>128</v>
      </c>
      <c r="AM15" s="1" t="n"/>
      <c r="AN15" s="107" t="n"/>
      <c r="AO15" s="107" t="n"/>
      <c r="AP15" s="107" t="n"/>
      <c r="AQ15" s="107" t="n"/>
      <c r="AR15" s="107" t="n"/>
    </row>
    <row r="16" ht="16" customHeight="1" s="55">
      <c r="A16" s="28" t="inlineStr">
        <is>
          <t>Hsieh et al. 2021</t>
        </is>
      </c>
      <c r="B16" s="86" t="inlineStr">
        <is>
          <t>DL</t>
        </is>
      </c>
      <c r="C16" s="86" t="inlineStr">
        <is>
          <t>VeriSee</t>
        </is>
      </c>
      <c r="D16" s="86" t="inlineStr">
        <is>
          <t>ophthalmologist</t>
        </is>
      </c>
      <c r="E16" s="86" t="inlineStr">
        <is>
          <t>original</t>
        </is>
      </c>
      <c r="F16" s="86" t="inlineStr">
        <is>
          <t>retrospective</t>
        </is>
      </c>
      <c r="G16" s="86" t="inlineStr">
        <is>
          <t>high</t>
        </is>
      </c>
      <c r="H16" s="86" t="inlineStr">
        <is>
          <t>tertiary</t>
        </is>
      </c>
      <c r="I16" s="86" t="inlineStr">
        <is>
          <t>no</t>
        </is>
      </c>
      <c r="J16" s="86" t="inlineStr">
        <is>
          <t>rdr</t>
        </is>
      </c>
      <c r="K16" s="86" t="inlineStr">
        <is>
          <t>no</t>
        </is>
      </c>
      <c r="L16" s="86" t="inlineStr">
        <is>
          <t>no</t>
        </is>
      </c>
      <c r="M16" s="86" t="inlineStr">
        <is>
          <t>desktop</t>
        </is>
      </c>
      <c r="N16" s="86" t="inlineStr">
        <is>
          <t>canon</t>
        </is>
      </c>
      <c r="O16" s="86" t="inlineStr">
        <is>
          <t>icdr</t>
        </is>
      </c>
      <c r="P16" s="86" t="inlineStr">
        <is>
          <t>ophthalmologist</t>
        </is>
      </c>
      <c r="Q16" s="86" t="inlineStr">
        <is>
          <t>yes</t>
        </is>
      </c>
      <c r="R16" s="86" t="inlineStr">
        <is>
          <t>fundus</t>
        </is>
      </c>
      <c r="S16" s="32" t="inlineStr">
        <is>
          <t>1</t>
        </is>
      </c>
      <c r="T16" s="86" t="inlineStr">
        <is>
          <t>yes</t>
        </is>
      </c>
      <c r="U16" s="86" t="inlineStr">
        <is>
          <t>yes</t>
        </is>
      </c>
      <c r="V16" s="86" t="inlineStr">
        <is>
          <t>yes</t>
        </is>
      </c>
      <c r="W16" s="86" t="inlineStr">
        <is>
          <t>inception family</t>
        </is>
      </c>
      <c r="X16" s="86" t="inlineStr">
        <is>
          <t>asia</t>
        </is>
      </c>
      <c r="Y16" s="86" t="inlineStr">
        <is>
          <t>high</t>
        </is>
      </c>
      <c r="Z16" s="86" t="inlineStr">
        <is>
          <t>high</t>
        </is>
      </c>
      <c r="AA16" s="86" t="inlineStr">
        <is>
          <t>excluded</t>
        </is>
      </c>
      <c r="AB16" s="86" t="inlineStr">
        <is>
          <t>high</t>
        </is>
      </c>
      <c r="AC16" s="86" t="n">
        <v>1875</v>
      </c>
      <c r="AD16" s="104" t="n">
        <v>0.3488</v>
      </c>
      <c r="AE16" s="104" t="n">
        <v>654</v>
      </c>
      <c r="AF16" s="104" t="n">
        <v>1221</v>
      </c>
      <c r="AG16" s="104" t="n">
        <v>0.9220183486238532</v>
      </c>
      <c r="AH16" s="104" t="n">
        <v>0.8951678951678952</v>
      </c>
      <c r="AI16" s="86" t="n">
        <v>603</v>
      </c>
      <c r="AJ16" s="86" t="n">
        <v>51</v>
      </c>
      <c r="AK16" s="86" t="n">
        <v>1093</v>
      </c>
      <c r="AL16" s="86" t="n">
        <v>128</v>
      </c>
      <c r="AM16" s="1" t="n"/>
      <c r="AN16" s="107" t="n"/>
      <c r="AO16" s="107" t="n"/>
      <c r="AP16" s="107" t="n"/>
      <c r="AQ16" s="107" t="n"/>
      <c r="AR16" s="107" t="n"/>
    </row>
    <row r="17" ht="16" customHeight="1" s="55">
      <c r="A17" s="28" t="inlineStr">
        <is>
          <t>Hsieh et al. 2021</t>
        </is>
      </c>
      <c r="B17" s="86" t="inlineStr">
        <is>
          <t>DL</t>
        </is>
      </c>
      <c r="C17" s="86" t="inlineStr">
        <is>
          <t>VeriSee</t>
        </is>
      </c>
      <c r="D17" s="86" t="inlineStr">
        <is>
          <t>physician</t>
        </is>
      </c>
      <c r="E17" s="86" t="inlineStr">
        <is>
          <t>original</t>
        </is>
      </c>
      <c r="F17" s="86" t="inlineStr">
        <is>
          <t>retrospective</t>
        </is>
      </c>
      <c r="G17" s="86" t="inlineStr">
        <is>
          <t>high</t>
        </is>
      </c>
      <c r="H17" s="86" t="inlineStr">
        <is>
          <t>tertiary</t>
        </is>
      </c>
      <c r="I17" s="86" t="inlineStr">
        <is>
          <t>no</t>
        </is>
      </c>
      <c r="J17" s="86" t="inlineStr">
        <is>
          <t>dr</t>
        </is>
      </c>
      <c r="K17" s="86" t="inlineStr">
        <is>
          <t>no</t>
        </is>
      </c>
      <c r="L17" s="86" t="inlineStr">
        <is>
          <t>no</t>
        </is>
      </c>
      <c r="M17" s="86" t="inlineStr">
        <is>
          <t>desktop</t>
        </is>
      </c>
      <c r="N17" s="86" t="inlineStr">
        <is>
          <t>canon</t>
        </is>
      </c>
      <c r="O17" s="86" t="inlineStr">
        <is>
          <t>icdr</t>
        </is>
      </c>
      <c r="P17" s="86" t="inlineStr">
        <is>
          <t>ophthalmologist</t>
        </is>
      </c>
      <c r="Q17" s="86" t="inlineStr">
        <is>
          <t>yes</t>
        </is>
      </c>
      <c r="R17" s="86" t="inlineStr">
        <is>
          <t>fundus</t>
        </is>
      </c>
      <c r="S17" s="32" t="inlineStr">
        <is>
          <t>1</t>
        </is>
      </c>
      <c r="T17" s="86" t="inlineStr">
        <is>
          <t>yes</t>
        </is>
      </c>
      <c r="U17" s="86" t="inlineStr">
        <is>
          <t>yes</t>
        </is>
      </c>
      <c r="V17" s="86" t="inlineStr">
        <is>
          <t>yes</t>
        </is>
      </c>
      <c r="W17" s="86" t="inlineStr">
        <is>
          <t>inception family</t>
        </is>
      </c>
      <c r="X17" s="86" t="inlineStr">
        <is>
          <t>asia</t>
        </is>
      </c>
      <c r="Y17" s="86" t="inlineStr">
        <is>
          <t>high</t>
        </is>
      </c>
      <c r="Z17" s="86" t="inlineStr">
        <is>
          <t>high</t>
        </is>
      </c>
      <c r="AA17" s="86" t="inlineStr">
        <is>
          <t>excluded</t>
        </is>
      </c>
      <c r="AB17" s="86" t="inlineStr">
        <is>
          <t>middle</t>
        </is>
      </c>
      <c r="AC17" s="86" t="n">
        <v>1875</v>
      </c>
      <c r="AD17" s="104" t="n">
        <v>0.1189333333333333</v>
      </c>
      <c r="AE17" s="104" t="n">
        <v>223</v>
      </c>
      <c r="AF17" s="104" t="n">
        <v>1652</v>
      </c>
      <c r="AG17" s="104" t="n">
        <v>0.8923766816143498</v>
      </c>
      <c r="AH17" s="104" t="n">
        <v>0.9007263922518159</v>
      </c>
      <c r="AI17" s="86" t="n">
        <v>199</v>
      </c>
      <c r="AJ17" s="86" t="n">
        <v>24</v>
      </c>
      <c r="AK17" s="86" t="n">
        <v>1488</v>
      </c>
      <c r="AL17" s="86" t="n">
        <v>164</v>
      </c>
      <c r="AM17" s="1" t="n"/>
      <c r="AN17" s="107" t="n"/>
      <c r="AO17" s="107" t="n"/>
      <c r="AP17" s="107" t="n"/>
      <c r="AQ17" s="107" t="n"/>
      <c r="AR17" s="107" t="n"/>
    </row>
    <row r="18" ht="16" customHeight="1" s="55">
      <c r="A18" s="88" t="inlineStr">
        <is>
          <t>Kim et al. 2021</t>
        </is>
      </c>
      <c r="B18" s="86" t="inlineStr">
        <is>
          <t>DL</t>
        </is>
      </c>
      <c r="C18" s="86" t="inlineStr">
        <is>
          <t>EyeArt</t>
        </is>
      </c>
      <c r="D18" s="86" t="inlineStr">
        <is>
          <t>retinaspecialist</t>
        </is>
      </c>
      <c r="E18" s="86" t="inlineStr">
        <is>
          <t>original</t>
        </is>
      </c>
      <c r="F18" s="86" t="inlineStr">
        <is>
          <t>prospective</t>
        </is>
      </c>
      <c r="G18" s="86" t="inlineStr">
        <is>
          <t>high</t>
        </is>
      </c>
      <c r="H18" s="86" t="inlineStr">
        <is>
          <t>tertiary</t>
        </is>
      </c>
      <c r="I18" s="86" t="inlineStr">
        <is>
          <t>no</t>
        </is>
      </c>
      <c r="J18" s="86" t="inlineStr">
        <is>
          <t>rdr</t>
        </is>
      </c>
      <c r="K18" s="86" t="inlineStr">
        <is>
          <t>no</t>
        </is>
      </c>
      <c r="L18" s="86" t="inlineStr">
        <is>
          <t>yes</t>
        </is>
      </c>
      <c r="M18" s="86" t="inlineStr">
        <is>
          <t>smartphone</t>
        </is>
      </c>
      <c r="N18" s="86" t="inlineStr">
        <is>
          <t>retinascope</t>
        </is>
      </c>
      <c r="O18" s="86" t="inlineStr">
        <is>
          <t>etdrs</t>
        </is>
      </c>
      <c r="P18" s="86" t="inlineStr">
        <is>
          <t>retina specialist</t>
        </is>
      </c>
      <c r="Q18" s="86" t="inlineStr">
        <is>
          <t>no</t>
        </is>
      </c>
      <c r="R18" s="86" t="inlineStr">
        <is>
          <t>clinical examination</t>
        </is>
      </c>
      <c r="S18" s="32" t="inlineStr">
        <is>
          <t>&gt;2</t>
        </is>
      </c>
      <c r="T18" s="86" t="inlineStr">
        <is>
          <t>yes</t>
        </is>
      </c>
      <c r="U18" s="86" t="inlineStr">
        <is>
          <t>yes</t>
        </is>
      </c>
      <c r="V18" s="86" t="inlineStr">
        <is>
          <t>yes</t>
        </is>
      </c>
      <c r="W18" s="86" t="inlineStr">
        <is>
          <t>cnn</t>
        </is>
      </c>
      <c r="X18" s="86" t="inlineStr">
        <is>
          <t>north america</t>
        </is>
      </c>
      <c r="Y18" s="86" t="inlineStr">
        <is>
          <t>high</t>
        </is>
      </c>
      <c r="Z18" s="86" t="inlineStr">
        <is>
          <t>high</t>
        </is>
      </c>
      <c r="AA18" s="86" t="inlineStr">
        <is>
          <t>excluded</t>
        </is>
      </c>
      <c r="AB18" s="86" t="inlineStr">
        <is>
          <t>high</t>
        </is>
      </c>
      <c r="AC18" s="86" t="n">
        <v>119</v>
      </c>
      <c r="AD18" s="104" t="n">
        <v>0.7394957983193278</v>
      </c>
      <c r="AE18" s="104" t="n">
        <v>88</v>
      </c>
      <c r="AF18" s="104" t="n">
        <v>31</v>
      </c>
      <c r="AG18" s="104" t="n">
        <v>0.7840909090909091</v>
      </c>
      <c r="AH18" s="104" t="n">
        <v>0.7419354838709677</v>
      </c>
      <c r="AI18" s="86" t="n">
        <v>69</v>
      </c>
      <c r="AJ18" s="86" t="n">
        <v>19</v>
      </c>
      <c r="AK18" s="86" t="n">
        <v>23</v>
      </c>
      <c r="AL18" s="86" t="n">
        <v>8</v>
      </c>
      <c r="AM18" s="1" t="n"/>
      <c r="AN18" s="107" t="n"/>
      <c r="AO18" s="107" t="n"/>
      <c r="AP18" s="107" t="n"/>
      <c r="AQ18" s="107" t="n"/>
      <c r="AR18" s="107" t="n"/>
      <c r="AS18" s="1" t="n"/>
      <c r="AT18" s="1" t="n"/>
      <c r="AU18" s="1" t="n"/>
      <c r="AV18" s="1" t="n"/>
    </row>
    <row r="19" ht="16" customHeight="1" s="55">
      <c r="A19" s="88" t="inlineStr">
        <is>
          <t>Kim et al. 2021</t>
        </is>
      </c>
      <c r="B19" s="86" t="inlineStr">
        <is>
          <t>DL</t>
        </is>
      </c>
      <c r="C19" s="86" t="inlineStr">
        <is>
          <t>EyeArt</t>
        </is>
      </c>
      <c r="D19" s="86" t="inlineStr">
        <is>
          <t>ophthalmologist</t>
        </is>
      </c>
      <c r="E19" s="86" t="inlineStr">
        <is>
          <t>original</t>
        </is>
      </c>
      <c r="F19" s="86" t="inlineStr">
        <is>
          <t>prospective</t>
        </is>
      </c>
      <c r="G19" s="86" t="inlineStr">
        <is>
          <t>high</t>
        </is>
      </c>
      <c r="H19" s="86" t="inlineStr">
        <is>
          <t>tertiary</t>
        </is>
      </c>
      <c r="I19" s="86" t="inlineStr">
        <is>
          <t>no</t>
        </is>
      </c>
      <c r="J19" s="86" t="inlineStr">
        <is>
          <t>rdr</t>
        </is>
      </c>
      <c r="K19" s="86" t="inlineStr">
        <is>
          <t>no</t>
        </is>
      </c>
      <c r="L19" s="86" t="inlineStr">
        <is>
          <t>yes</t>
        </is>
      </c>
      <c r="M19" s="86" t="inlineStr">
        <is>
          <t>smartphone</t>
        </is>
      </c>
      <c r="N19" s="86" t="inlineStr">
        <is>
          <t>retinascope</t>
        </is>
      </c>
      <c r="O19" s="86" t="inlineStr">
        <is>
          <t>etdrs</t>
        </is>
      </c>
      <c r="P19" s="86" t="inlineStr">
        <is>
          <t>retina specialist</t>
        </is>
      </c>
      <c r="Q19" s="86" t="inlineStr">
        <is>
          <t>no</t>
        </is>
      </c>
      <c r="R19" s="86" t="inlineStr">
        <is>
          <t>clinical examination</t>
        </is>
      </c>
      <c r="S19" s="32" t="inlineStr">
        <is>
          <t>&gt;2</t>
        </is>
      </c>
      <c r="T19" s="86" t="inlineStr">
        <is>
          <t>yes</t>
        </is>
      </c>
      <c r="U19" s="86" t="inlineStr">
        <is>
          <t>yes</t>
        </is>
      </c>
      <c r="V19" s="86" t="inlineStr">
        <is>
          <t>yes</t>
        </is>
      </c>
      <c r="W19" s="86" t="inlineStr">
        <is>
          <t>cnn</t>
        </is>
      </c>
      <c r="X19" s="86" t="inlineStr">
        <is>
          <t>north america</t>
        </is>
      </c>
      <c r="Y19" s="86" t="inlineStr">
        <is>
          <t>high</t>
        </is>
      </c>
      <c r="Z19" s="86" t="inlineStr">
        <is>
          <t>high</t>
        </is>
      </c>
      <c r="AA19" s="86" t="inlineStr">
        <is>
          <t>excluded</t>
        </is>
      </c>
      <c r="AB19" s="86" t="inlineStr">
        <is>
          <t>high</t>
        </is>
      </c>
      <c r="AC19" s="86" t="n">
        <v>119</v>
      </c>
      <c r="AD19" s="104" t="n">
        <v>0.7394957983193278</v>
      </c>
      <c r="AE19" s="104" t="n">
        <v>88</v>
      </c>
      <c r="AF19" s="104" t="n">
        <v>31</v>
      </c>
      <c r="AG19" s="104" t="n">
        <v>0.7840909090909091</v>
      </c>
      <c r="AH19" s="104" t="n">
        <v>0.7419354838709677</v>
      </c>
      <c r="AI19" s="86" t="n">
        <v>69</v>
      </c>
      <c r="AJ19" s="86" t="n">
        <v>19</v>
      </c>
      <c r="AK19" s="86" t="n">
        <v>23</v>
      </c>
      <c r="AL19" s="86" t="n">
        <v>8</v>
      </c>
      <c r="AM19" s="1" t="n"/>
      <c r="AN19" s="107" t="n"/>
      <c r="AO19" s="107" t="n"/>
      <c r="AP19" s="107" t="n"/>
      <c r="AQ19" s="107" t="n"/>
      <c r="AR19" s="107" t="n"/>
      <c r="AS19" s="1" t="n"/>
      <c r="AT19" s="1" t="n"/>
      <c r="AU19" s="1" t="n"/>
      <c r="AV19" s="1" t="n"/>
    </row>
    <row r="20" ht="17" customHeight="1" s="55">
      <c r="A20" s="88" t="inlineStr">
        <is>
          <t>Gonz_x0001_alez-Gonzalo et al. 2020</t>
        </is>
      </c>
      <c r="B20" s="86" t="inlineStr">
        <is>
          <t>DL</t>
        </is>
      </c>
      <c r="C20" s="86" t="inlineStr">
        <is>
          <t>RetCAD</t>
        </is>
      </c>
      <c r="D20" s="86" t="inlineStr">
        <is>
          <t>ophthalmologist</t>
        </is>
      </c>
      <c r="E20" s="86" t="inlineStr">
        <is>
          <t>original</t>
        </is>
      </c>
      <c r="F20" s="86" t="inlineStr">
        <is>
          <t>retrospective</t>
        </is>
      </c>
      <c r="G20" s="86" t="inlineStr">
        <is>
          <t>high</t>
        </is>
      </c>
      <c r="H20" s="86" t="inlineStr">
        <is>
          <t>tertiary</t>
        </is>
      </c>
      <c r="I20" s="86" t="inlineStr">
        <is>
          <t>yes</t>
        </is>
      </c>
      <c r="J20" s="86" t="inlineStr">
        <is>
          <t>rdr</t>
        </is>
      </c>
      <c r="K20" s="86" t="inlineStr">
        <is>
          <t>yes</t>
        </is>
      </c>
      <c r="L20" s="86" t="inlineStr">
        <is>
          <t>no</t>
        </is>
      </c>
      <c r="M20" s="86" t="inlineStr">
        <is>
          <t>desktop</t>
        </is>
      </c>
      <c r="N20" s="86" t="inlineStr">
        <is>
          <t>canon</t>
        </is>
      </c>
      <c r="O20" s="86" t="inlineStr">
        <is>
          <t>icdr</t>
        </is>
      </c>
      <c r="P20" s="86" t="inlineStr">
        <is>
          <t>ophthalmologist</t>
        </is>
      </c>
      <c r="Q20" s="86" t="inlineStr">
        <is>
          <t>no</t>
        </is>
      </c>
      <c r="R20" s="86" t="inlineStr">
        <is>
          <t>fundus</t>
        </is>
      </c>
      <c r="S20" s="32" t="inlineStr">
        <is>
          <t>1</t>
        </is>
      </c>
      <c r="T20" s="86" t="inlineStr">
        <is>
          <t>no</t>
        </is>
      </c>
      <c r="U20" s="86" t="inlineStr">
        <is>
          <t>yes</t>
        </is>
      </c>
      <c r="V20" s="86" t="inlineStr">
        <is>
          <t>yes</t>
        </is>
      </c>
      <c r="W20" s="86" t="inlineStr">
        <is>
          <t>densenet family</t>
        </is>
      </c>
      <c r="X20" s="86" t="inlineStr">
        <is>
          <t>europe</t>
        </is>
      </c>
      <c r="Y20" s="86" t="inlineStr">
        <is>
          <t>high</t>
        </is>
      </c>
      <c r="Z20" s="86" t="inlineStr">
        <is>
          <t>high</t>
        </is>
      </c>
      <c r="AA20" s="86" t="inlineStr">
        <is>
          <t>excluded</t>
        </is>
      </c>
      <c r="AB20" s="86" t="inlineStr">
        <is>
          <t>middle</t>
        </is>
      </c>
      <c r="AC20" s="86" t="n">
        <v>600</v>
      </c>
      <c r="AD20" s="104" t="n">
        <v>0.185</v>
      </c>
      <c r="AE20" s="104" t="n">
        <v>111</v>
      </c>
      <c r="AF20" s="104" t="n">
        <v>489</v>
      </c>
      <c r="AG20" s="104" t="n">
        <v>0.9009009009009009</v>
      </c>
      <c r="AH20" s="104" t="n">
        <v>0.9059304703476483</v>
      </c>
      <c r="AI20" s="104" t="n">
        <v>100</v>
      </c>
      <c r="AJ20" s="104" t="n">
        <v>11</v>
      </c>
      <c r="AK20" s="104" t="n">
        <v>443</v>
      </c>
      <c r="AL20" s="104" t="n">
        <v>46</v>
      </c>
      <c r="AM20" s="1" t="n"/>
      <c r="AN20" s="107" t="n"/>
      <c r="AO20" s="107" t="n"/>
      <c r="AP20" s="107" t="n"/>
      <c r="AQ20" s="107" t="n"/>
      <c r="AR20" s="107" t="n"/>
    </row>
    <row r="21" ht="16" customHeight="1" s="55">
      <c r="A21" s="28" t="inlineStr">
        <is>
          <t>Ruamviboonsuk et al. 2019</t>
        </is>
      </c>
      <c r="B21" s="86" t="inlineStr">
        <is>
          <t>DL</t>
        </is>
      </c>
      <c r="C21" s="86" t="inlineStr">
        <is>
          <t>ARDA</t>
        </is>
      </c>
      <c r="D21" s="86" t="inlineStr">
        <is>
          <t>trainedgrader</t>
        </is>
      </c>
      <c r="E21" s="86" t="inlineStr">
        <is>
          <t>original</t>
        </is>
      </c>
      <c r="F21" s="86" t="inlineStr">
        <is>
          <t>retrospective</t>
        </is>
      </c>
      <c r="G21" s="86" t="inlineStr">
        <is>
          <t>middle</t>
        </is>
      </c>
      <c r="H21" s="86" t="inlineStr">
        <is>
          <t>primary</t>
        </is>
      </c>
      <c r="I21" s="86" t="inlineStr">
        <is>
          <t>yes</t>
        </is>
      </c>
      <c r="J21" s="86" t="inlineStr">
        <is>
          <t>rdr</t>
        </is>
      </c>
      <c r="K21" s="86" t="inlineStr">
        <is>
          <t>no</t>
        </is>
      </c>
      <c r="L21" s="86" t="inlineStr">
        <is>
          <t>no</t>
        </is>
      </c>
      <c r="M21" s="86" t="inlineStr">
        <is>
          <t>desktop</t>
        </is>
      </c>
      <c r="N21" s="86" t="inlineStr">
        <is>
          <t>mixed</t>
        </is>
      </c>
      <c r="O21" s="86" t="inlineStr">
        <is>
          <t>icdr</t>
        </is>
      </c>
      <c r="P21" s="86" t="inlineStr">
        <is>
          <t>retina specialist</t>
        </is>
      </c>
      <c r="Q21" s="86" t="inlineStr">
        <is>
          <t>yes</t>
        </is>
      </c>
      <c r="R21" s="86" t="inlineStr">
        <is>
          <t>fundus</t>
        </is>
      </c>
      <c r="S21" s="32" t="inlineStr">
        <is>
          <t>1</t>
        </is>
      </c>
      <c r="T21" s="86" t="inlineStr">
        <is>
          <t>yes</t>
        </is>
      </c>
      <c r="U21" s="86" t="inlineStr">
        <is>
          <t>yes</t>
        </is>
      </c>
      <c r="V21" s="86" t="inlineStr">
        <is>
          <t>yes</t>
        </is>
      </c>
      <c r="W21" s="86" t="inlineStr">
        <is>
          <t>inception family</t>
        </is>
      </c>
      <c r="X21" s="86" t="inlineStr">
        <is>
          <t>asia</t>
        </is>
      </c>
      <c r="Y21" s="86" t="inlineStr">
        <is>
          <t>low</t>
        </is>
      </c>
      <c r="Z21" s="86" t="inlineStr">
        <is>
          <t>low</t>
        </is>
      </c>
      <c r="AA21" s="86" t="inlineStr">
        <is>
          <t>excluded</t>
        </is>
      </c>
      <c r="AB21" s="86" t="inlineStr">
        <is>
          <t>middle</t>
        </is>
      </c>
      <c r="AC21" s="86" t="n">
        <v>29985</v>
      </c>
      <c r="AD21" s="104" t="n">
        <v>0.1217942304485576</v>
      </c>
      <c r="AE21" s="104" t="n">
        <v>3652</v>
      </c>
      <c r="AF21" s="104" t="n">
        <v>26333</v>
      </c>
      <c r="AG21" s="104" t="n">
        <v>0.9698795180722891</v>
      </c>
      <c r="AH21" s="104" t="n">
        <v>0.9600121520525576</v>
      </c>
      <c r="AI21" s="86" t="n">
        <v>3542</v>
      </c>
      <c r="AJ21" s="86" t="n">
        <v>110</v>
      </c>
      <c r="AK21" s="86" t="n">
        <v>25280</v>
      </c>
      <c r="AL21" s="86" t="n">
        <v>1053</v>
      </c>
      <c r="AM21" s="1" t="n"/>
      <c r="AN21" s="107" t="n"/>
      <c r="AO21" s="107" t="n"/>
      <c r="AP21" s="107" t="n"/>
      <c r="AQ21" s="107" t="n"/>
      <c r="AR21" s="107" t="n"/>
    </row>
    <row r="22" ht="16" customHeight="1" s="55">
      <c r="A22" s="88" t="inlineStr">
        <is>
          <t>Krause et al. 2018</t>
        </is>
      </c>
      <c r="B22" s="86" t="inlineStr">
        <is>
          <t>DL</t>
        </is>
      </c>
      <c r="C22" s="86" t="inlineStr">
        <is>
          <t>ARDA</t>
        </is>
      </c>
      <c r="D22" s="86" t="inlineStr">
        <is>
          <t>ophthalmologist</t>
        </is>
      </c>
      <c r="E22" s="86" t="inlineStr">
        <is>
          <t>original</t>
        </is>
      </c>
      <c r="F22" s="86" t="inlineStr">
        <is>
          <t>retrospective</t>
        </is>
      </c>
      <c r="G22" s="86" t="inlineStr">
        <is>
          <t>high</t>
        </is>
      </c>
      <c r="H22" s="86" t="inlineStr">
        <is>
          <t>public dataset</t>
        </is>
      </c>
      <c r="I22" s="86" t="inlineStr">
        <is>
          <t>no</t>
        </is>
      </c>
      <c r="J22" s="86" t="inlineStr">
        <is>
          <t>rdr</t>
        </is>
      </c>
      <c r="K22" s="86" t="inlineStr">
        <is>
          <t>no</t>
        </is>
      </c>
      <c r="L22" s="86" t="inlineStr">
        <is>
          <t>mixed</t>
        </is>
      </c>
      <c r="M22" s="86" t="inlineStr">
        <is>
          <t>mixed</t>
        </is>
      </c>
      <c r="N22" s="86" t="inlineStr">
        <is>
          <t>mixed</t>
        </is>
      </c>
      <c r="O22" s="86" t="inlineStr">
        <is>
          <t>icdr</t>
        </is>
      </c>
      <c r="P22" s="86" t="inlineStr">
        <is>
          <t>retina specialist</t>
        </is>
      </c>
      <c r="Q22" s="86" t="inlineStr">
        <is>
          <t>yes</t>
        </is>
      </c>
      <c r="R22" s="86" t="inlineStr">
        <is>
          <t>fundus</t>
        </is>
      </c>
      <c r="S22" s="32" t="inlineStr">
        <is>
          <t>&gt;2</t>
        </is>
      </c>
      <c r="T22" s="86" t="inlineStr">
        <is>
          <t>yes</t>
        </is>
      </c>
      <c r="U22" s="86" t="inlineStr">
        <is>
          <t>yes</t>
        </is>
      </c>
      <c r="V22" s="86" t="inlineStr">
        <is>
          <t>yes</t>
        </is>
      </c>
      <c r="W22" s="86" t="inlineStr">
        <is>
          <t>inception family</t>
        </is>
      </c>
      <c r="X22" s="86" t="inlineStr">
        <is>
          <t>north america</t>
        </is>
      </c>
      <c r="Y22" s="86" t="inlineStr">
        <is>
          <t>low</t>
        </is>
      </c>
      <c r="Z22" s="86" t="inlineStr">
        <is>
          <t>high</t>
        </is>
      </c>
      <c r="AA22" s="86" t="inlineStr">
        <is>
          <t>positive</t>
        </is>
      </c>
      <c r="AB22" s="86" t="inlineStr">
        <is>
          <t>middle</t>
        </is>
      </c>
      <c r="AC22" s="86" t="n">
        <v>1813</v>
      </c>
      <c r="AD22" s="104" t="n">
        <v>0.1158301158301158</v>
      </c>
      <c r="AE22" s="104" t="n">
        <v>210</v>
      </c>
      <c r="AF22" s="104" t="n">
        <v>1603</v>
      </c>
      <c r="AG22" s="104" t="n">
        <v>0.9714285714285714</v>
      </c>
      <c r="AH22" s="104" t="n">
        <v>0.9232688708671242</v>
      </c>
      <c r="AI22" s="86" t="n">
        <v>204</v>
      </c>
      <c r="AJ22" s="86" t="n">
        <v>6</v>
      </c>
      <c r="AK22" s="86" t="n">
        <v>1480</v>
      </c>
      <c r="AL22" s="86" t="n">
        <v>123</v>
      </c>
      <c r="AM22" s="1" t="n"/>
      <c r="AN22" s="107" t="n"/>
      <c r="AO22" s="107" t="n"/>
      <c r="AP22" s="107" t="n"/>
      <c r="AQ22" s="107" t="n"/>
      <c r="AR22" s="107" t="n"/>
    </row>
    <row r="23" ht="16" customHeight="1" s="55">
      <c r="A23" s="88" t="inlineStr">
        <is>
          <t>Shu et al. 2017</t>
        </is>
      </c>
      <c r="B23" s="86" t="inlineStr">
        <is>
          <t>DL</t>
        </is>
      </c>
      <c r="C23" s="86" t="inlineStr">
        <is>
          <t>Selena+</t>
        </is>
      </c>
      <c r="D23" s="86" t="inlineStr">
        <is>
          <t>retinaspecialist</t>
        </is>
      </c>
      <c r="E23" s="86" t="inlineStr">
        <is>
          <t>original</t>
        </is>
      </c>
      <c r="F23" s="86" t="inlineStr">
        <is>
          <t>retrospective</t>
        </is>
      </c>
      <c r="G23" s="86" t="inlineStr">
        <is>
          <t>high</t>
        </is>
      </c>
      <c r="H23" s="86" t="inlineStr">
        <is>
          <t>primary</t>
        </is>
      </c>
      <c r="I23" s="86" t="inlineStr">
        <is>
          <t>yes</t>
        </is>
      </c>
      <c r="J23" s="86" t="inlineStr">
        <is>
          <t>rdr</t>
        </is>
      </c>
      <c r="K23" s="86" t="inlineStr">
        <is>
          <t>yes</t>
        </is>
      </c>
      <c r="L23" s="86" t="inlineStr">
        <is>
          <t>mixed</t>
        </is>
      </c>
      <c r="M23" s="86" t="inlineStr">
        <is>
          <t>desktop</t>
        </is>
      </c>
      <c r="N23" s="86" t="inlineStr">
        <is>
          <t>mixed</t>
        </is>
      </c>
      <c r="O23" s="86" t="inlineStr">
        <is>
          <t>icdr</t>
        </is>
      </c>
      <c r="P23" s="86" t="inlineStr">
        <is>
          <t>retina specialist</t>
        </is>
      </c>
      <c r="Q23" s="86" t="inlineStr">
        <is>
          <t>yes</t>
        </is>
      </c>
      <c r="R23" s="86" t="inlineStr">
        <is>
          <t>fundus</t>
        </is>
      </c>
      <c r="S23" s="32" t="inlineStr">
        <is>
          <t>2</t>
        </is>
      </c>
      <c r="T23" s="86" t="inlineStr">
        <is>
          <t>no</t>
        </is>
      </c>
      <c r="U23" s="86" t="inlineStr">
        <is>
          <t>yes</t>
        </is>
      </c>
      <c r="V23" s="86" t="inlineStr">
        <is>
          <t>yes</t>
        </is>
      </c>
      <c r="W23" s="86" t="inlineStr">
        <is>
          <t>vgg family</t>
        </is>
      </c>
      <c r="X23" s="86" t="inlineStr">
        <is>
          <t>mixed</t>
        </is>
      </c>
      <c r="Y23" s="86" t="inlineStr">
        <is>
          <t>high</t>
        </is>
      </c>
      <c r="Z23" s="86" t="inlineStr">
        <is>
          <t>high</t>
        </is>
      </c>
      <c r="AA23" s="86" t="inlineStr">
        <is>
          <t>positive</t>
        </is>
      </c>
      <c r="AB23" s="86" t="inlineStr">
        <is>
          <t>middle</t>
        </is>
      </c>
      <c r="AC23" s="86" t="n">
        <v>35948</v>
      </c>
      <c r="AD23" s="104" t="n">
        <v>0.02929231111605653</v>
      </c>
      <c r="AE23" s="104" t="n">
        <v>1053</v>
      </c>
      <c r="AF23" s="104" t="n">
        <v>34895</v>
      </c>
      <c r="AG23" s="104" t="n">
        <v>0.9050332383665717</v>
      </c>
      <c r="AH23" s="104" t="n">
        <v>0.9160051583321392</v>
      </c>
      <c r="AI23" s="86" t="n">
        <v>953</v>
      </c>
      <c r="AJ23" s="86" t="n">
        <v>100</v>
      </c>
      <c r="AK23" s="86" t="n">
        <v>31964</v>
      </c>
      <c r="AL23" s="86" t="n">
        <v>2931</v>
      </c>
      <c r="AM23" s="1" t="n"/>
      <c r="AN23" s="107" t="n"/>
      <c r="AO23" s="107" t="n"/>
      <c r="AP23" s="107" t="n"/>
      <c r="AQ23" s="107" t="n"/>
      <c r="AR23" s="107" t="n"/>
      <c r="AS23" s="1" t="n"/>
      <c r="AT23" s="1" t="n"/>
      <c r="AU23" s="1" t="n"/>
      <c r="AV23" s="1" t="n"/>
    </row>
    <row r="24" ht="16" customHeight="1" s="55">
      <c r="A24" s="88" t="inlineStr">
        <is>
          <t>Shu et al. 2017</t>
        </is>
      </c>
      <c r="B24" s="86" t="inlineStr">
        <is>
          <t>DL</t>
        </is>
      </c>
      <c r="C24" s="86" t="inlineStr">
        <is>
          <t>Selena+</t>
        </is>
      </c>
      <c r="D24" s="86" t="inlineStr">
        <is>
          <t>retinaspecialist</t>
        </is>
      </c>
      <c r="E24" s="86" t="inlineStr">
        <is>
          <t>original</t>
        </is>
      </c>
      <c r="F24" s="86" t="inlineStr">
        <is>
          <t>retrospective</t>
        </is>
      </c>
      <c r="G24" s="86" t="inlineStr">
        <is>
          <t>high</t>
        </is>
      </c>
      <c r="H24" s="86" t="inlineStr">
        <is>
          <t>primary</t>
        </is>
      </c>
      <c r="I24" s="86" t="inlineStr">
        <is>
          <t>yes</t>
        </is>
      </c>
      <c r="J24" s="86" t="inlineStr">
        <is>
          <t>vtdr</t>
        </is>
      </c>
      <c r="K24" s="86" t="inlineStr">
        <is>
          <t>yes</t>
        </is>
      </c>
      <c r="L24" s="86" t="inlineStr">
        <is>
          <t>mixed</t>
        </is>
      </c>
      <c r="M24" s="86" t="inlineStr">
        <is>
          <t>desktop</t>
        </is>
      </c>
      <c r="N24" s="86" t="inlineStr">
        <is>
          <t>mixed</t>
        </is>
      </c>
      <c r="O24" s="86" t="inlineStr">
        <is>
          <t>icdr</t>
        </is>
      </c>
      <c r="P24" s="86" t="inlineStr">
        <is>
          <t>retina specialist</t>
        </is>
      </c>
      <c r="Q24" s="86" t="inlineStr">
        <is>
          <t>yes</t>
        </is>
      </c>
      <c r="R24" s="86" t="inlineStr">
        <is>
          <t>fundus</t>
        </is>
      </c>
      <c r="S24" s="32" t="inlineStr">
        <is>
          <t>2</t>
        </is>
      </c>
      <c r="T24" s="86" t="inlineStr">
        <is>
          <t>no</t>
        </is>
      </c>
      <c r="U24" s="86" t="inlineStr">
        <is>
          <t>yes</t>
        </is>
      </c>
      <c r="V24" s="86" t="inlineStr">
        <is>
          <t>yes</t>
        </is>
      </c>
      <c r="W24" s="86" t="inlineStr">
        <is>
          <t>vgg family</t>
        </is>
      </c>
      <c r="X24" s="86" t="inlineStr">
        <is>
          <t>mixed</t>
        </is>
      </c>
      <c r="Y24" s="86" t="inlineStr">
        <is>
          <t>high</t>
        </is>
      </c>
      <c r="Z24" s="86" t="inlineStr">
        <is>
          <t>high</t>
        </is>
      </c>
      <c r="AA24" s="86" t="inlineStr">
        <is>
          <t>positive</t>
        </is>
      </c>
      <c r="AB24" s="86" t="inlineStr">
        <is>
          <t>middle</t>
        </is>
      </c>
      <c r="AC24" s="86" t="n">
        <v>35948</v>
      </c>
      <c r="AD24" s="104" t="n">
        <v>0.01663513964615556</v>
      </c>
      <c r="AE24" s="104" t="n">
        <v>598</v>
      </c>
      <c r="AF24" s="104" t="n">
        <v>35350</v>
      </c>
      <c r="AG24" s="104" t="n">
        <v>1</v>
      </c>
      <c r="AH24" s="104" t="n">
        <v>0.911004243281471</v>
      </c>
      <c r="AI24" s="86" t="n">
        <v>598</v>
      </c>
      <c r="AJ24" s="86" t="n">
        <v>0</v>
      </c>
      <c r="AK24" s="86" t="n">
        <v>32204</v>
      </c>
      <c r="AL24" s="86" t="n">
        <v>3146</v>
      </c>
      <c r="AM24" s="1" t="n"/>
      <c r="AN24" s="107" t="n"/>
      <c r="AO24" s="107" t="n"/>
      <c r="AP24" s="107" t="n"/>
      <c r="AQ24" s="107" t="n"/>
      <c r="AR24" s="107" t="n"/>
      <c r="AS24" s="1" t="n"/>
      <c r="AT24" s="1" t="n"/>
      <c r="AU24" s="1" t="n"/>
      <c r="AV24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V36"/>
  <sheetViews>
    <sheetView topLeftCell="A10" zoomScale="108" workbookViewId="0">
      <selection activeCell="D32" sqref="D32"/>
    </sheetView>
  </sheetViews>
  <sheetFormatPr baseColWidth="10" defaultRowHeight="15"/>
  <sheetData>
    <row r="1" ht="16" customFormat="1" customHeight="1" s="20">
      <c r="A1" s="88" t="inlineStr">
        <is>
          <t>authoryr</t>
        </is>
      </c>
      <c r="B1" s="88" t="inlineStr">
        <is>
          <t>idx</t>
        </is>
      </c>
      <c r="C1" s="88" t="inlineStr">
        <is>
          <t>test</t>
        </is>
      </c>
      <c r="D1" s="88" t="inlineStr">
        <is>
          <t>readerexpertise</t>
        </is>
      </c>
      <c r="E1" s="88" t="inlineStr">
        <is>
          <t>article</t>
        </is>
      </c>
      <c r="F1" s="88" t="inlineStr">
        <is>
          <t>study</t>
        </is>
      </c>
      <c r="G1" s="88" t="inlineStr">
        <is>
          <t>economic</t>
        </is>
      </c>
      <c r="H1" s="88" t="inlineStr">
        <is>
          <t>healthcare</t>
        </is>
      </c>
      <c r="I1" s="88" t="inlineStr">
        <is>
          <t>external</t>
        </is>
      </c>
      <c r="J1" s="88" t="inlineStr">
        <is>
          <t>dr</t>
        </is>
      </c>
      <c r="K1" s="88" t="inlineStr">
        <is>
          <t>othereyetarget</t>
        </is>
      </c>
      <c r="L1" s="88" t="inlineStr">
        <is>
          <t>pupil</t>
        </is>
      </c>
      <c r="M1" s="88" t="inlineStr">
        <is>
          <t>ctype</t>
        </is>
      </c>
      <c r="N1" s="88" t="inlineStr">
        <is>
          <t>camera</t>
        </is>
      </c>
      <c r="O1" s="88" t="inlineStr">
        <is>
          <t>criteria</t>
        </is>
      </c>
      <c r="P1" s="88" t="inlineStr">
        <is>
          <t>rstandard</t>
        </is>
      </c>
      <c r="Q1" s="88" t="inlineStr">
        <is>
          <t>disagree</t>
        </is>
      </c>
      <c r="R1" s="88" t="inlineStr">
        <is>
          <t>rimage</t>
        </is>
      </c>
      <c r="S1" s="88" t="inlineStr">
        <is>
          <t>field</t>
        </is>
      </c>
      <c r="T1" s="88" t="inlineStr">
        <is>
          <t>vendor</t>
        </is>
      </c>
      <c r="U1" s="88" t="inlineStr">
        <is>
          <t>commercial</t>
        </is>
      </c>
      <c r="V1" s="88" t="inlineStr">
        <is>
          <t>certified</t>
        </is>
      </c>
      <c r="W1" s="88" t="inlineStr">
        <is>
          <t>architecture</t>
        </is>
      </c>
      <c r="X1" s="88" t="inlineStr">
        <is>
          <t>region</t>
        </is>
      </c>
      <c r="Y1" s="88" t="inlineStr">
        <is>
          <t>aigradable</t>
        </is>
      </c>
      <c r="Z1" s="88" t="inlineStr">
        <is>
          <t>hgradable</t>
        </is>
      </c>
      <c r="AA1" s="88" t="inlineStr">
        <is>
          <t>ungradable</t>
        </is>
      </c>
      <c r="AB1" s="88" t="inlineStr">
        <is>
          <t>prevalance</t>
        </is>
      </c>
      <c r="AC1" s="88" t="inlineStr">
        <is>
          <t>Total_eye1</t>
        </is>
      </c>
      <c r="AD1" s="103" t="inlineStr">
        <is>
          <t>Prevalence1</t>
        </is>
      </c>
      <c r="AE1" s="103" t="inlineStr">
        <is>
          <t>Positive1</t>
        </is>
      </c>
      <c r="AF1" s="103" t="inlineStr">
        <is>
          <t>Negative1</t>
        </is>
      </c>
      <c r="AG1" s="103" t="inlineStr">
        <is>
          <t>Sensitivity1</t>
        </is>
      </c>
      <c r="AH1" s="103" t="inlineStr">
        <is>
          <t>Specificity1</t>
        </is>
      </c>
      <c r="AI1" s="88" t="inlineStr">
        <is>
          <t>tp1</t>
        </is>
      </c>
      <c r="AJ1" s="88" t="inlineStr">
        <is>
          <t>fn1</t>
        </is>
      </c>
      <c r="AK1" s="88" t="inlineStr">
        <is>
          <t>tn1</t>
        </is>
      </c>
      <c r="AL1" s="88" t="inlineStr">
        <is>
          <t>fp1</t>
        </is>
      </c>
      <c r="AM1" s="2" t="n"/>
      <c r="AN1" s="102" t="n"/>
      <c r="AO1" s="102" t="n"/>
      <c r="AP1" s="102" t="n"/>
      <c r="AQ1" s="102" t="n"/>
      <c r="AR1" s="102" t="n"/>
      <c r="AS1" s="2" t="n"/>
      <c r="AT1" s="2" t="n"/>
      <c r="AU1" s="2" t="n"/>
      <c r="AV1" s="2" t="n"/>
    </row>
    <row r="2" ht="16" customHeight="1" s="55">
      <c r="A2" s="88" t="inlineStr">
        <is>
          <t>Similié et al. 2025</t>
        </is>
      </c>
      <c r="B2" s="86" t="inlineStr">
        <is>
          <t>Reader</t>
        </is>
      </c>
      <c r="C2" s="88" t="inlineStr">
        <is>
          <t>DL classifier</t>
        </is>
      </c>
      <c r="D2" s="88" t="inlineStr">
        <is>
          <t>trainedgrader</t>
        </is>
      </c>
      <c r="E2" s="88" t="inlineStr">
        <is>
          <t>original</t>
        </is>
      </c>
      <c r="F2" s="88" t="inlineStr">
        <is>
          <t>retrospective</t>
        </is>
      </c>
      <c r="G2" s="88" t="inlineStr">
        <is>
          <t>high</t>
        </is>
      </c>
      <c r="H2" s="88" t="inlineStr">
        <is>
          <t>tertiary</t>
        </is>
      </c>
      <c r="I2" s="88" t="inlineStr">
        <is>
          <t>no</t>
        </is>
      </c>
      <c r="J2" s="88" t="inlineStr">
        <is>
          <t>dr</t>
        </is>
      </c>
      <c r="K2" s="88" t="inlineStr">
        <is>
          <t>no</t>
        </is>
      </c>
      <c r="L2" s="88" t="inlineStr">
        <is>
          <t>no</t>
        </is>
      </c>
      <c r="M2" s="88" t="inlineStr">
        <is>
          <t>desktop</t>
        </is>
      </c>
      <c r="N2" s="88" t="inlineStr">
        <is>
          <t>topcon</t>
        </is>
      </c>
      <c r="O2" s="88" t="inlineStr">
        <is>
          <t>icdr</t>
        </is>
      </c>
      <c r="P2" s="86" t="inlineStr">
        <is>
          <t>retina specialist</t>
        </is>
      </c>
      <c r="Q2" s="88" t="inlineStr">
        <is>
          <t>no</t>
        </is>
      </c>
      <c r="R2" s="88" t="inlineStr">
        <is>
          <t>fundus</t>
        </is>
      </c>
      <c r="S2" s="88" t="inlineStr">
        <is>
          <t>&gt;2</t>
        </is>
      </c>
      <c r="T2" s="88" t="inlineStr">
        <is>
          <t>no</t>
        </is>
      </c>
      <c r="U2" s="88" t="inlineStr">
        <is>
          <t>no</t>
        </is>
      </c>
      <c r="V2" s="88" t="inlineStr">
        <is>
          <t>no</t>
        </is>
      </c>
      <c r="W2" s="88" t="inlineStr">
        <is>
          <t>inception family</t>
        </is>
      </c>
      <c r="X2" s="88" t="inlineStr">
        <is>
          <t>europe</t>
        </is>
      </c>
      <c r="Y2" s="88" t="inlineStr">
        <is>
          <t>high</t>
        </is>
      </c>
      <c r="Z2" s="88" t="inlineStr">
        <is>
          <t>high</t>
        </is>
      </c>
      <c r="AA2" s="88" t="inlineStr">
        <is>
          <t>excluded</t>
        </is>
      </c>
      <c r="AB2" s="86" t="inlineStr">
        <is>
          <t>High</t>
        </is>
      </c>
      <c r="AC2" s="86" t="n">
        <v>500</v>
      </c>
      <c r="AD2" s="104" t="n">
        <v>0.806</v>
      </c>
      <c r="AE2" s="104" t="n">
        <v>403</v>
      </c>
      <c r="AF2" s="104" t="n">
        <v>97</v>
      </c>
      <c r="AG2" s="104" t="n">
        <v>0.9503722084367245</v>
      </c>
      <c r="AH2" s="104" t="n">
        <v>0.8247422680412371</v>
      </c>
      <c r="AI2" s="86" t="n">
        <v>383</v>
      </c>
      <c r="AJ2" s="86" t="n">
        <v>20</v>
      </c>
      <c r="AK2" s="86" t="n">
        <v>80</v>
      </c>
      <c r="AL2" s="86" t="n">
        <v>17</v>
      </c>
      <c r="AM2" s="1" t="n"/>
      <c r="AN2" s="107" t="n"/>
      <c r="AO2" s="107" t="n"/>
      <c r="AP2" s="107" t="n"/>
      <c r="AQ2" s="107" t="n"/>
      <c r="AR2" s="107" t="n"/>
      <c r="AS2" s="1" t="n"/>
      <c r="AT2" s="1" t="n"/>
      <c r="AU2" s="1" t="n"/>
      <c r="AV2" s="1" t="n"/>
    </row>
    <row r="3" ht="16" customHeight="1" s="55">
      <c r="A3" s="88" t="inlineStr">
        <is>
          <t>Zhao et al. 2025</t>
        </is>
      </c>
      <c r="B3" s="86" t="inlineStr">
        <is>
          <t>Reader</t>
        </is>
      </c>
      <c r="C3" s="88" t="inlineStr">
        <is>
          <t xml:space="preserve">WARM model </t>
        </is>
      </c>
      <c r="D3" s="88" t="inlineStr">
        <is>
          <t>ophthalmologist</t>
        </is>
      </c>
      <c r="E3" s="88" t="inlineStr">
        <is>
          <t>original</t>
        </is>
      </c>
      <c r="F3" s="88" t="inlineStr">
        <is>
          <t>retrospective</t>
        </is>
      </c>
      <c r="G3" s="88" t="inlineStr">
        <is>
          <t>middle</t>
        </is>
      </c>
      <c r="H3" s="88" t="inlineStr">
        <is>
          <t>tertiary</t>
        </is>
      </c>
      <c r="I3" s="88" t="inlineStr">
        <is>
          <t>no</t>
        </is>
      </c>
      <c r="J3" s="88" t="inlineStr">
        <is>
          <t>vtdr</t>
        </is>
      </c>
      <c r="K3" s="88" t="inlineStr">
        <is>
          <t>yes</t>
        </is>
      </c>
      <c r="L3" s="88" t="inlineStr">
        <is>
          <t>no</t>
        </is>
      </c>
      <c r="M3" s="88" t="inlineStr">
        <is>
          <t>desktop</t>
        </is>
      </c>
      <c r="N3" s="88" t="inlineStr">
        <is>
          <t>optos</t>
        </is>
      </c>
      <c r="O3" s="88" t="inlineStr">
        <is>
          <t>icdr</t>
        </is>
      </c>
      <c r="P3" s="86" t="inlineStr">
        <is>
          <t>ophthalmologist</t>
        </is>
      </c>
      <c r="Q3" s="88" t="inlineStr">
        <is>
          <t>yes</t>
        </is>
      </c>
      <c r="R3" s="86" t="inlineStr">
        <is>
          <t>with advanced image</t>
        </is>
      </c>
      <c r="S3" s="88" t="n">
        <v>1</v>
      </c>
      <c r="T3" s="88" t="inlineStr">
        <is>
          <t>yes</t>
        </is>
      </c>
      <c r="U3" s="88" t="inlineStr">
        <is>
          <t>no</t>
        </is>
      </c>
      <c r="V3" s="88" t="inlineStr">
        <is>
          <t>no</t>
        </is>
      </c>
      <c r="W3" s="88" t="inlineStr">
        <is>
          <t>transformer family</t>
        </is>
      </c>
      <c r="X3" s="88" t="inlineStr">
        <is>
          <t>asia</t>
        </is>
      </c>
      <c r="Y3" s="88" t="inlineStr">
        <is>
          <t>high</t>
        </is>
      </c>
      <c r="Z3" s="88" t="inlineStr">
        <is>
          <t>high</t>
        </is>
      </c>
      <c r="AA3" s="88" t="inlineStr">
        <is>
          <t>excluded</t>
        </is>
      </c>
      <c r="AB3" s="86" t="inlineStr">
        <is>
          <t>Low</t>
        </is>
      </c>
      <c r="AC3" s="86" t="n">
        <v>8808</v>
      </c>
      <c r="AD3" s="104" t="n">
        <v>0.0716394187102634</v>
      </c>
      <c r="AE3" s="104" t="n">
        <v>631</v>
      </c>
      <c r="AF3" s="104" t="n">
        <v>8177</v>
      </c>
      <c r="AG3" s="104" t="n">
        <v>0.8972602739726028</v>
      </c>
      <c r="AH3" s="104" t="n">
        <v>0.986989299610895</v>
      </c>
      <c r="AI3" s="86" t="n">
        <v>524</v>
      </c>
      <c r="AJ3" s="86" t="n">
        <v>60</v>
      </c>
      <c r="AK3" s="86" t="n">
        <v>8117</v>
      </c>
      <c r="AL3" s="86" t="n">
        <v>107</v>
      </c>
      <c r="AM3" s="1" t="n"/>
      <c r="AN3" s="107" t="n"/>
      <c r="AO3" s="107" t="n"/>
      <c r="AP3" s="107" t="n"/>
      <c r="AQ3" s="107" t="n"/>
      <c r="AR3" s="107" t="n"/>
      <c r="AS3" s="1" t="n"/>
      <c r="AT3" s="1" t="n"/>
      <c r="AU3" s="1" t="n"/>
      <c r="AV3" s="1" t="n"/>
    </row>
    <row r="4" ht="16" customHeight="1" s="55">
      <c r="A4" s="88" t="inlineStr">
        <is>
          <t>Chia et al. 2024</t>
        </is>
      </c>
      <c r="B4" s="86" t="inlineStr">
        <is>
          <t>Reader</t>
        </is>
      </c>
      <c r="C4" s="86" t="inlineStr">
        <is>
          <t>ARDA</t>
        </is>
      </c>
      <c r="D4" s="86" t="inlineStr">
        <is>
          <t>retinaspecialist</t>
        </is>
      </c>
      <c r="E4" s="86" t="inlineStr">
        <is>
          <t>original</t>
        </is>
      </c>
      <c r="F4" s="86" t="inlineStr">
        <is>
          <t>retrospective</t>
        </is>
      </c>
      <c r="G4" s="86" t="inlineStr">
        <is>
          <t>high</t>
        </is>
      </c>
      <c r="H4" s="86" t="inlineStr">
        <is>
          <t>primary</t>
        </is>
      </c>
      <c r="I4" s="86" t="inlineStr">
        <is>
          <t>yes</t>
        </is>
      </c>
      <c r="J4" s="86" t="inlineStr">
        <is>
          <t>rdr</t>
        </is>
      </c>
      <c r="K4" s="86" t="inlineStr">
        <is>
          <t>no</t>
        </is>
      </c>
      <c r="L4" s="86" t="inlineStr">
        <is>
          <t>no</t>
        </is>
      </c>
      <c r="M4" s="86" t="inlineStr">
        <is>
          <t>desktop</t>
        </is>
      </c>
      <c r="N4" s="86" t="inlineStr">
        <is>
          <t>topcon</t>
        </is>
      </c>
      <c r="O4" s="86" t="inlineStr">
        <is>
          <t>icdr</t>
        </is>
      </c>
      <c r="P4" s="86" t="inlineStr">
        <is>
          <t>retina specialist</t>
        </is>
      </c>
      <c r="Q4" s="86" t="inlineStr">
        <is>
          <t>yes</t>
        </is>
      </c>
      <c r="R4" s="86" t="inlineStr">
        <is>
          <t>fundus</t>
        </is>
      </c>
      <c r="S4" s="32" t="inlineStr">
        <is>
          <t>1</t>
        </is>
      </c>
      <c r="T4" s="86" t="inlineStr">
        <is>
          <t>yes</t>
        </is>
      </c>
      <c r="U4" s="86" t="inlineStr">
        <is>
          <t>yes</t>
        </is>
      </c>
      <c r="V4" s="86" t="inlineStr">
        <is>
          <t>yes</t>
        </is>
      </c>
      <c r="W4" s="86" t="inlineStr">
        <is>
          <t>inception family</t>
        </is>
      </c>
      <c r="X4" s="86" t="inlineStr">
        <is>
          <t>asia</t>
        </is>
      </c>
      <c r="Y4" s="86" t="inlineStr">
        <is>
          <t>low</t>
        </is>
      </c>
      <c r="Z4" s="86" t="inlineStr">
        <is>
          <t>low</t>
        </is>
      </c>
      <c r="AA4" s="86" t="inlineStr">
        <is>
          <t>excluded</t>
        </is>
      </c>
      <c r="AB4" s="86" t="inlineStr">
        <is>
          <t>middle</t>
        </is>
      </c>
      <c r="AC4" s="86" t="n">
        <v>1483</v>
      </c>
      <c r="AD4" s="104" t="n">
        <v>0.2380310182063385</v>
      </c>
      <c r="AE4" s="104" t="n">
        <v>353</v>
      </c>
      <c r="AF4" s="104" t="n">
        <v>1130</v>
      </c>
      <c r="AG4" s="104" t="n">
        <v>0.8696883852691218</v>
      </c>
      <c r="AH4" s="104" t="n">
        <v>0.9699115044247788</v>
      </c>
      <c r="AI4" s="86" t="n">
        <v>307</v>
      </c>
      <c r="AJ4" s="86" t="n">
        <v>46</v>
      </c>
      <c r="AK4" s="86" t="n">
        <v>1096</v>
      </c>
      <c r="AL4" s="86" t="n">
        <v>34</v>
      </c>
    </row>
    <row r="5" ht="16" customHeight="1" s="55">
      <c r="A5" s="88" t="inlineStr">
        <is>
          <t>Chia et al. 2024</t>
        </is>
      </c>
      <c r="B5" s="86" t="inlineStr">
        <is>
          <t>Reader</t>
        </is>
      </c>
      <c r="C5" s="86" t="inlineStr">
        <is>
          <t>ARDA</t>
        </is>
      </c>
      <c r="D5" s="86" t="inlineStr">
        <is>
          <t>retinaspecialist</t>
        </is>
      </c>
      <c r="E5" s="86" t="inlineStr">
        <is>
          <t>original</t>
        </is>
      </c>
      <c r="F5" s="86" t="inlineStr">
        <is>
          <t>retrospective</t>
        </is>
      </c>
      <c r="G5" s="86" t="inlineStr">
        <is>
          <t>high</t>
        </is>
      </c>
      <c r="H5" s="86" t="inlineStr">
        <is>
          <t>primary</t>
        </is>
      </c>
      <c r="I5" s="86" t="inlineStr">
        <is>
          <t>yes</t>
        </is>
      </c>
      <c r="J5" s="86" t="inlineStr">
        <is>
          <t>rdr</t>
        </is>
      </c>
      <c r="K5" s="86" t="inlineStr">
        <is>
          <t>no</t>
        </is>
      </c>
      <c r="L5" s="86" t="inlineStr">
        <is>
          <t>no</t>
        </is>
      </c>
      <c r="M5" s="86" t="inlineStr">
        <is>
          <t>desktop</t>
        </is>
      </c>
      <c r="N5" s="86" t="inlineStr">
        <is>
          <t>topcon</t>
        </is>
      </c>
      <c r="O5" s="86" t="inlineStr">
        <is>
          <t>icdr</t>
        </is>
      </c>
      <c r="P5" s="86" t="inlineStr">
        <is>
          <t>retina specialist</t>
        </is>
      </c>
      <c r="Q5" s="86" t="inlineStr">
        <is>
          <t>yes</t>
        </is>
      </c>
      <c r="R5" s="86" t="inlineStr">
        <is>
          <t>fundus</t>
        </is>
      </c>
      <c r="S5" s="32" t="inlineStr">
        <is>
          <t>1</t>
        </is>
      </c>
      <c r="T5" s="86" t="inlineStr">
        <is>
          <t>yes</t>
        </is>
      </c>
      <c r="U5" s="86" t="inlineStr">
        <is>
          <t>yes</t>
        </is>
      </c>
      <c r="V5" s="86" t="inlineStr">
        <is>
          <t>yes</t>
        </is>
      </c>
      <c r="W5" s="86" t="inlineStr">
        <is>
          <t>inception family</t>
        </is>
      </c>
      <c r="X5" s="86" t="inlineStr">
        <is>
          <t>asia</t>
        </is>
      </c>
      <c r="Y5" s="86" t="inlineStr">
        <is>
          <t>low</t>
        </is>
      </c>
      <c r="Z5" s="86" t="inlineStr">
        <is>
          <t>low</t>
        </is>
      </c>
      <c r="AA5" s="86" t="inlineStr">
        <is>
          <t>positive</t>
        </is>
      </c>
      <c r="AB5" s="86" t="inlineStr">
        <is>
          <t>high</t>
        </is>
      </c>
      <c r="AC5" s="86" t="n">
        <v>1682</v>
      </c>
      <c r="AD5" s="104" t="n">
        <v>0.3281807372175981</v>
      </c>
      <c r="AE5" s="104" t="n">
        <v>552</v>
      </c>
      <c r="AF5" s="104" t="n">
        <v>1130</v>
      </c>
      <c r="AG5" s="104" t="n">
        <v>0.7445652173913043</v>
      </c>
      <c r="AH5" s="104" t="n">
        <v>0.9628318584070796</v>
      </c>
      <c r="AI5" s="86" t="n">
        <v>411</v>
      </c>
      <c r="AJ5" s="86" t="n">
        <v>141</v>
      </c>
      <c r="AK5" s="86" t="n">
        <v>1088</v>
      </c>
      <c r="AL5" s="86" t="n">
        <v>42</v>
      </c>
    </row>
    <row r="6" ht="16" customHeight="1" s="55">
      <c r="A6" s="88" t="inlineStr">
        <is>
          <t>Chia et al. 2024</t>
        </is>
      </c>
      <c r="B6" s="86" t="inlineStr">
        <is>
          <t>Reader</t>
        </is>
      </c>
      <c r="C6" s="86" t="inlineStr">
        <is>
          <t>ARDA</t>
        </is>
      </c>
      <c r="D6" s="86" t="inlineStr">
        <is>
          <t>retinaspecialist</t>
        </is>
      </c>
      <c r="E6" s="86" t="inlineStr">
        <is>
          <t>original</t>
        </is>
      </c>
      <c r="F6" s="86" t="inlineStr">
        <is>
          <t>retrospective</t>
        </is>
      </c>
      <c r="G6" s="86" t="inlineStr">
        <is>
          <t>high</t>
        </is>
      </c>
      <c r="H6" s="86" t="inlineStr">
        <is>
          <t>primary</t>
        </is>
      </c>
      <c r="I6" s="86" t="inlineStr">
        <is>
          <t>yes</t>
        </is>
      </c>
      <c r="J6" s="86" t="inlineStr">
        <is>
          <t>vtdr</t>
        </is>
      </c>
      <c r="K6" s="86" t="inlineStr">
        <is>
          <t>no</t>
        </is>
      </c>
      <c r="L6" s="86" t="inlineStr">
        <is>
          <t>no</t>
        </is>
      </c>
      <c r="M6" s="86" t="inlineStr">
        <is>
          <t>desktop</t>
        </is>
      </c>
      <c r="N6" s="86" t="inlineStr">
        <is>
          <t>topcon</t>
        </is>
      </c>
      <c r="O6" s="86" t="inlineStr">
        <is>
          <t>icdr</t>
        </is>
      </c>
      <c r="P6" s="86" t="inlineStr">
        <is>
          <t>retina specialist</t>
        </is>
      </c>
      <c r="Q6" s="86" t="inlineStr">
        <is>
          <t>yes</t>
        </is>
      </c>
      <c r="R6" s="86" t="inlineStr">
        <is>
          <t>fundus</t>
        </is>
      </c>
      <c r="S6" s="32" t="inlineStr">
        <is>
          <t>1</t>
        </is>
      </c>
      <c r="T6" s="86" t="inlineStr">
        <is>
          <t>yes</t>
        </is>
      </c>
      <c r="U6" s="86" t="inlineStr">
        <is>
          <t>yes</t>
        </is>
      </c>
      <c r="V6" s="86" t="inlineStr">
        <is>
          <t>yes</t>
        </is>
      </c>
      <c r="W6" s="86" t="inlineStr">
        <is>
          <t>inception family</t>
        </is>
      </c>
      <c r="X6" s="86" t="inlineStr">
        <is>
          <t>asia</t>
        </is>
      </c>
      <c r="Y6" s="86" t="inlineStr">
        <is>
          <t>low</t>
        </is>
      </c>
      <c r="Z6" s="86" t="inlineStr">
        <is>
          <t>low</t>
        </is>
      </c>
      <c r="AA6" s="86" t="inlineStr">
        <is>
          <t>excluded</t>
        </is>
      </c>
      <c r="AB6" s="86" t="inlineStr">
        <is>
          <t>middle</t>
        </is>
      </c>
      <c r="AC6" s="86" t="n">
        <v>1483</v>
      </c>
      <c r="AD6" s="104" t="n">
        <v>0.2380310182063385</v>
      </c>
      <c r="AE6" s="104" t="n">
        <v>353</v>
      </c>
      <c r="AF6" s="104" t="n">
        <v>1130</v>
      </c>
      <c r="AG6" s="104" t="n">
        <v>0.8441926345609065</v>
      </c>
      <c r="AH6" s="104" t="n">
        <v>0.9778761061946902</v>
      </c>
      <c r="AI6" s="86" t="n">
        <v>298</v>
      </c>
      <c r="AJ6" s="86" t="n">
        <v>55</v>
      </c>
      <c r="AK6" s="86" t="n">
        <v>1105</v>
      </c>
      <c r="AL6" s="86" t="n">
        <v>25</v>
      </c>
    </row>
    <row r="7" ht="16" customHeight="1" s="55">
      <c r="A7" s="88" t="inlineStr">
        <is>
          <t>Hu et al. 2024</t>
        </is>
      </c>
      <c r="B7" s="86" t="inlineStr">
        <is>
          <t>Reader</t>
        </is>
      </c>
      <c r="C7" s="86" t="inlineStr">
        <is>
          <t>AutoEye</t>
        </is>
      </c>
      <c r="D7" s="86" t="inlineStr">
        <is>
          <t>ophthalmologist</t>
        </is>
      </c>
      <c r="E7" s="86" t="inlineStr">
        <is>
          <t>original</t>
        </is>
      </c>
      <c r="F7" s="86" t="inlineStr">
        <is>
          <t>prospective</t>
        </is>
      </c>
      <c r="G7" s="86" t="inlineStr">
        <is>
          <t>middle</t>
        </is>
      </c>
      <c r="H7" s="86" t="inlineStr">
        <is>
          <t>tertiary</t>
        </is>
      </c>
      <c r="I7" s="86" t="inlineStr">
        <is>
          <t>no</t>
        </is>
      </c>
      <c r="J7" s="86" t="inlineStr">
        <is>
          <t>dr</t>
        </is>
      </c>
      <c r="K7" s="86" t="inlineStr">
        <is>
          <t>no</t>
        </is>
      </c>
      <c r="L7" s="86" t="inlineStr">
        <is>
          <t>no</t>
        </is>
      </c>
      <c r="M7" s="86" t="inlineStr">
        <is>
          <t>desktop</t>
        </is>
      </c>
      <c r="N7" s="86" t="inlineStr">
        <is>
          <t>topcon</t>
        </is>
      </c>
      <c r="O7" s="86" t="inlineStr">
        <is>
          <t>icdr</t>
        </is>
      </c>
      <c r="P7" s="86" t="inlineStr">
        <is>
          <t>other</t>
        </is>
      </c>
      <c r="Q7" s="86" t="inlineStr">
        <is>
          <t>no</t>
        </is>
      </c>
      <c r="R7" s="86" t="inlineStr">
        <is>
          <t>with advanced image</t>
        </is>
      </c>
      <c r="S7" s="32" t="inlineStr">
        <is>
          <t>1</t>
        </is>
      </c>
      <c r="T7" s="86" t="inlineStr">
        <is>
          <t>no</t>
        </is>
      </c>
      <c r="U7" s="86" t="inlineStr">
        <is>
          <t>no</t>
        </is>
      </c>
      <c r="V7" s="86" t="inlineStr">
        <is>
          <t>no</t>
        </is>
      </c>
      <c r="W7" s="86" t="inlineStr">
        <is>
          <t>cnn</t>
        </is>
      </c>
      <c r="X7" s="86" t="inlineStr">
        <is>
          <t>asia</t>
        </is>
      </c>
      <c r="Y7" s="86" t="inlineStr">
        <is>
          <t>high</t>
        </is>
      </c>
      <c r="Z7" s="86" t="inlineStr">
        <is>
          <t>high</t>
        </is>
      </c>
      <c r="AA7" s="86" t="inlineStr">
        <is>
          <t>excluded</t>
        </is>
      </c>
      <c r="AB7" s="86" t="inlineStr">
        <is>
          <t>high</t>
        </is>
      </c>
      <c r="AC7" s="86" t="n">
        <v>234</v>
      </c>
      <c r="AD7" s="104" t="n">
        <v>0.6837606837606838</v>
      </c>
      <c r="AE7" s="104" t="n">
        <v>160</v>
      </c>
      <c r="AF7" s="104" t="n">
        <v>74</v>
      </c>
      <c r="AG7" s="104" t="n">
        <v>0.9625</v>
      </c>
      <c r="AH7" s="104" t="n">
        <v>0.9594594594594594</v>
      </c>
      <c r="AI7" s="86" t="n">
        <v>154</v>
      </c>
      <c r="AJ7" s="86" t="n">
        <v>6</v>
      </c>
      <c r="AK7" s="86" t="n">
        <v>71</v>
      </c>
      <c r="AL7" s="86" t="n">
        <v>3</v>
      </c>
    </row>
    <row r="8" ht="16" customHeight="1" s="55">
      <c r="A8" s="88" t="inlineStr">
        <is>
          <t>Li et al. 2024</t>
        </is>
      </c>
      <c r="B8" s="86" t="inlineStr">
        <is>
          <t>Reader</t>
        </is>
      </c>
      <c r="C8" s="86" t="inlineStr">
        <is>
          <t>DLS</t>
        </is>
      </c>
      <c r="D8" s="86" t="inlineStr">
        <is>
          <t>ophthalmologist</t>
        </is>
      </c>
      <c r="E8" s="86" t="inlineStr">
        <is>
          <t>original</t>
        </is>
      </c>
      <c r="F8" s="86" t="inlineStr">
        <is>
          <t>prospective</t>
        </is>
      </c>
      <c r="G8" s="86" t="inlineStr">
        <is>
          <t>middle</t>
        </is>
      </c>
      <c r="H8" s="86" t="inlineStr">
        <is>
          <t>tertiary</t>
        </is>
      </c>
      <c r="I8" s="86" t="inlineStr">
        <is>
          <t>no</t>
        </is>
      </c>
      <c r="J8" s="86" t="inlineStr">
        <is>
          <t>rdr</t>
        </is>
      </c>
      <c r="K8" s="86" t="inlineStr">
        <is>
          <t>yes</t>
        </is>
      </c>
      <c r="L8" s="86" t="inlineStr">
        <is>
          <t>mixed</t>
        </is>
      </c>
      <c r="M8" s="86" t="inlineStr">
        <is>
          <t>desktop</t>
        </is>
      </c>
      <c r="N8" s="86" t="inlineStr">
        <is>
          <t>mixed</t>
        </is>
      </c>
      <c r="O8" s="86" t="inlineStr">
        <is>
          <t>icdr</t>
        </is>
      </c>
      <c r="P8" s="86" t="inlineStr">
        <is>
          <t>retina specialist</t>
        </is>
      </c>
      <c r="Q8" s="86" t="inlineStr">
        <is>
          <t>yes</t>
        </is>
      </c>
      <c r="R8" s="86" t="inlineStr">
        <is>
          <t>fundus</t>
        </is>
      </c>
      <c r="S8" s="32" t="inlineStr">
        <is>
          <t>1</t>
        </is>
      </c>
      <c r="T8" s="86" t="inlineStr">
        <is>
          <t>yes</t>
        </is>
      </c>
      <c r="U8" s="86" t="inlineStr">
        <is>
          <t>no</t>
        </is>
      </c>
      <c r="V8" s="86" t="inlineStr">
        <is>
          <t>no</t>
        </is>
      </c>
      <c r="W8" s="86" t="inlineStr">
        <is>
          <t>resnet family</t>
        </is>
      </c>
      <c r="X8" s="86" t="inlineStr">
        <is>
          <t>asia</t>
        </is>
      </c>
      <c r="Y8" s="86" t="inlineStr">
        <is>
          <t>high</t>
        </is>
      </c>
      <c r="Z8" s="86" t="inlineStr">
        <is>
          <t>high</t>
        </is>
      </c>
      <c r="AA8" s="86" t="inlineStr">
        <is>
          <t>excluded</t>
        </is>
      </c>
      <c r="AB8" s="86" t="inlineStr">
        <is>
          <t>middle</t>
        </is>
      </c>
      <c r="AC8" s="86" t="n">
        <v>1493</v>
      </c>
      <c r="AD8" s="104" t="n">
        <v>0.1105157401205626</v>
      </c>
      <c r="AE8" s="104" t="n">
        <v>165</v>
      </c>
      <c r="AF8" s="104" t="n">
        <v>1328</v>
      </c>
      <c r="AG8" s="104" t="n">
        <v>0.8727272727272727</v>
      </c>
      <c r="AH8" s="104" t="n">
        <v>0.9728915662650602</v>
      </c>
      <c r="AI8" s="86" t="n">
        <v>144</v>
      </c>
      <c r="AJ8" s="86" t="n">
        <v>21</v>
      </c>
      <c r="AK8" s="86" t="n">
        <v>1292</v>
      </c>
      <c r="AL8" s="86" t="n">
        <v>36</v>
      </c>
    </row>
    <row r="9" ht="16" customHeight="1" s="55">
      <c r="A9" s="28" t="inlineStr">
        <is>
          <t>Núñez do Rio et al. 2023</t>
        </is>
      </c>
      <c r="B9" s="86" t="inlineStr">
        <is>
          <t>Reader</t>
        </is>
      </c>
      <c r="C9" s="86" t="inlineStr">
        <is>
          <t>SMART-India DLS</t>
        </is>
      </c>
      <c r="D9" s="86" t="inlineStr">
        <is>
          <t>trainedgrader</t>
        </is>
      </c>
      <c r="E9" s="86" t="inlineStr">
        <is>
          <t>original</t>
        </is>
      </c>
      <c r="F9" s="86" t="inlineStr">
        <is>
          <t>prospective</t>
        </is>
      </c>
      <c r="G9" s="86" t="inlineStr">
        <is>
          <t>middle</t>
        </is>
      </c>
      <c r="H9" s="86" t="inlineStr">
        <is>
          <t>primary</t>
        </is>
      </c>
      <c r="I9" s="86" t="inlineStr">
        <is>
          <t>no</t>
        </is>
      </c>
      <c r="J9" s="86" t="inlineStr">
        <is>
          <t>rdr</t>
        </is>
      </c>
      <c r="K9" s="86" t="inlineStr">
        <is>
          <t>no</t>
        </is>
      </c>
      <c r="L9" s="86" t="inlineStr">
        <is>
          <t>no</t>
        </is>
      </c>
      <c r="M9" s="86" t="inlineStr">
        <is>
          <t>portable</t>
        </is>
      </c>
      <c r="N9" s="86" t="inlineStr">
        <is>
          <t>zeiss</t>
        </is>
      </c>
      <c r="O9" s="86" t="inlineStr">
        <is>
          <t>icdr</t>
        </is>
      </c>
      <c r="P9" s="86" t="inlineStr">
        <is>
          <t>retina specialist</t>
        </is>
      </c>
      <c r="Q9" s="86" t="inlineStr">
        <is>
          <t>no</t>
        </is>
      </c>
      <c r="R9" s="86" t="inlineStr">
        <is>
          <t>fundus</t>
        </is>
      </c>
      <c r="S9" s="32" t="inlineStr">
        <is>
          <t>2</t>
        </is>
      </c>
      <c r="T9" s="86" t="inlineStr">
        <is>
          <t>no</t>
        </is>
      </c>
      <c r="U9" s="86" t="inlineStr">
        <is>
          <t>no</t>
        </is>
      </c>
      <c r="V9" s="86" t="inlineStr">
        <is>
          <t>no</t>
        </is>
      </c>
      <c r="W9" s="86" t="inlineStr">
        <is>
          <t>resnet family</t>
        </is>
      </c>
      <c r="X9" s="86" t="inlineStr">
        <is>
          <t>asia</t>
        </is>
      </c>
      <c r="Y9" s="86" t="inlineStr">
        <is>
          <t>high</t>
        </is>
      </c>
      <c r="Z9" s="86" t="inlineStr">
        <is>
          <t>high</t>
        </is>
      </c>
      <c r="AA9" s="86" t="inlineStr">
        <is>
          <t>excluded</t>
        </is>
      </c>
      <c r="AB9" s="86" t="inlineStr">
        <is>
          <t>middle</t>
        </is>
      </c>
      <c r="AC9" s="86" t="n">
        <v>16247</v>
      </c>
      <c r="AD9" s="104" t="n">
        <v>0.2300732442912538</v>
      </c>
      <c r="AE9" s="104" t="n">
        <v>3738</v>
      </c>
      <c r="AF9" s="104" t="n">
        <v>12509</v>
      </c>
      <c r="AG9" s="104" t="n">
        <v>0.8667736757624398</v>
      </c>
      <c r="AH9" s="104" t="n">
        <v>0.9843312814773363</v>
      </c>
      <c r="AI9" s="86" t="n">
        <v>3240</v>
      </c>
      <c r="AJ9" s="86" t="n">
        <v>498</v>
      </c>
      <c r="AK9" s="86" t="n">
        <v>12313</v>
      </c>
      <c r="AL9" s="86" t="n">
        <v>196</v>
      </c>
    </row>
    <row r="10" ht="16" customHeight="1" s="55">
      <c r="A10" s="88" t="inlineStr">
        <is>
          <t>Ruamviboonsuk et al. 2022</t>
        </is>
      </c>
      <c r="B10" s="86" t="inlineStr">
        <is>
          <t>Reader</t>
        </is>
      </c>
      <c r="C10" s="86" t="inlineStr">
        <is>
          <t>ARDA</t>
        </is>
      </c>
      <c r="D10" s="86" t="inlineStr">
        <is>
          <t>retinaspecialist</t>
        </is>
      </c>
      <c r="E10" s="86" t="inlineStr">
        <is>
          <t>original</t>
        </is>
      </c>
      <c r="F10" s="86" t="inlineStr">
        <is>
          <t>prospective</t>
        </is>
      </c>
      <c r="G10" s="86" t="inlineStr">
        <is>
          <t>middle</t>
        </is>
      </c>
      <c r="H10" s="86" t="inlineStr">
        <is>
          <t>primary</t>
        </is>
      </c>
      <c r="I10" s="86" t="inlineStr">
        <is>
          <t>yes</t>
        </is>
      </c>
      <c r="J10" s="86" t="inlineStr">
        <is>
          <t>vtdr</t>
        </is>
      </c>
      <c r="K10" s="86" t="inlineStr">
        <is>
          <t>no</t>
        </is>
      </c>
      <c r="L10" s="86" t="inlineStr">
        <is>
          <t>no</t>
        </is>
      </c>
      <c r="M10" s="86" t="inlineStr">
        <is>
          <t>desktop</t>
        </is>
      </c>
      <c r="N10" s="86" t="inlineStr">
        <is>
          <t>mixed</t>
        </is>
      </c>
      <c r="O10" s="86" t="inlineStr">
        <is>
          <t>icdr</t>
        </is>
      </c>
      <c r="P10" s="86" t="inlineStr">
        <is>
          <t>retina specialist</t>
        </is>
      </c>
      <c r="Q10" s="86" t="inlineStr">
        <is>
          <t>yes</t>
        </is>
      </c>
      <c r="R10" s="86" t="inlineStr">
        <is>
          <t>fundus</t>
        </is>
      </c>
      <c r="S10" s="32" t="inlineStr">
        <is>
          <t>1</t>
        </is>
      </c>
      <c r="T10" s="86" t="inlineStr">
        <is>
          <t>yes</t>
        </is>
      </c>
      <c r="U10" s="86" t="inlineStr">
        <is>
          <t>yes</t>
        </is>
      </c>
      <c r="V10" s="86" t="inlineStr">
        <is>
          <t>yes</t>
        </is>
      </c>
      <c r="W10" s="86" t="inlineStr">
        <is>
          <t>inception family</t>
        </is>
      </c>
      <c r="X10" s="86" t="inlineStr">
        <is>
          <t>asia</t>
        </is>
      </c>
      <c r="Y10" s="86" t="inlineStr">
        <is>
          <t>high</t>
        </is>
      </c>
      <c r="Z10" s="86" t="inlineStr">
        <is>
          <t>low</t>
        </is>
      </c>
      <c r="AA10" s="86" t="inlineStr">
        <is>
          <t>positive</t>
        </is>
      </c>
      <c r="AB10" s="86" t="inlineStr">
        <is>
          <t>middle</t>
        </is>
      </c>
      <c r="AC10" s="86" t="n">
        <v>987</v>
      </c>
      <c r="AD10" s="104" t="n">
        <v>0.1661600810536981</v>
      </c>
      <c r="AE10" s="104" t="n">
        <v>164</v>
      </c>
      <c r="AF10" s="104" t="n">
        <v>823</v>
      </c>
      <c r="AG10" s="104" t="n">
        <v>0.8963414634146342</v>
      </c>
      <c r="AH10" s="104" t="n">
        <v>0.9538274605103281</v>
      </c>
      <c r="AI10" s="86" t="n">
        <v>147</v>
      </c>
      <c r="AJ10" s="86" t="n">
        <v>17</v>
      </c>
      <c r="AK10" s="86" t="n">
        <v>785</v>
      </c>
      <c r="AL10" s="86" t="n">
        <v>38</v>
      </c>
    </row>
    <row r="11" ht="16" customHeight="1" s="55">
      <c r="A11" s="28" t="inlineStr">
        <is>
          <t>Zhang et al. 2022</t>
        </is>
      </c>
      <c r="B11" s="86" t="inlineStr">
        <is>
          <t>Reader</t>
        </is>
      </c>
      <c r="C11" s="86" t="inlineStr">
        <is>
          <t>DGCN</t>
        </is>
      </c>
      <c r="D11" s="86" t="inlineStr">
        <is>
          <t>retinaspecialist</t>
        </is>
      </c>
      <c r="E11" s="86" t="inlineStr">
        <is>
          <t>original</t>
        </is>
      </c>
      <c r="F11" s="86" t="inlineStr">
        <is>
          <t>retrospective</t>
        </is>
      </c>
      <c r="G11" s="86" t="inlineStr">
        <is>
          <t>high</t>
        </is>
      </c>
      <c r="H11" s="86" t="inlineStr">
        <is>
          <t>public dataset</t>
        </is>
      </c>
      <c r="I11" s="86" t="inlineStr">
        <is>
          <t>no</t>
        </is>
      </c>
      <c r="J11" s="86" t="inlineStr">
        <is>
          <t>dr</t>
        </is>
      </c>
      <c r="K11" s="86" t="inlineStr">
        <is>
          <t>no</t>
        </is>
      </c>
      <c r="L11" s="86" t="inlineStr">
        <is>
          <t>mixed</t>
        </is>
      </c>
      <c r="M11" s="86" t="inlineStr">
        <is>
          <t>mixed</t>
        </is>
      </c>
      <c r="N11" s="86" t="inlineStr">
        <is>
          <t>mixed</t>
        </is>
      </c>
      <c r="O11" s="86" t="inlineStr">
        <is>
          <t>icdr</t>
        </is>
      </c>
      <c r="P11" s="86" t="inlineStr">
        <is>
          <t>ophthalmologist</t>
        </is>
      </c>
      <c r="Q11" s="86" t="inlineStr">
        <is>
          <t>yes</t>
        </is>
      </c>
      <c r="R11" s="86" t="inlineStr">
        <is>
          <t>fundus</t>
        </is>
      </c>
      <c r="S11" s="32" t="inlineStr">
        <is>
          <t>1</t>
        </is>
      </c>
      <c r="T11" s="86" t="inlineStr">
        <is>
          <t>no</t>
        </is>
      </c>
      <c r="U11" s="86" t="inlineStr">
        <is>
          <t>no</t>
        </is>
      </c>
      <c r="V11" s="86" t="inlineStr">
        <is>
          <t>no</t>
        </is>
      </c>
      <c r="W11" s="86" t="inlineStr">
        <is>
          <t>resnet family</t>
        </is>
      </c>
      <c r="X11" s="86" t="inlineStr">
        <is>
          <t>north america</t>
        </is>
      </c>
      <c r="Y11" s="86" t="inlineStr">
        <is>
          <t>high</t>
        </is>
      </c>
      <c r="Z11" s="86" t="inlineStr">
        <is>
          <t>high</t>
        </is>
      </c>
      <c r="AA11" s="86" t="inlineStr">
        <is>
          <t>excluded</t>
        </is>
      </c>
      <c r="AB11" s="86" t="inlineStr">
        <is>
          <t>high</t>
        </is>
      </c>
      <c r="AC11" s="86" t="n">
        <v>10286</v>
      </c>
      <c r="AD11" s="104" t="n">
        <v>0.7787283686564263</v>
      </c>
      <c r="AE11" s="104" t="n">
        <v>8010</v>
      </c>
      <c r="AF11" s="104" t="n">
        <v>2276</v>
      </c>
      <c r="AG11" s="104" t="n">
        <v>0.8950062421972534</v>
      </c>
      <c r="AH11" s="104" t="n">
        <v>0.9318980667838312</v>
      </c>
      <c r="AI11" s="86" t="n">
        <v>7169</v>
      </c>
      <c r="AJ11" s="86" t="n">
        <v>841</v>
      </c>
      <c r="AK11" s="86" t="n">
        <v>2121</v>
      </c>
      <c r="AL11" s="86" t="n">
        <v>155</v>
      </c>
    </row>
    <row r="12" ht="16" customHeight="1" s="55">
      <c r="A12" s="28" t="inlineStr">
        <is>
          <t>Zhang et al. 2022</t>
        </is>
      </c>
      <c r="B12" s="86" t="inlineStr">
        <is>
          <t>Reader</t>
        </is>
      </c>
      <c r="C12" s="86" t="inlineStr">
        <is>
          <t>DGCN</t>
        </is>
      </c>
      <c r="D12" s="86" t="inlineStr">
        <is>
          <t>trainedgrader</t>
        </is>
      </c>
      <c r="E12" s="86" t="inlineStr">
        <is>
          <t>original</t>
        </is>
      </c>
      <c r="F12" s="86" t="inlineStr">
        <is>
          <t>retrospective</t>
        </is>
      </c>
      <c r="G12" s="86" t="inlineStr">
        <is>
          <t>high</t>
        </is>
      </c>
      <c r="H12" s="86" t="inlineStr">
        <is>
          <t>public dataset</t>
        </is>
      </c>
      <c r="I12" s="86" t="inlineStr">
        <is>
          <t>no</t>
        </is>
      </c>
      <c r="J12" s="86" t="inlineStr">
        <is>
          <t>dr</t>
        </is>
      </c>
      <c r="K12" s="86" t="inlineStr">
        <is>
          <t>no</t>
        </is>
      </c>
      <c r="L12" s="86" t="inlineStr">
        <is>
          <t>mixed</t>
        </is>
      </c>
      <c r="M12" s="86" t="inlineStr">
        <is>
          <t>mixed</t>
        </is>
      </c>
      <c r="N12" s="86" t="inlineStr">
        <is>
          <t>mixed</t>
        </is>
      </c>
      <c r="O12" s="86" t="inlineStr">
        <is>
          <t>icdr</t>
        </is>
      </c>
      <c r="P12" s="86" t="inlineStr">
        <is>
          <t>ophthalmologist</t>
        </is>
      </c>
      <c r="Q12" s="86" t="inlineStr">
        <is>
          <t>yes</t>
        </is>
      </c>
      <c r="R12" s="86" t="inlineStr">
        <is>
          <t>fundus</t>
        </is>
      </c>
      <c r="S12" s="32" t="inlineStr">
        <is>
          <t>1</t>
        </is>
      </c>
      <c r="T12" s="86" t="inlineStr">
        <is>
          <t>no</t>
        </is>
      </c>
      <c r="U12" s="86" t="inlineStr">
        <is>
          <t>no</t>
        </is>
      </c>
      <c r="V12" s="86" t="inlineStr">
        <is>
          <t>no</t>
        </is>
      </c>
      <c r="W12" s="86" t="inlineStr">
        <is>
          <t>resnet family</t>
        </is>
      </c>
      <c r="X12" s="86" t="inlineStr">
        <is>
          <t>north america</t>
        </is>
      </c>
      <c r="Y12" s="86" t="inlineStr">
        <is>
          <t>high</t>
        </is>
      </c>
      <c r="Z12" s="86" t="inlineStr">
        <is>
          <t>high</t>
        </is>
      </c>
      <c r="AA12" s="86" t="inlineStr">
        <is>
          <t>excluded</t>
        </is>
      </c>
      <c r="AB12" s="86" t="inlineStr">
        <is>
          <t>high</t>
        </is>
      </c>
      <c r="AC12" s="86" t="n">
        <v>10286</v>
      </c>
      <c r="AD12" s="104" t="n">
        <v>0.7787283686564263</v>
      </c>
      <c r="AE12" s="104" t="n">
        <v>8010</v>
      </c>
      <c r="AF12" s="104" t="n">
        <v>2276</v>
      </c>
      <c r="AG12" s="104" t="n">
        <v>0.8640449438202247</v>
      </c>
      <c r="AH12" s="104" t="n">
        <v>0.9042179261862917</v>
      </c>
      <c r="AI12" s="86" t="n">
        <v>6921</v>
      </c>
      <c r="AJ12" s="86" t="n">
        <v>1089</v>
      </c>
      <c r="AK12" s="86" t="n">
        <v>2058</v>
      </c>
      <c r="AL12" s="86" t="n">
        <v>218</v>
      </c>
    </row>
    <row r="13" ht="16" customHeight="1" s="55">
      <c r="A13" s="28" t="inlineStr">
        <is>
          <t>Zhang et al. 2022</t>
        </is>
      </c>
      <c r="B13" s="86" t="inlineStr">
        <is>
          <t>Reader</t>
        </is>
      </c>
      <c r="C13" s="86" t="inlineStr">
        <is>
          <t>DGCN</t>
        </is>
      </c>
      <c r="D13" s="86" t="inlineStr">
        <is>
          <t>retinaspecialist</t>
        </is>
      </c>
      <c r="E13" s="86" t="inlineStr">
        <is>
          <t>original</t>
        </is>
      </c>
      <c r="F13" s="86" t="inlineStr">
        <is>
          <t>retrospective</t>
        </is>
      </c>
      <c r="G13" s="86" t="inlineStr">
        <is>
          <t>high</t>
        </is>
      </c>
      <c r="H13" s="86" t="inlineStr">
        <is>
          <t>public dataset</t>
        </is>
      </c>
      <c r="I13" s="86" t="inlineStr">
        <is>
          <t>no</t>
        </is>
      </c>
      <c r="J13" s="86" t="inlineStr">
        <is>
          <t>rdr</t>
        </is>
      </c>
      <c r="K13" s="86" t="inlineStr">
        <is>
          <t>no</t>
        </is>
      </c>
      <c r="L13" s="86" t="inlineStr">
        <is>
          <t>mixed</t>
        </is>
      </c>
      <c r="M13" s="86" t="inlineStr">
        <is>
          <t>mixed</t>
        </is>
      </c>
      <c r="N13" s="86" t="inlineStr">
        <is>
          <t>mixed</t>
        </is>
      </c>
      <c r="O13" s="86" t="inlineStr">
        <is>
          <t>icdr</t>
        </is>
      </c>
      <c r="P13" s="86" t="inlineStr">
        <is>
          <t>ophthalmologist</t>
        </is>
      </c>
      <c r="Q13" s="86" t="inlineStr">
        <is>
          <t>yes</t>
        </is>
      </c>
      <c r="R13" s="86" t="inlineStr">
        <is>
          <t>fundus</t>
        </is>
      </c>
      <c r="S13" s="32" t="inlineStr">
        <is>
          <t>1</t>
        </is>
      </c>
      <c r="T13" s="86" t="inlineStr">
        <is>
          <t>no</t>
        </is>
      </c>
      <c r="U13" s="86" t="inlineStr">
        <is>
          <t>no</t>
        </is>
      </c>
      <c r="V13" s="86" t="inlineStr">
        <is>
          <t>no</t>
        </is>
      </c>
      <c r="W13" s="86" t="inlineStr">
        <is>
          <t>resnet family</t>
        </is>
      </c>
      <c r="X13" s="86" t="inlineStr">
        <is>
          <t>europe</t>
        </is>
      </c>
      <c r="Y13" s="86" t="inlineStr">
        <is>
          <t>high</t>
        </is>
      </c>
      <c r="Z13" s="86" t="inlineStr">
        <is>
          <t>high</t>
        </is>
      </c>
      <c r="AA13" s="86" t="inlineStr">
        <is>
          <t>excluded</t>
        </is>
      </c>
      <c r="AB13" s="86" t="inlineStr">
        <is>
          <t>middle</t>
        </is>
      </c>
      <c r="AC13" s="86" t="n">
        <v>1748</v>
      </c>
      <c r="AD13" s="104" t="n">
        <v>0.1453089244851259</v>
      </c>
      <c r="AE13" s="104" t="n">
        <v>254</v>
      </c>
      <c r="AF13" s="104" t="n">
        <v>1494</v>
      </c>
      <c r="AG13" s="104" t="n">
        <v>0.9094488188976378</v>
      </c>
      <c r="AH13" s="104" t="n">
        <v>0.9497991967871486</v>
      </c>
      <c r="AI13" s="86" t="n">
        <v>231</v>
      </c>
      <c r="AJ13" s="86" t="n">
        <v>23</v>
      </c>
      <c r="AK13" s="86" t="n">
        <v>1419</v>
      </c>
      <c r="AL13" s="86" t="n">
        <v>75</v>
      </c>
    </row>
    <row r="14" ht="16" customHeight="1" s="55">
      <c r="A14" s="28" t="inlineStr">
        <is>
          <t>Zhang et al. 2022</t>
        </is>
      </c>
      <c r="B14" s="86" t="inlineStr">
        <is>
          <t>Reader</t>
        </is>
      </c>
      <c r="C14" s="86" t="inlineStr">
        <is>
          <t>DGCN</t>
        </is>
      </c>
      <c r="D14" s="86" t="inlineStr">
        <is>
          <t>trainedgrader</t>
        </is>
      </c>
      <c r="E14" s="86" t="inlineStr">
        <is>
          <t>original</t>
        </is>
      </c>
      <c r="F14" s="86" t="inlineStr">
        <is>
          <t>retrospective</t>
        </is>
      </c>
      <c r="G14" s="86" t="inlineStr">
        <is>
          <t>high</t>
        </is>
      </c>
      <c r="H14" s="86" t="inlineStr">
        <is>
          <t>public dataset</t>
        </is>
      </c>
      <c r="I14" s="86" t="inlineStr">
        <is>
          <t>no</t>
        </is>
      </c>
      <c r="J14" s="86" t="inlineStr">
        <is>
          <t>rdr</t>
        </is>
      </c>
      <c r="K14" s="86" t="inlineStr">
        <is>
          <t>no</t>
        </is>
      </c>
      <c r="L14" s="86" t="inlineStr">
        <is>
          <t>mixed</t>
        </is>
      </c>
      <c r="M14" s="86" t="inlineStr">
        <is>
          <t>mixed</t>
        </is>
      </c>
      <c r="N14" s="86" t="inlineStr">
        <is>
          <t>mixed</t>
        </is>
      </c>
      <c r="O14" s="86" t="inlineStr">
        <is>
          <t>icdr</t>
        </is>
      </c>
      <c r="P14" s="86" t="inlineStr">
        <is>
          <t>ophthalmologist</t>
        </is>
      </c>
      <c r="Q14" s="86" t="inlineStr">
        <is>
          <t>yes</t>
        </is>
      </c>
      <c r="R14" s="86" t="inlineStr">
        <is>
          <t>fundus</t>
        </is>
      </c>
      <c r="S14" s="32" t="inlineStr">
        <is>
          <t>1</t>
        </is>
      </c>
      <c r="T14" s="86" t="inlineStr">
        <is>
          <t>no</t>
        </is>
      </c>
      <c r="U14" s="86" t="inlineStr">
        <is>
          <t>no</t>
        </is>
      </c>
      <c r="V14" s="86" t="inlineStr">
        <is>
          <t>no</t>
        </is>
      </c>
      <c r="W14" s="86" t="inlineStr">
        <is>
          <t>resnet family</t>
        </is>
      </c>
      <c r="X14" s="86" t="inlineStr">
        <is>
          <t>europe</t>
        </is>
      </c>
      <c r="Y14" s="86" t="inlineStr">
        <is>
          <t>high</t>
        </is>
      </c>
      <c r="Z14" s="86" t="inlineStr">
        <is>
          <t>high</t>
        </is>
      </c>
      <c r="AA14" s="86" t="inlineStr">
        <is>
          <t>excluded</t>
        </is>
      </c>
      <c r="AB14" s="86" t="inlineStr">
        <is>
          <t>middle</t>
        </is>
      </c>
      <c r="AC14" s="86" t="n">
        <v>1748</v>
      </c>
      <c r="AD14" s="104" t="n">
        <v>0.1453089244851259</v>
      </c>
      <c r="AE14" s="104" t="n">
        <v>254</v>
      </c>
      <c r="AF14" s="104" t="n">
        <v>1494</v>
      </c>
      <c r="AG14" s="104" t="n">
        <v>0.8779527559055118</v>
      </c>
      <c r="AH14" s="104" t="n">
        <v>0.9109772423025435</v>
      </c>
      <c r="AI14" s="86" t="n">
        <v>223</v>
      </c>
      <c r="AJ14" s="86" t="n">
        <v>31</v>
      </c>
      <c r="AK14" s="86" t="n">
        <v>1361</v>
      </c>
      <c r="AL14" s="86" t="n">
        <v>133</v>
      </c>
    </row>
    <row r="15" ht="16" customHeight="1" s="55">
      <c r="A15" s="28" t="inlineStr">
        <is>
          <t>Hsieh et al. 2021</t>
        </is>
      </c>
      <c r="B15" s="86" t="inlineStr">
        <is>
          <t>Reader</t>
        </is>
      </c>
      <c r="C15" s="86" t="inlineStr">
        <is>
          <t>VeriSee</t>
        </is>
      </c>
      <c r="D15" s="86" t="inlineStr">
        <is>
          <t>ophthalmologist</t>
        </is>
      </c>
      <c r="E15" s="86" t="inlineStr">
        <is>
          <t>original</t>
        </is>
      </c>
      <c r="F15" s="86" t="inlineStr">
        <is>
          <t>retrospective</t>
        </is>
      </c>
      <c r="G15" s="86" t="inlineStr">
        <is>
          <t>high</t>
        </is>
      </c>
      <c r="H15" s="86" t="inlineStr">
        <is>
          <t>tertiary</t>
        </is>
      </c>
      <c r="I15" s="86" t="inlineStr">
        <is>
          <t>no</t>
        </is>
      </c>
      <c r="J15" s="86" t="inlineStr">
        <is>
          <t>dr</t>
        </is>
      </c>
      <c r="K15" s="86" t="inlineStr">
        <is>
          <t>no</t>
        </is>
      </c>
      <c r="L15" s="86" t="inlineStr">
        <is>
          <t>no</t>
        </is>
      </c>
      <c r="M15" s="86" t="inlineStr">
        <is>
          <t>desktop</t>
        </is>
      </c>
      <c r="N15" s="86" t="inlineStr">
        <is>
          <t>canon</t>
        </is>
      </c>
      <c r="O15" s="86" t="inlineStr">
        <is>
          <t>icdr</t>
        </is>
      </c>
      <c r="P15" s="86" t="inlineStr">
        <is>
          <t>ophthalmologist</t>
        </is>
      </c>
      <c r="Q15" s="86" t="inlineStr">
        <is>
          <t>yes</t>
        </is>
      </c>
      <c r="R15" s="86" t="inlineStr">
        <is>
          <t>fundus</t>
        </is>
      </c>
      <c r="S15" s="32" t="inlineStr">
        <is>
          <t>1</t>
        </is>
      </c>
      <c r="T15" s="86" t="inlineStr">
        <is>
          <t>yes</t>
        </is>
      </c>
      <c r="U15" s="86" t="inlineStr">
        <is>
          <t>yes</t>
        </is>
      </c>
      <c r="V15" s="86" t="inlineStr">
        <is>
          <t>yes</t>
        </is>
      </c>
      <c r="W15" s="86" t="inlineStr">
        <is>
          <t>inception family</t>
        </is>
      </c>
      <c r="X15" s="86" t="inlineStr">
        <is>
          <t>asia</t>
        </is>
      </c>
      <c r="Y15" s="86" t="inlineStr">
        <is>
          <t>high</t>
        </is>
      </c>
      <c r="Z15" s="86" t="inlineStr">
        <is>
          <t>high</t>
        </is>
      </c>
      <c r="AA15" s="86" t="inlineStr">
        <is>
          <t>excluded</t>
        </is>
      </c>
      <c r="AB15" s="86" t="inlineStr">
        <is>
          <t>high</t>
        </is>
      </c>
      <c r="AC15" s="86" t="n">
        <v>1875</v>
      </c>
      <c r="AD15" s="104" t="n">
        <v>0.3488</v>
      </c>
      <c r="AE15" s="104" t="n">
        <v>654</v>
      </c>
      <c r="AF15" s="104" t="n">
        <v>1221</v>
      </c>
      <c r="AG15" s="104" t="n">
        <v>0.8685015290519877</v>
      </c>
      <c r="AH15" s="104" t="n">
        <v>0.9746109746109746</v>
      </c>
      <c r="AI15" s="86" t="n">
        <v>568</v>
      </c>
      <c r="AJ15" s="86" t="n">
        <v>86</v>
      </c>
      <c r="AK15" s="86" t="n">
        <v>1190</v>
      </c>
      <c r="AL15" s="86" t="n">
        <v>31</v>
      </c>
    </row>
    <row r="16" ht="16" customHeight="1" s="55">
      <c r="A16" s="28" t="inlineStr">
        <is>
          <t>Hsieh et al. 2021</t>
        </is>
      </c>
      <c r="B16" s="86" t="inlineStr">
        <is>
          <t>Reader</t>
        </is>
      </c>
      <c r="C16" s="86" t="inlineStr">
        <is>
          <t>VeriSee</t>
        </is>
      </c>
      <c r="D16" s="86" t="inlineStr">
        <is>
          <t>ophthalmologist</t>
        </is>
      </c>
      <c r="E16" s="86" t="inlineStr">
        <is>
          <t>original</t>
        </is>
      </c>
      <c r="F16" s="86" t="inlineStr">
        <is>
          <t>retrospective</t>
        </is>
      </c>
      <c r="G16" s="86" t="inlineStr">
        <is>
          <t>high</t>
        </is>
      </c>
      <c r="H16" s="86" t="inlineStr">
        <is>
          <t>tertiary</t>
        </is>
      </c>
      <c r="I16" s="86" t="inlineStr">
        <is>
          <t>no</t>
        </is>
      </c>
      <c r="J16" s="86" t="inlineStr">
        <is>
          <t>rdr</t>
        </is>
      </c>
      <c r="K16" s="86" t="inlineStr">
        <is>
          <t>no</t>
        </is>
      </c>
      <c r="L16" s="86" t="inlineStr">
        <is>
          <t>no</t>
        </is>
      </c>
      <c r="M16" s="86" t="inlineStr">
        <is>
          <t>desktop</t>
        </is>
      </c>
      <c r="N16" s="86" t="inlineStr">
        <is>
          <t>canon</t>
        </is>
      </c>
      <c r="O16" s="86" t="inlineStr">
        <is>
          <t>icdr</t>
        </is>
      </c>
      <c r="P16" s="86" t="inlineStr">
        <is>
          <t>ophthalmologist</t>
        </is>
      </c>
      <c r="Q16" s="86" t="inlineStr">
        <is>
          <t>yes</t>
        </is>
      </c>
      <c r="R16" s="86" t="inlineStr">
        <is>
          <t>fundus</t>
        </is>
      </c>
      <c r="S16" s="32" t="inlineStr">
        <is>
          <t>1</t>
        </is>
      </c>
      <c r="T16" s="86" t="inlineStr">
        <is>
          <t>yes</t>
        </is>
      </c>
      <c r="U16" s="86" t="inlineStr">
        <is>
          <t>yes</t>
        </is>
      </c>
      <c r="V16" s="86" t="inlineStr">
        <is>
          <t>yes</t>
        </is>
      </c>
      <c r="W16" s="86" t="inlineStr">
        <is>
          <t>inception family</t>
        </is>
      </c>
      <c r="X16" s="86" t="inlineStr">
        <is>
          <t>asia</t>
        </is>
      </c>
      <c r="Y16" s="86" t="inlineStr">
        <is>
          <t>high</t>
        </is>
      </c>
      <c r="Z16" s="86" t="inlineStr">
        <is>
          <t>high</t>
        </is>
      </c>
      <c r="AA16" s="86" t="inlineStr">
        <is>
          <t>excluded</t>
        </is>
      </c>
      <c r="AB16" s="86" t="inlineStr">
        <is>
          <t>high</t>
        </is>
      </c>
      <c r="AC16" s="86" t="n">
        <v>1875</v>
      </c>
      <c r="AD16" s="104" t="n">
        <v>0.3488</v>
      </c>
      <c r="AE16" s="104" t="n">
        <v>654</v>
      </c>
      <c r="AF16" s="104" t="n">
        <v>1221</v>
      </c>
      <c r="AG16" s="104" t="n">
        <v>0.6437308868501529</v>
      </c>
      <c r="AH16" s="104" t="n">
        <v>0.719082719082719</v>
      </c>
      <c r="AI16" s="86" t="n">
        <v>421</v>
      </c>
      <c r="AJ16" s="86" t="n">
        <v>233</v>
      </c>
      <c r="AK16" s="86" t="n">
        <v>878</v>
      </c>
      <c r="AL16" s="86" t="n">
        <v>343</v>
      </c>
    </row>
    <row r="17" ht="16" customHeight="1" s="55">
      <c r="A17" s="28" t="inlineStr">
        <is>
          <t>Hsieh et al. 2021</t>
        </is>
      </c>
      <c r="B17" s="86" t="inlineStr">
        <is>
          <t>Reader</t>
        </is>
      </c>
      <c r="C17" s="86" t="inlineStr">
        <is>
          <t>VeriSee</t>
        </is>
      </c>
      <c r="D17" s="86" t="inlineStr">
        <is>
          <t>physician</t>
        </is>
      </c>
      <c r="E17" s="86" t="inlineStr">
        <is>
          <t>original</t>
        </is>
      </c>
      <c r="F17" s="86" t="inlineStr">
        <is>
          <t>retrospective</t>
        </is>
      </c>
      <c r="G17" s="86" t="inlineStr">
        <is>
          <t>high</t>
        </is>
      </c>
      <c r="H17" s="86" t="inlineStr">
        <is>
          <t>tertiary</t>
        </is>
      </c>
      <c r="I17" s="86" t="inlineStr">
        <is>
          <t>no</t>
        </is>
      </c>
      <c r="J17" s="86" t="inlineStr">
        <is>
          <t>dr</t>
        </is>
      </c>
      <c r="K17" s="86" t="inlineStr">
        <is>
          <t>no</t>
        </is>
      </c>
      <c r="L17" s="86" t="inlineStr">
        <is>
          <t>no</t>
        </is>
      </c>
      <c r="M17" s="86" t="inlineStr">
        <is>
          <t>desktop</t>
        </is>
      </c>
      <c r="N17" s="86" t="inlineStr">
        <is>
          <t>canon</t>
        </is>
      </c>
      <c r="O17" s="86" t="inlineStr">
        <is>
          <t>icdr</t>
        </is>
      </c>
      <c r="P17" s="86" t="inlineStr">
        <is>
          <t>ophthalmologist</t>
        </is>
      </c>
      <c r="Q17" s="86" t="inlineStr">
        <is>
          <t>yes</t>
        </is>
      </c>
      <c r="R17" s="86" t="inlineStr">
        <is>
          <t>fundus</t>
        </is>
      </c>
      <c r="S17" s="32" t="inlineStr">
        <is>
          <t>1</t>
        </is>
      </c>
      <c r="T17" s="86" t="inlineStr">
        <is>
          <t>yes</t>
        </is>
      </c>
      <c r="U17" s="86" t="inlineStr">
        <is>
          <t>yes</t>
        </is>
      </c>
      <c r="V17" s="86" t="inlineStr">
        <is>
          <t>yes</t>
        </is>
      </c>
      <c r="W17" s="86" t="inlineStr">
        <is>
          <t>inception family</t>
        </is>
      </c>
      <c r="X17" s="86" t="inlineStr">
        <is>
          <t>asia</t>
        </is>
      </c>
      <c r="Y17" s="86" t="inlineStr">
        <is>
          <t>high</t>
        </is>
      </c>
      <c r="Z17" s="86" t="inlineStr">
        <is>
          <t>high</t>
        </is>
      </c>
      <c r="AA17" s="86" t="inlineStr">
        <is>
          <t>excluded</t>
        </is>
      </c>
      <c r="AB17" s="86" t="inlineStr">
        <is>
          <t>middle</t>
        </is>
      </c>
      <c r="AC17" s="86" t="n">
        <v>1875</v>
      </c>
      <c r="AD17" s="104" t="n">
        <v>0.1189333333333333</v>
      </c>
      <c r="AE17" s="104" t="n">
        <v>223</v>
      </c>
      <c r="AF17" s="104" t="n">
        <v>1652</v>
      </c>
      <c r="AG17" s="104" t="n">
        <v>0.7130044843049327</v>
      </c>
      <c r="AH17" s="104" t="n">
        <v>0.9891041162227603</v>
      </c>
      <c r="AI17" s="86" t="n">
        <v>159</v>
      </c>
      <c r="AJ17" s="86" t="n">
        <v>64</v>
      </c>
      <c r="AK17" s="86" t="n">
        <v>1634</v>
      </c>
      <c r="AL17" s="86" t="n">
        <v>18</v>
      </c>
    </row>
    <row r="18" ht="16" customHeight="1" s="55">
      <c r="A18" s="88" t="inlineStr">
        <is>
          <t>Kim et al. 2021</t>
        </is>
      </c>
      <c r="B18" s="86" t="inlineStr">
        <is>
          <t>Reader</t>
        </is>
      </c>
      <c r="C18" s="86" t="inlineStr">
        <is>
          <t>EyeArt</t>
        </is>
      </c>
      <c r="D18" s="86" t="inlineStr">
        <is>
          <t>retinaspecialist</t>
        </is>
      </c>
      <c r="E18" s="86" t="inlineStr">
        <is>
          <t>original</t>
        </is>
      </c>
      <c r="F18" s="86" t="inlineStr">
        <is>
          <t>prospective</t>
        </is>
      </c>
      <c r="G18" s="86" t="inlineStr">
        <is>
          <t>high</t>
        </is>
      </c>
      <c r="H18" s="86" t="inlineStr">
        <is>
          <t>tertiary</t>
        </is>
      </c>
      <c r="I18" s="86" t="inlineStr">
        <is>
          <t>no</t>
        </is>
      </c>
      <c r="J18" s="86" t="inlineStr">
        <is>
          <t>rdr</t>
        </is>
      </c>
      <c r="K18" s="86" t="inlineStr">
        <is>
          <t>no</t>
        </is>
      </c>
      <c r="L18" s="86" t="inlineStr">
        <is>
          <t>yes</t>
        </is>
      </c>
      <c r="M18" s="86" t="inlineStr">
        <is>
          <t>smartphone</t>
        </is>
      </c>
      <c r="N18" s="86" t="inlineStr">
        <is>
          <t>retinascope</t>
        </is>
      </c>
      <c r="O18" s="86" t="inlineStr">
        <is>
          <t>etdrs</t>
        </is>
      </c>
      <c r="P18" s="86" t="inlineStr">
        <is>
          <t>retina specialist</t>
        </is>
      </c>
      <c r="Q18" s="86" t="inlineStr">
        <is>
          <t>no</t>
        </is>
      </c>
      <c r="R18" s="86" t="inlineStr">
        <is>
          <t>clinical examination</t>
        </is>
      </c>
      <c r="S18" s="32" t="inlineStr">
        <is>
          <t>&gt;2</t>
        </is>
      </c>
      <c r="T18" s="86" t="inlineStr">
        <is>
          <t>yes</t>
        </is>
      </c>
      <c r="U18" s="86" t="inlineStr">
        <is>
          <t>yes</t>
        </is>
      </c>
      <c r="V18" s="86" t="inlineStr">
        <is>
          <t>yes</t>
        </is>
      </c>
      <c r="W18" s="86" t="inlineStr">
        <is>
          <t>cnn</t>
        </is>
      </c>
      <c r="X18" s="86" t="inlineStr">
        <is>
          <t>north america</t>
        </is>
      </c>
      <c r="Y18" s="86" t="inlineStr">
        <is>
          <t>high</t>
        </is>
      </c>
      <c r="Z18" s="86" t="inlineStr">
        <is>
          <t>high</t>
        </is>
      </c>
      <c r="AA18" s="86" t="inlineStr">
        <is>
          <t>excluded</t>
        </is>
      </c>
      <c r="AB18" s="86" t="inlineStr">
        <is>
          <t>high</t>
        </is>
      </c>
      <c r="AC18" s="86" t="n">
        <v>119</v>
      </c>
      <c r="AD18" s="104" t="n">
        <v>0.7394957983193278</v>
      </c>
      <c r="AE18" s="104" t="n">
        <v>88</v>
      </c>
      <c r="AF18" s="104" t="n">
        <v>31</v>
      </c>
      <c r="AG18" s="104" t="n">
        <v>0.9431818181818182</v>
      </c>
      <c r="AH18" s="104" t="n">
        <v>0.5483870967741935</v>
      </c>
      <c r="AI18" s="86" t="n">
        <v>83</v>
      </c>
      <c r="AJ18" s="86" t="n">
        <v>5</v>
      </c>
      <c r="AK18" s="86" t="n">
        <v>17</v>
      </c>
      <c r="AL18" s="86" t="n">
        <v>14</v>
      </c>
    </row>
    <row r="19" ht="16" customHeight="1" s="55">
      <c r="A19" s="88" t="inlineStr">
        <is>
          <t>Kim et al. 2021</t>
        </is>
      </c>
      <c r="B19" s="86" t="inlineStr">
        <is>
          <t>Reader</t>
        </is>
      </c>
      <c r="C19" s="86" t="inlineStr">
        <is>
          <t>EyeArt</t>
        </is>
      </c>
      <c r="D19" s="86" t="inlineStr">
        <is>
          <t>ophthalmologist</t>
        </is>
      </c>
      <c r="E19" s="86" t="inlineStr">
        <is>
          <t>original</t>
        </is>
      </c>
      <c r="F19" s="86" t="inlineStr">
        <is>
          <t>prospective</t>
        </is>
      </c>
      <c r="G19" s="86" t="inlineStr">
        <is>
          <t>high</t>
        </is>
      </c>
      <c r="H19" s="86" t="inlineStr">
        <is>
          <t>tertiary</t>
        </is>
      </c>
      <c r="I19" s="86" t="inlineStr">
        <is>
          <t>no</t>
        </is>
      </c>
      <c r="J19" s="86" t="inlineStr">
        <is>
          <t>rdr</t>
        </is>
      </c>
      <c r="K19" s="86" t="inlineStr">
        <is>
          <t>no</t>
        </is>
      </c>
      <c r="L19" s="86" t="inlineStr">
        <is>
          <t>yes</t>
        </is>
      </c>
      <c r="M19" s="86" t="inlineStr">
        <is>
          <t>smartphone</t>
        </is>
      </c>
      <c r="N19" s="86" t="inlineStr">
        <is>
          <t>retinascope</t>
        </is>
      </c>
      <c r="O19" s="86" t="inlineStr">
        <is>
          <t>etdrs</t>
        </is>
      </c>
      <c r="P19" s="86" t="inlineStr">
        <is>
          <t>retina specialist</t>
        </is>
      </c>
      <c r="Q19" s="86" t="inlineStr">
        <is>
          <t>no</t>
        </is>
      </c>
      <c r="R19" s="86" t="inlineStr">
        <is>
          <t>clinical examination</t>
        </is>
      </c>
      <c r="S19" s="32" t="inlineStr">
        <is>
          <t>&gt;2</t>
        </is>
      </c>
      <c r="T19" s="86" t="inlineStr">
        <is>
          <t>yes</t>
        </is>
      </c>
      <c r="U19" s="86" t="inlineStr">
        <is>
          <t>yes</t>
        </is>
      </c>
      <c r="V19" s="86" t="inlineStr">
        <is>
          <t>yes</t>
        </is>
      </c>
      <c r="W19" s="86" t="inlineStr">
        <is>
          <t>cnn</t>
        </is>
      </c>
      <c r="X19" s="86" t="inlineStr">
        <is>
          <t>north america</t>
        </is>
      </c>
      <c r="Y19" s="86" t="inlineStr">
        <is>
          <t>high</t>
        </is>
      </c>
      <c r="Z19" s="86" t="inlineStr">
        <is>
          <t>high</t>
        </is>
      </c>
      <c r="AA19" s="86" t="inlineStr">
        <is>
          <t>excluded</t>
        </is>
      </c>
      <c r="AB19" s="86" t="inlineStr">
        <is>
          <t>high</t>
        </is>
      </c>
      <c r="AC19" s="86" t="n">
        <v>119</v>
      </c>
      <c r="AD19" s="104" t="n">
        <v>0.7394957983193278</v>
      </c>
      <c r="AE19" s="104" t="n">
        <v>88</v>
      </c>
      <c r="AF19" s="104" t="n">
        <v>31</v>
      </c>
      <c r="AG19" s="104" t="n">
        <v>0.8953488372093024</v>
      </c>
      <c r="AH19" s="104" t="n">
        <v>0.6774193548387096</v>
      </c>
      <c r="AI19" s="86" t="n">
        <v>77</v>
      </c>
      <c r="AJ19" s="86" t="n">
        <v>9</v>
      </c>
      <c r="AK19" s="86" t="n">
        <v>21</v>
      </c>
      <c r="AL19" s="86" t="n">
        <v>10</v>
      </c>
    </row>
    <row r="20" ht="16" customHeight="1" s="55">
      <c r="A20" s="88" t="inlineStr">
        <is>
          <t>Gonz_x0001_alez-Gonzalo et al. 2020</t>
        </is>
      </c>
      <c r="B20" s="86" t="inlineStr">
        <is>
          <t>Reader</t>
        </is>
      </c>
      <c r="C20" s="86" t="inlineStr">
        <is>
          <t>RetCAD</t>
        </is>
      </c>
      <c r="D20" s="86" t="inlineStr">
        <is>
          <t>ophthalmologist</t>
        </is>
      </c>
      <c r="E20" s="86" t="inlineStr">
        <is>
          <t>original</t>
        </is>
      </c>
      <c r="F20" s="86" t="inlineStr">
        <is>
          <t>retrospective</t>
        </is>
      </c>
      <c r="G20" s="86" t="inlineStr">
        <is>
          <t>high</t>
        </is>
      </c>
      <c r="H20" s="86" t="inlineStr">
        <is>
          <t>tertiary</t>
        </is>
      </c>
      <c r="I20" s="86" t="inlineStr">
        <is>
          <t>yes</t>
        </is>
      </c>
      <c r="J20" s="86" t="inlineStr">
        <is>
          <t>rdr</t>
        </is>
      </c>
      <c r="K20" s="86" t="inlineStr">
        <is>
          <t>yes</t>
        </is>
      </c>
      <c r="L20" s="86" t="inlineStr">
        <is>
          <t>no</t>
        </is>
      </c>
      <c r="M20" s="86" t="inlineStr">
        <is>
          <t>desktop</t>
        </is>
      </c>
      <c r="N20" s="86" t="inlineStr">
        <is>
          <t>canon</t>
        </is>
      </c>
      <c r="O20" s="86" t="inlineStr">
        <is>
          <t>icdr</t>
        </is>
      </c>
      <c r="P20" s="86" t="inlineStr">
        <is>
          <t>ophthalmologist</t>
        </is>
      </c>
      <c r="Q20" s="86" t="inlineStr">
        <is>
          <t>no</t>
        </is>
      </c>
      <c r="R20" s="86" t="inlineStr">
        <is>
          <t>fundus</t>
        </is>
      </c>
      <c r="S20" s="32" t="inlineStr">
        <is>
          <t>1</t>
        </is>
      </c>
      <c r="T20" s="86" t="inlineStr">
        <is>
          <t>no</t>
        </is>
      </c>
      <c r="U20" s="86" t="inlineStr">
        <is>
          <t>yes</t>
        </is>
      </c>
      <c r="V20" s="86" t="inlineStr">
        <is>
          <t>yes</t>
        </is>
      </c>
      <c r="W20" s="86" t="inlineStr">
        <is>
          <t>densenet family</t>
        </is>
      </c>
      <c r="X20" s="86" t="inlineStr">
        <is>
          <t>europe</t>
        </is>
      </c>
      <c r="Y20" s="86" t="inlineStr">
        <is>
          <t>high</t>
        </is>
      </c>
      <c r="Z20" s="86" t="inlineStr">
        <is>
          <t>high</t>
        </is>
      </c>
      <c r="AA20" s="86" t="inlineStr">
        <is>
          <t>excluded</t>
        </is>
      </c>
      <c r="AB20" s="86" t="inlineStr">
        <is>
          <t>middle</t>
        </is>
      </c>
      <c r="AC20" s="86" t="n">
        <v>600</v>
      </c>
      <c r="AD20" s="104" t="n">
        <v>0.185</v>
      </c>
      <c r="AE20" s="104" t="n">
        <v>111</v>
      </c>
      <c r="AF20" s="104" t="n">
        <v>489</v>
      </c>
      <c r="AG20" s="104" t="n">
        <v>0.6126126126126126</v>
      </c>
      <c r="AH20" s="104" t="n">
        <v>0.9775051124744376</v>
      </c>
      <c r="AI20" s="86" t="n">
        <v>68</v>
      </c>
      <c r="AJ20" s="86" t="n">
        <v>43</v>
      </c>
      <c r="AK20" s="86" t="n">
        <v>478</v>
      </c>
      <c r="AL20" s="86" t="n">
        <v>11</v>
      </c>
    </row>
    <row r="21" ht="16" customHeight="1" s="55">
      <c r="A21" s="28" t="inlineStr">
        <is>
          <t>Ruamviboonsuk et al. 2019</t>
        </is>
      </c>
      <c r="B21" s="86" t="inlineStr">
        <is>
          <t>Reader</t>
        </is>
      </c>
      <c r="C21" s="86" t="inlineStr">
        <is>
          <t>ARDA</t>
        </is>
      </c>
      <c r="D21" s="86" t="inlineStr">
        <is>
          <t>trainedgrader</t>
        </is>
      </c>
      <c r="E21" s="86" t="inlineStr">
        <is>
          <t>original</t>
        </is>
      </c>
      <c r="F21" s="86" t="inlineStr">
        <is>
          <t>retrospective</t>
        </is>
      </c>
      <c r="G21" s="86" t="inlineStr">
        <is>
          <t>middle</t>
        </is>
      </c>
      <c r="H21" s="86" t="inlineStr">
        <is>
          <t>primary</t>
        </is>
      </c>
      <c r="I21" s="86" t="inlineStr">
        <is>
          <t>yes</t>
        </is>
      </c>
      <c r="J21" s="86" t="inlineStr">
        <is>
          <t>rdr</t>
        </is>
      </c>
      <c r="K21" s="86" t="inlineStr">
        <is>
          <t>no</t>
        </is>
      </c>
      <c r="L21" s="86" t="inlineStr">
        <is>
          <t>no</t>
        </is>
      </c>
      <c r="M21" s="86" t="inlineStr">
        <is>
          <t>desktop</t>
        </is>
      </c>
      <c r="N21" s="86" t="inlineStr">
        <is>
          <t>mixed</t>
        </is>
      </c>
      <c r="O21" s="86" t="inlineStr">
        <is>
          <t>icdr</t>
        </is>
      </c>
      <c r="P21" s="86" t="inlineStr">
        <is>
          <t>retina specialist</t>
        </is>
      </c>
      <c r="Q21" s="86" t="inlineStr">
        <is>
          <t>yes</t>
        </is>
      </c>
      <c r="R21" s="86" t="inlineStr">
        <is>
          <t>fundus</t>
        </is>
      </c>
      <c r="S21" s="32" t="inlineStr">
        <is>
          <t>1</t>
        </is>
      </c>
      <c r="T21" s="86" t="inlineStr">
        <is>
          <t>yes</t>
        </is>
      </c>
      <c r="U21" s="86" t="inlineStr">
        <is>
          <t>yes</t>
        </is>
      </c>
      <c r="V21" s="86" t="inlineStr">
        <is>
          <t>yes</t>
        </is>
      </c>
      <c r="W21" s="86" t="inlineStr">
        <is>
          <t>inception family</t>
        </is>
      </c>
      <c r="X21" s="86" t="inlineStr">
        <is>
          <t>asia</t>
        </is>
      </c>
      <c r="Y21" s="86" t="inlineStr">
        <is>
          <t>low</t>
        </is>
      </c>
      <c r="Z21" s="86" t="inlineStr">
        <is>
          <t>low</t>
        </is>
      </c>
      <c r="AA21" s="86" t="inlineStr">
        <is>
          <t>excluded</t>
        </is>
      </c>
      <c r="AB21" s="86" t="inlineStr">
        <is>
          <t>middle</t>
        </is>
      </c>
      <c r="AC21" s="86" t="n">
        <v>29985</v>
      </c>
      <c r="AD21" s="104" t="n">
        <v>0.1217942304485576</v>
      </c>
      <c r="AE21" s="104" t="n">
        <v>3652</v>
      </c>
      <c r="AF21" s="104" t="n">
        <v>26333</v>
      </c>
      <c r="AG21" s="104" t="n">
        <v>0.73986856516977</v>
      </c>
      <c r="AH21" s="104" t="n">
        <v>0.9799870884441575</v>
      </c>
      <c r="AI21" s="86" t="n">
        <v>2702</v>
      </c>
      <c r="AJ21" s="86" t="n">
        <v>950</v>
      </c>
      <c r="AK21" s="86" t="n">
        <v>25806</v>
      </c>
      <c r="AL21" s="86" t="n">
        <v>527</v>
      </c>
    </row>
    <row r="22" ht="16" customHeight="1" s="55">
      <c r="A22" s="88" t="inlineStr">
        <is>
          <t>Krause et al. 2018</t>
        </is>
      </c>
      <c r="B22" s="86" t="inlineStr">
        <is>
          <t>Reader</t>
        </is>
      </c>
      <c r="C22" s="86" t="inlineStr">
        <is>
          <t>ARDA</t>
        </is>
      </c>
      <c r="D22" s="86" t="inlineStr">
        <is>
          <t>ophthalmologist</t>
        </is>
      </c>
      <c r="E22" s="86" t="inlineStr">
        <is>
          <t>original</t>
        </is>
      </c>
      <c r="F22" s="86" t="inlineStr">
        <is>
          <t>retrospective</t>
        </is>
      </c>
      <c r="G22" s="86" t="inlineStr">
        <is>
          <t>high</t>
        </is>
      </c>
      <c r="H22" s="86" t="inlineStr">
        <is>
          <t>public dataset</t>
        </is>
      </c>
      <c r="I22" s="86" t="inlineStr">
        <is>
          <t>no</t>
        </is>
      </c>
      <c r="J22" s="86" t="inlineStr">
        <is>
          <t>rdr</t>
        </is>
      </c>
      <c r="K22" s="86" t="inlineStr">
        <is>
          <t>no</t>
        </is>
      </c>
      <c r="L22" s="86" t="inlineStr">
        <is>
          <t>mixed</t>
        </is>
      </c>
      <c r="M22" s="86" t="inlineStr">
        <is>
          <t>mixed</t>
        </is>
      </c>
      <c r="N22" s="86" t="inlineStr">
        <is>
          <t>mixed</t>
        </is>
      </c>
      <c r="O22" s="86" t="inlineStr">
        <is>
          <t>icdr</t>
        </is>
      </c>
      <c r="P22" s="86" t="inlineStr">
        <is>
          <t>retina specialist</t>
        </is>
      </c>
      <c r="Q22" s="86" t="inlineStr">
        <is>
          <t>yes</t>
        </is>
      </c>
      <c r="R22" s="86" t="inlineStr">
        <is>
          <t>fundus</t>
        </is>
      </c>
      <c r="S22" s="32" t="inlineStr">
        <is>
          <t>&gt;2</t>
        </is>
      </c>
      <c r="T22" s="86" t="inlineStr">
        <is>
          <t>yes</t>
        </is>
      </c>
      <c r="U22" s="86" t="inlineStr">
        <is>
          <t>yes</t>
        </is>
      </c>
      <c r="V22" s="86" t="inlineStr">
        <is>
          <t>yes</t>
        </is>
      </c>
      <c r="W22" s="86" t="inlineStr">
        <is>
          <t>inception family</t>
        </is>
      </c>
      <c r="X22" s="86" t="inlineStr">
        <is>
          <t>north america</t>
        </is>
      </c>
      <c r="Y22" s="86" t="inlineStr">
        <is>
          <t>low</t>
        </is>
      </c>
      <c r="Z22" s="86" t="inlineStr">
        <is>
          <t>high</t>
        </is>
      </c>
      <c r="AA22" s="86" t="inlineStr">
        <is>
          <t>positive</t>
        </is>
      </c>
      <c r="AB22" s="86" t="inlineStr">
        <is>
          <t>middle</t>
        </is>
      </c>
      <c r="AC22" s="86" t="n">
        <v>1813</v>
      </c>
      <c r="AD22" s="104" t="n">
        <v>0.1158301158301158</v>
      </c>
      <c r="AE22" s="104" t="n">
        <v>210</v>
      </c>
      <c r="AF22" s="104" t="n">
        <v>1603</v>
      </c>
      <c r="AG22" s="104" t="n">
        <v>0.8380952380952381</v>
      </c>
      <c r="AH22" s="104" t="n">
        <v>0.9812850904553961</v>
      </c>
      <c r="AI22" s="86" t="n">
        <v>176</v>
      </c>
      <c r="AJ22" s="86" t="n">
        <v>34</v>
      </c>
      <c r="AK22" s="86" t="n">
        <v>1573</v>
      </c>
      <c r="AL22" s="86" t="n">
        <v>30</v>
      </c>
    </row>
    <row r="23" ht="16" customHeight="1" s="55">
      <c r="A23" s="88" t="inlineStr">
        <is>
          <t>Shu et al. 2017</t>
        </is>
      </c>
      <c r="B23" s="86" t="inlineStr">
        <is>
          <t>Reader</t>
        </is>
      </c>
      <c r="C23" s="86" t="inlineStr">
        <is>
          <t>Selena+</t>
        </is>
      </c>
      <c r="D23" s="86" t="inlineStr">
        <is>
          <t>retinaspecialist</t>
        </is>
      </c>
      <c r="E23" s="86" t="inlineStr">
        <is>
          <t>original</t>
        </is>
      </c>
      <c r="F23" s="86" t="inlineStr">
        <is>
          <t>retrospective</t>
        </is>
      </c>
      <c r="G23" s="86" t="inlineStr">
        <is>
          <t>high</t>
        </is>
      </c>
      <c r="H23" s="86" t="inlineStr">
        <is>
          <t>primary</t>
        </is>
      </c>
      <c r="I23" s="86" t="inlineStr">
        <is>
          <t>yes</t>
        </is>
      </c>
      <c r="J23" s="86" t="inlineStr">
        <is>
          <t>rdr</t>
        </is>
      </c>
      <c r="K23" s="86" t="inlineStr">
        <is>
          <t>yes</t>
        </is>
      </c>
      <c r="L23" s="86" t="inlineStr">
        <is>
          <t>mixed</t>
        </is>
      </c>
      <c r="M23" s="86" t="inlineStr">
        <is>
          <t>desktop</t>
        </is>
      </c>
      <c r="N23" s="86" t="inlineStr">
        <is>
          <t>mixed</t>
        </is>
      </c>
      <c r="O23" s="86" t="inlineStr">
        <is>
          <t>icdr</t>
        </is>
      </c>
      <c r="P23" s="86" t="inlineStr">
        <is>
          <t>retina specialist</t>
        </is>
      </c>
      <c r="Q23" s="86" t="inlineStr">
        <is>
          <t>yes</t>
        </is>
      </c>
      <c r="R23" s="86" t="inlineStr">
        <is>
          <t>fundus</t>
        </is>
      </c>
      <c r="S23" s="32" t="inlineStr">
        <is>
          <t>2</t>
        </is>
      </c>
      <c r="T23" s="86" t="inlineStr">
        <is>
          <t>no</t>
        </is>
      </c>
      <c r="U23" s="86" t="inlineStr">
        <is>
          <t>yes</t>
        </is>
      </c>
      <c r="V23" s="86" t="inlineStr">
        <is>
          <t>yes</t>
        </is>
      </c>
      <c r="W23" s="86" t="inlineStr">
        <is>
          <t>vgg family</t>
        </is>
      </c>
      <c r="X23" s="86" t="inlineStr">
        <is>
          <t>mixed</t>
        </is>
      </c>
      <c r="Y23" s="86" t="inlineStr">
        <is>
          <t>high</t>
        </is>
      </c>
      <c r="Z23" s="86" t="inlineStr">
        <is>
          <t>high</t>
        </is>
      </c>
      <c r="AA23" s="86" t="inlineStr">
        <is>
          <t>positive</t>
        </is>
      </c>
      <c r="AB23" s="86" t="inlineStr">
        <is>
          <t>middle</t>
        </is>
      </c>
      <c r="AC23" s="86" t="n">
        <v>35948</v>
      </c>
      <c r="AD23" s="104" t="n">
        <v>0.02929231111605653</v>
      </c>
      <c r="AE23" s="104" t="n">
        <v>1053</v>
      </c>
      <c r="AF23" s="104" t="n">
        <v>34895</v>
      </c>
      <c r="AG23" s="104" t="n">
        <v>0.9116809116809117</v>
      </c>
      <c r="AH23" s="104" t="n">
        <v>0.993007594211205</v>
      </c>
      <c r="AI23" s="86" t="n">
        <v>960</v>
      </c>
      <c r="AJ23" s="86" t="n">
        <v>93</v>
      </c>
      <c r="AK23" s="86" t="n">
        <v>34651</v>
      </c>
      <c r="AL23" s="86" t="n">
        <v>244</v>
      </c>
    </row>
    <row r="24" ht="16" customHeight="1" s="55">
      <c r="A24" s="88" t="inlineStr">
        <is>
          <t>Shu et al. 2017</t>
        </is>
      </c>
      <c r="B24" s="86" t="inlineStr">
        <is>
          <t>Reader</t>
        </is>
      </c>
      <c r="C24" s="86" t="inlineStr">
        <is>
          <t>Selena+</t>
        </is>
      </c>
      <c r="D24" s="86" t="inlineStr">
        <is>
          <t>retinaspecialist</t>
        </is>
      </c>
      <c r="E24" s="86" t="inlineStr">
        <is>
          <t>original</t>
        </is>
      </c>
      <c r="F24" s="86" t="inlineStr">
        <is>
          <t>retrospective</t>
        </is>
      </c>
      <c r="G24" s="86" t="inlineStr">
        <is>
          <t>high</t>
        </is>
      </c>
      <c r="H24" s="86" t="inlineStr">
        <is>
          <t>primary</t>
        </is>
      </c>
      <c r="I24" s="86" t="inlineStr">
        <is>
          <t>yes</t>
        </is>
      </c>
      <c r="J24" s="86" t="inlineStr">
        <is>
          <t>vtdr</t>
        </is>
      </c>
      <c r="K24" s="86" t="inlineStr">
        <is>
          <t>yes</t>
        </is>
      </c>
      <c r="L24" s="86" t="inlineStr">
        <is>
          <t>mixed</t>
        </is>
      </c>
      <c r="M24" s="86" t="inlineStr">
        <is>
          <t>desktop</t>
        </is>
      </c>
      <c r="N24" s="86" t="inlineStr">
        <is>
          <t>mixed</t>
        </is>
      </c>
      <c r="O24" s="86" t="inlineStr">
        <is>
          <t>icdr</t>
        </is>
      </c>
      <c r="P24" s="86" t="inlineStr">
        <is>
          <t>retina specialist</t>
        </is>
      </c>
      <c r="Q24" s="86" t="inlineStr">
        <is>
          <t>yes</t>
        </is>
      </c>
      <c r="R24" s="86" t="inlineStr">
        <is>
          <t>fundus</t>
        </is>
      </c>
      <c r="S24" s="32" t="inlineStr">
        <is>
          <t>2</t>
        </is>
      </c>
      <c r="T24" s="86" t="inlineStr">
        <is>
          <t>no</t>
        </is>
      </c>
      <c r="U24" s="86" t="inlineStr">
        <is>
          <t>yes</t>
        </is>
      </c>
      <c r="V24" s="86" t="inlineStr">
        <is>
          <t>yes</t>
        </is>
      </c>
      <c r="W24" s="86" t="inlineStr">
        <is>
          <t>vgg family</t>
        </is>
      </c>
      <c r="X24" s="86" t="inlineStr">
        <is>
          <t>mixed</t>
        </is>
      </c>
      <c r="Y24" s="86" t="inlineStr">
        <is>
          <t>high</t>
        </is>
      </c>
      <c r="Z24" s="86" t="inlineStr">
        <is>
          <t>high</t>
        </is>
      </c>
      <c r="AA24" s="86" t="inlineStr">
        <is>
          <t>positive</t>
        </is>
      </c>
      <c r="AB24" s="86" t="inlineStr">
        <is>
          <t>middle</t>
        </is>
      </c>
      <c r="AC24" s="86" t="n">
        <v>35948</v>
      </c>
      <c r="AD24" s="104" t="n">
        <v>0.01663513964615556</v>
      </c>
      <c r="AE24" s="104" t="n">
        <v>598</v>
      </c>
      <c r="AF24" s="104" t="n">
        <v>35350</v>
      </c>
      <c r="AG24" s="104" t="n">
        <v>0.8846153846153846</v>
      </c>
      <c r="AH24" s="104" t="n">
        <v>0.996011315417256</v>
      </c>
      <c r="AI24" s="86" t="n">
        <v>529</v>
      </c>
      <c r="AJ24" s="86" t="n">
        <v>69</v>
      </c>
      <c r="AK24" s="86" t="n">
        <v>35209</v>
      </c>
      <c r="AL24" s="86" t="n">
        <v>141</v>
      </c>
    </row>
    <row r="25">
      <c r="D25" s="84">
        <f t="array" ref="D25:D28">_xlfn.UNIQUE(D2:D24)</f>
        <v/>
      </c>
      <c r="E25" s="84">
        <f t="array" ref="E25">_xlfn.UNIQUE(E2:E24)</f>
        <v/>
      </c>
      <c r="F25" s="84">
        <f t="array" ref="F25:F26">_xlfn.UNIQUE(F2:F24)</f>
        <v/>
      </c>
      <c r="G25" s="84">
        <f t="array" ref="G25:G26">_xlfn.UNIQUE(G2:G24)</f>
        <v/>
      </c>
      <c r="H25" s="84">
        <f t="array" ref="H25:H27">_xlfn.UNIQUE(H2:H24)</f>
        <v/>
      </c>
      <c r="I25" s="84">
        <f t="array" ref="I25:I26">_xlfn.UNIQUE(I2:I24)</f>
        <v/>
      </c>
      <c r="J25" s="84">
        <f t="array" ref="J25:J27">_xlfn.UNIQUE(J2:J24)</f>
        <v/>
      </c>
      <c r="K25" s="84">
        <f t="array" ref="K25:K26">_xlfn.UNIQUE(K2:K24)</f>
        <v/>
      </c>
      <c r="L25" s="84">
        <f t="array" ref="L25:L27">_xlfn.UNIQUE(L2:L24)</f>
        <v/>
      </c>
      <c r="M25" s="84">
        <f t="array" ref="M25:M28">_xlfn.UNIQUE(M2:M24)</f>
        <v/>
      </c>
      <c r="N25" s="84">
        <f t="array" ref="N25:N30">_xlfn.UNIQUE(N2:N24)</f>
        <v/>
      </c>
      <c r="O25" s="84">
        <f t="array" ref="O25:O26">_xlfn.UNIQUE(O2:O24)</f>
        <v/>
      </c>
      <c r="P25" s="84">
        <f t="array" ref="P25:P27">_xlfn.UNIQUE(P2:P24)</f>
        <v/>
      </c>
      <c r="Q25" s="84">
        <f t="array" ref="Q25:Q26">_xlfn.UNIQUE(Q2:Q24)</f>
        <v/>
      </c>
      <c r="R25" s="84">
        <f t="array" ref="R25:R27">_xlfn.UNIQUE(R2:R24)</f>
        <v/>
      </c>
      <c r="S25" s="84">
        <f t="array" ref="S25:S28">_xlfn.UNIQUE(S2:S24)</f>
        <v/>
      </c>
      <c r="T25" s="84">
        <f t="array" ref="T25:T26">_xlfn.UNIQUE(T2:T24)</f>
        <v/>
      </c>
      <c r="U25" s="84">
        <f t="array" ref="U25:U26">_xlfn.UNIQUE(U2:U24)</f>
        <v/>
      </c>
      <c r="V25" s="84">
        <f t="array" ref="V25:V26">_xlfn.UNIQUE(V2:V24)</f>
        <v/>
      </c>
      <c r="W25" s="84">
        <f t="array" ref="W25:W30">_xlfn.UNIQUE(W2:W24)</f>
        <v/>
      </c>
      <c r="X25" s="84">
        <f t="array" ref="X25:X28">_xlfn.UNIQUE(X2:X24)</f>
        <v/>
      </c>
      <c r="Y25" s="84">
        <f t="array" ref="Y25:Y26">_xlfn.UNIQUE(Y2:Y24)</f>
        <v/>
      </c>
      <c r="Z25" s="84">
        <f t="array" ref="Z25:Z26">_xlfn.UNIQUE(Z2:Z24)</f>
        <v/>
      </c>
      <c r="AA25" s="84">
        <f t="array" ref="AA25:AA26">_xlfn.UNIQUE(AA2:AA24)</f>
        <v/>
      </c>
      <c r="AB25" s="84">
        <f t="array" ref="AB25:AB27">_xlfn.UNIQUE(AB2:AB24)</f>
        <v/>
      </c>
    </row>
    <row r="26">
      <c r="D26" s="84" t="inlineStr">
        <is>
          <t>ophthalmologist</t>
        </is>
      </c>
      <c r="F26" s="84" t="inlineStr">
        <is>
          <t>prospective</t>
        </is>
      </c>
      <c r="G26" s="84" t="inlineStr">
        <is>
          <t>middle</t>
        </is>
      </c>
      <c r="H26" s="84" t="inlineStr">
        <is>
          <t>primary</t>
        </is>
      </c>
      <c r="I26" s="84" t="inlineStr">
        <is>
          <t>yes</t>
        </is>
      </c>
      <c r="J26" s="84" t="inlineStr">
        <is>
          <t>vtdr</t>
        </is>
      </c>
      <c r="K26" s="84" t="inlineStr">
        <is>
          <t>yes</t>
        </is>
      </c>
      <c r="L26" s="84" t="inlineStr">
        <is>
          <t>mixed</t>
        </is>
      </c>
      <c r="M26" s="84" t="inlineStr">
        <is>
          <t>portable</t>
        </is>
      </c>
      <c r="N26" s="84" t="inlineStr">
        <is>
          <t>optos</t>
        </is>
      </c>
      <c r="O26" s="84" t="inlineStr">
        <is>
          <t>etdrs</t>
        </is>
      </c>
      <c r="P26" s="84" t="inlineStr">
        <is>
          <t>ophthalmologist</t>
        </is>
      </c>
      <c r="Q26" s="84" t="inlineStr">
        <is>
          <t>yes</t>
        </is>
      </c>
      <c r="R26" s="84" t="inlineStr">
        <is>
          <t>with advanced image</t>
        </is>
      </c>
      <c r="S26" s="84" t="n">
        <v>1</v>
      </c>
      <c r="T26" s="84" t="inlineStr">
        <is>
          <t>yes</t>
        </is>
      </c>
      <c r="U26" s="84" t="inlineStr">
        <is>
          <t>yes</t>
        </is>
      </c>
      <c r="V26" s="84" t="inlineStr">
        <is>
          <t>yes</t>
        </is>
      </c>
      <c r="W26" s="84" t="inlineStr">
        <is>
          <t>transformer family</t>
        </is>
      </c>
      <c r="X26" s="84" t="inlineStr">
        <is>
          <t>asia</t>
        </is>
      </c>
      <c r="Y26" s="84" t="inlineStr">
        <is>
          <t>low</t>
        </is>
      </c>
      <c r="Z26" s="84" t="inlineStr">
        <is>
          <t>low</t>
        </is>
      </c>
      <c r="AA26" s="84" t="inlineStr">
        <is>
          <t>positive</t>
        </is>
      </c>
      <c r="AB26" s="84" t="inlineStr">
        <is>
          <t>Low</t>
        </is>
      </c>
    </row>
    <row r="27">
      <c r="D27" s="84" t="inlineStr">
        <is>
          <t>retinaspecialist</t>
        </is>
      </c>
      <c r="H27" s="84" t="inlineStr">
        <is>
          <t>public dataset</t>
        </is>
      </c>
      <c r="J27" s="84" t="inlineStr">
        <is>
          <t>rdr</t>
        </is>
      </c>
      <c r="L27" s="84" t="inlineStr">
        <is>
          <t>yes</t>
        </is>
      </c>
      <c r="M27" s="84" t="inlineStr">
        <is>
          <t>mixed</t>
        </is>
      </c>
      <c r="N27" s="84" t="inlineStr">
        <is>
          <t>mixed</t>
        </is>
      </c>
      <c r="P27" s="84" t="inlineStr">
        <is>
          <t>other</t>
        </is>
      </c>
      <c r="R27" s="84" t="inlineStr">
        <is>
          <t>clinical examination</t>
        </is>
      </c>
      <c r="S27" s="84" t="inlineStr">
        <is>
          <t>1</t>
        </is>
      </c>
      <c r="W27" s="84" t="inlineStr">
        <is>
          <t>cnn</t>
        </is>
      </c>
      <c r="X27" s="84" t="inlineStr">
        <is>
          <t>north america</t>
        </is>
      </c>
      <c r="AB27" s="84" t="inlineStr">
        <is>
          <t>middle</t>
        </is>
      </c>
    </row>
    <row r="28">
      <c r="D28" s="84" t="inlineStr">
        <is>
          <t>physician</t>
        </is>
      </c>
      <c r="M28" s="84" t="inlineStr">
        <is>
          <t>smartphone</t>
        </is>
      </c>
      <c r="N28" s="84" t="inlineStr">
        <is>
          <t>zeiss</t>
        </is>
      </c>
      <c r="S28" s="84" t="inlineStr">
        <is>
          <t>2</t>
        </is>
      </c>
      <c r="W28" s="84" t="inlineStr">
        <is>
          <t>resnet family</t>
        </is>
      </c>
      <c r="X28" s="84" t="inlineStr">
        <is>
          <t>mixed</t>
        </is>
      </c>
    </row>
    <row r="29">
      <c r="N29" s="84" t="inlineStr">
        <is>
          <t>canon</t>
        </is>
      </c>
      <c r="W29" s="84" t="inlineStr">
        <is>
          <t>densenet family</t>
        </is>
      </c>
    </row>
    <row r="30">
      <c r="N30" s="84" t="inlineStr">
        <is>
          <t>retinascope</t>
        </is>
      </c>
      <c r="W30" s="84" t="inlineStr">
        <is>
          <t>vgg family</t>
        </is>
      </c>
    </row>
    <row r="31">
      <c r="D31" s="84">
        <f>COUNTIF(D2:D24, D25)</f>
        <v/>
      </c>
      <c r="E31" s="84">
        <f>COUNTIF(E2:E24, E25)</f>
        <v/>
      </c>
      <c r="F31" s="84">
        <f>COUNTIF(F2:F24, F25)</f>
        <v/>
      </c>
      <c r="G31" s="84">
        <f>COUNTIF(G2:G24, G25)</f>
        <v/>
      </c>
      <c r="H31" s="84">
        <f>COUNTIF(H2:H24, H25)</f>
        <v/>
      </c>
      <c r="I31" s="84">
        <f>COUNTIF(I2:I24, I25)</f>
        <v/>
      </c>
      <c r="J31" s="84">
        <f>COUNTIF(J2:J24, J25)</f>
        <v/>
      </c>
      <c r="K31" s="84">
        <f>COUNTIF(K2:K24, K25)</f>
        <v/>
      </c>
      <c r="L31" s="84">
        <f>COUNTIF(L2:L24, L25)</f>
        <v/>
      </c>
      <c r="M31" s="84">
        <f>COUNTIF(M2:M24, M25)</f>
        <v/>
      </c>
      <c r="N31" s="84">
        <f>COUNTIF(N2:N24, N25)</f>
        <v/>
      </c>
      <c r="O31" s="84">
        <f>COUNTIF(O2:O24, O25)</f>
        <v/>
      </c>
      <c r="P31" s="84">
        <f>COUNTIF(P2:P24, P25)</f>
        <v/>
      </c>
      <c r="Q31" s="84">
        <f>COUNTIF(Q2:Q24, Q25)</f>
        <v/>
      </c>
      <c r="R31" s="84">
        <f>COUNTIF(R2:R24, R25)</f>
        <v/>
      </c>
      <c r="S31" s="84">
        <f>COUNTIF(S2:S24, S25)</f>
        <v/>
      </c>
      <c r="T31" s="84">
        <f>COUNTIF(T2:T24, T25)</f>
        <v/>
      </c>
      <c r="U31" s="84">
        <f>COUNTIF(U2:U24, U25)</f>
        <v/>
      </c>
      <c r="V31" s="84">
        <f>COUNTIF(V2:V24, V25)</f>
        <v/>
      </c>
      <c r="W31" s="84">
        <f>COUNTIF(W2:W24, W25)</f>
        <v/>
      </c>
      <c r="X31" s="84">
        <f>COUNTIF(X2:X24, X25)</f>
        <v/>
      </c>
      <c r="Y31" s="84">
        <f>COUNTIF(Y2:Y24, Y25)</f>
        <v/>
      </c>
      <c r="Z31" s="84">
        <f>COUNTIF(Z2:Z24, Z25)</f>
        <v/>
      </c>
      <c r="AA31" s="84">
        <f>COUNTIF(AA2:AA24, AA25)</f>
        <v/>
      </c>
      <c r="AB31" s="84">
        <f>COUNTIF(AB2:AB24, AB25)</f>
        <v/>
      </c>
    </row>
    <row r="32">
      <c r="D32" s="84">
        <f>COUNTIF(D3:D25, D26)</f>
        <v/>
      </c>
      <c r="E32" s="84">
        <f>COUNTIF(E3:E25, E26)</f>
        <v/>
      </c>
      <c r="F32" s="84">
        <f>COUNTIF(F3:F25, F26)</f>
        <v/>
      </c>
      <c r="G32" s="84">
        <f>COUNTIF(G3:G25, G26)</f>
        <v/>
      </c>
      <c r="H32" s="84">
        <f>COUNTIF(H3:H25, H26)</f>
        <v/>
      </c>
      <c r="I32" s="84">
        <f>COUNTIF(I3:I25, I26)</f>
        <v/>
      </c>
      <c r="J32" s="84">
        <f>COUNTIF(J3:J25, J26)</f>
        <v/>
      </c>
      <c r="K32" s="84">
        <f>COUNTIF(K3:K25, K26)</f>
        <v/>
      </c>
      <c r="L32" s="84">
        <f>COUNTIF(L3:L25, L26)</f>
        <v/>
      </c>
      <c r="M32" s="84">
        <f>COUNTIF(M3:M25, M26)</f>
        <v/>
      </c>
      <c r="N32" s="84">
        <f>COUNTIF(N3:N25, N26)</f>
        <v/>
      </c>
      <c r="O32" s="84">
        <f>COUNTIF(O3:O25, O26)</f>
        <v/>
      </c>
      <c r="P32" s="84">
        <f>COUNTIF(P3:P25, P26)</f>
        <v/>
      </c>
      <c r="Q32" s="84">
        <f>COUNTIF(Q3:Q25, Q26)</f>
        <v/>
      </c>
      <c r="R32" s="84">
        <f>COUNTIF(R3:R25, R26)</f>
        <v/>
      </c>
      <c r="S32" s="84">
        <f>COUNTIF(S3:S25, S26)</f>
        <v/>
      </c>
      <c r="T32" s="84">
        <f>COUNTIF(T3:T25, T26)</f>
        <v/>
      </c>
      <c r="U32" s="84">
        <f>COUNTIF(U3:U25, U26)</f>
        <v/>
      </c>
      <c r="V32" s="84">
        <f>COUNTIF(V3:V25, V26)</f>
        <v/>
      </c>
      <c r="W32" s="84">
        <f>COUNTIF(W3:W25, W26)</f>
        <v/>
      </c>
      <c r="X32" s="84">
        <f>COUNTIF(X3:X25, X26)</f>
        <v/>
      </c>
      <c r="Y32" s="84">
        <f>COUNTIF(Y3:Y25, Y26)</f>
        <v/>
      </c>
      <c r="Z32" s="84">
        <f>COUNTIF(Z3:Z25, Z26)</f>
        <v/>
      </c>
      <c r="AA32" s="84">
        <f>COUNTIF(AA3:AA25, AA26)</f>
        <v/>
      </c>
      <c r="AB32" s="84">
        <f>COUNTIF(AB3:AB25, AB26)</f>
        <v/>
      </c>
    </row>
    <row r="33">
      <c r="D33" s="84">
        <f>COUNTIF(D4:D26, D27)</f>
        <v/>
      </c>
      <c r="E33" s="84">
        <f>COUNTIF(E4:E26, E27)</f>
        <v/>
      </c>
      <c r="F33" s="84">
        <f>COUNTIF(F4:F26, F27)</f>
        <v/>
      </c>
      <c r="G33" s="84">
        <f>COUNTIF(G4:G26, G27)</f>
        <v/>
      </c>
      <c r="H33" s="84">
        <f>COUNTIF(H4:H26, H27)</f>
        <v/>
      </c>
      <c r="I33" s="84">
        <f>COUNTIF(I4:I26, I27)</f>
        <v/>
      </c>
      <c r="J33" s="84">
        <f>COUNTIF(J4:J26, J27)</f>
        <v/>
      </c>
      <c r="K33" s="84">
        <f>COUNTIF(K4:K26, K27)</f>
        <v/>
      </c>
      <c r="L33" s="84">
        <f>COUNTIF(L4:L26, L27)</f>
        <v/>
      </c>
      <c r="M33" s="84">
        <f>COUNTIF(M4:M26, M27)</f>
        <v/>
      </c>
      <c r="N33" s="84">
        <f>COUNTIF(N4:N26, N27)</f>
        <v/>
      </c>
      <c r="O33" s="84">
        <f>COUNTIF(O4:O26, O27)</f>
        <v/>
      </c>
      <c r="P33" s="84">
        <f>COUNTIF(P4:P26, P27)</f>
        <v/>
      </c>
      <c r="Q33" s="84">
        <f>COUNTIF(Q4:Q26, Q27)</f>
        <v/>
      </c>
      <c r="R33" s="84">
        <f>COUNTIF(R4:R26, R27)</f>
        <v/>
      </c>
      <c r="S33" s="84">
        <f>COUNTIF(S4:S26, S27)</f>
        <v/>
      </c>
      <c r="T33" s="84">
        <f>COUNTIF(T4:T26, T27)</f>
        <v/>
      </c>
      <c r="U33" s="84">
        <f>COUNTIF(U4:U26, U27)</f>
        <v/>
      </c>
      <c r="V33" s="84">
        <f>COUNTIF(V4:V26, V27)</f>
        <v/>
      </c>
      <c r="W33" s="84">
        <f>COUNTIF(W4:W26, W27)</f>
        <v/>
      </c>
      <c r="X33" s="84">
        <f>COUNTIF(X4:X26, X27)</f>
        <v/>
      </c>
      <c r="Y33" s="84">
        <f>COUNTIF(Y4:Y26, Y27)</f>
        <v/>
      </c>
      <c r="Z33" s="84">
        <f>COUNTIF(Z4:Z26, Z27)</f>
        <v/>
      </c>
      <c r="AA33" s="84">
        <f>COUNTIF(AA4:AA26, AA27)</f>
        <v/>
      </c>
      <c r="AB33" s="84">
        <f>COUNTIF(AB4:AB26, AB27)</f>
        <v/>
      </c>
    </row>
    <row r="34">
      <c r="D34" s="84">
        <f>COUNTIF(D5:D27, D28)</f>
        <v/>
      </c>
      <c r="E34" s="84">
        <f>COUNTIF(E5:E27, E28)</f>
        <v/>
      </c>
      <c r="F34" s="84">
        <f>COUNTIF(F5:F27, F28)</f>
        <v/>
      </c>
      <c r="G34" s="84">
        <f>COUNTIF(G5:G27, G28)</f>
        <v/>
      </c>
      <c r="H34" s="84">
        <f>COUNTIF(H5:H27, H28)</f>
        <v/>
      </c>
      <c r="I34" s="84">
        <f>COUNTIF(I5:I27, I28)</f>
        <v/>
      </c>
      <c r="J34" s="84">
        <f>COUNTIF(J5:J27, J28)</f>
        <v/>
      </c>
      <c r="K34" s="84">
        <f>COUNTIF(K5:K27, K28)</f>
        <v/>
      </c>
      <c r="L34" s="84">
        <f>COUNTIF(L5:L27, L28)</f>
        <v/>
      </c>
      <c r="M34" s="84">
        <f>COUNTIF(M5:M27, M28)</f>
        <v/>
      </c>
      <c r="N34" s="84">
        <f>COUNTIF(N5:N27, N28)</f>
        <v/>
      </c>
      <c r="O34" s="84">
        <f>COUNTIF(O5:O27, O28)</f>
        <v/>
      </c>
      <c r="P34" s="84">
        <f>COUNTIF(P5:P27, P28)</f>
        <v/>
      </c>
      <c r="Q34" s="84">
        <f>COUNTIF(Q5:Q27, Q28)</f>
        <v/>
      </c>
      <c r="R34" s="84">
        <f>COUNTIF(R5:R27, R28)</f>
        <v/>
      </c>
      <c r="S34" s="84">
        <f>COUNTIF(S5:S27, S28)</f>
        <v/>
      </c>
      <c r="T34" s="84">
        <f>COUNTIF(T5:T27, T28)</f>
        <v/>
      </c>
      <c r="U34" s="84">
        <f>COUNTIF(U5:U27, U28)</f>
        <v/>
      </c>
      <c r="V34" s="84">
        <f>COUNTIF(V5:V27, V28)</f>
        <v/>
      </c>
      <c r="W34" s="84">
        <f>COUNTIF(W5:W27, W28)</f>
        <v/>
      </c>
      <c r="X34" s="84">
        <f>COUNTIF(X5:X27, X28)</f>
        <v/>
      </c>
      <c r="Y34" s="84">
        <f>COUNTIF(Y5:Y27, Y28)</f>
        <v/>
      </c>
      <c r="Z34" s="84">
        <f>COUNTIF(Z5:Z27, Z28)</f>
        <v/>
      </c>
      <c r="AA34" s="84">
        <f>COUNTIF(AA5:AA27, AA28)</f>
        <v/>
      </c>
      <c r="AB34" s="84">
        <f>COUNTIF(AB5:AB27, AB28)</f>
        <v/>
      </c>
    </row>
    <row r="35">
      <c r="D35" s="84">
        <f>COUNTIF(D6:D28, D29)</f>
        <v/>
      </c>
      <c r="E35" s="84">
        <f>COUNTIF(E6:E28, E29)</f>
        <v/>
      </c>
      <c r="F35" s="84">
        <f>COUNTIF(F6:F28, F29)</f>
        <v/>
      </c>
      <c r="G35" s="84">
        <f>COUNTIF(G6:G28, G29)</f>
        <v/>
      </c>
      <c r="H35" s="84">
        <f>COUNTIF(H6:H28, H29)</f>
        <v/>
      </c>
      <c r="I35" s="84">
        <f>COUNTIF(I6:I28, I29)</f>
        <v/>
      </c>
      <c r="J35" s="84">
        <f>COUNTIF(J6:J28, J29)</f>
        <v/>
      </c>
      <c r="K35" s="84">
        <f>COUNTIF(K6:K28, K29)</f>
        <v/>
      </c>
      <c r="L35" s="84">
        <f>COUNTIF(L6:L28, L29)</f>
        <v/>
      </c>
      <c r="M35" s="84">
        <f>COUNTIF(M6:M28, M29)</f>
        <v/>
      </c>
      <c r="N35" s="84">
        <f>COUNTIF(N6:N28, N29)</f>
        <v/>
      </c>
      <c r="O35" s="84">
        <f>COUNTIF(O6:O28, O29)</f>
        <v/>
      </c>
      <c r="P35" s="84">
        <f>COUNTIF(P6:P28, P29)</f>
        <v/>
      </c>
      <c r="Q35" s="84">
        <f>COUNTIF(Q6:Q28, Q29)</f>
        <v/>
      </c>
      <c r="R35" s="84">
        <f>COUNTIF(R6:R28, R29)</f>
        <v/>
      </c>
      <c r="S35" s="84">
        <f>COUNTIF(S6:S28, S29)</f>
        <v/>
      </c>
      <c r="T35" s="84">
        <f>COUNTIF(T6:T28, T29)</f>
        <v/>
      </c>
      <c r="U35" s="84">
        <f>COUNTIF(U6:U28, U29)</f>
        <v/>
      </c>
      <c r="V35" s="84">
        <f>COUNTIF(V6:V28, V29)</f>
        <v/>
      </c>
      <c r="W35" s="84">
        <f>COUNTIF(W6:W28, W29)</f>
        <v/>
      </c>
      <c r="X35" s="84">
        <f>COUNTIF(X6:X28, X29)</f>
        <v/>
      </c>
      <c r="Y35" s="84">
        <f>COUNTIF(Y6:Y28, Y29)</f>
        <v/>
      </c>
      <c r="Z35" s="84">
        <f>COUNTIF(Z6:Z28, Z29)</f>
        <v/>
      </c>
      <c r="AA35" s="84">
        <f>COUNTIF(AA6:AA28, AA29)</f>
        <v/>
      </c>
      <c r="AB35" s="84">
        <f>COUNTIF(AB6:AB28, AB29)</f>
        <v/>
      </c>
    </row>
    <row r="36">
      <c r="D36" s="84">
        <f>COUNTIF(D7:D29, D30)</f>
        <v/>
      </c>
      <c r="E36" s="84">
        <f>COUNTIF(E7:E29, E30)</f>
        <v/>
      </c>
      <c r="F36" s="84">
        <f>COUNTIF(F7:F29, F30)</f>
        <v/>
      </c>
      <c r="G36" s="84">
        <f>COUNTIF(G7:G29, G30)</f>
        <v/>
      </c>
      <c r="H36" s="84">
        <f>COUNTIF(H7:H29, H30)</f>
        <v/>
      </c>
      <c r="I36" s="84">
        <f>COUNTIF(I7:I29, I30)</f>
        <v/>
      </c>
      <c r="J36" s="84">
        <f>COUNTIF(J7:J29, J30)</f>
        <v/>
      </c>
      <c r="K36" s="84">
        <f>COUNTIF(K7:K29, K30)</f>
        <v/>
      </c>
      <c r="L36" s="84">
        <f>COUNTIF(L7:L29, L30)</f>
        <v/>
      </c>
      <c r="M36" s="84">
        <f>COUNTIF(M7:M29, M30)</f>
        <v/>
      </c>
      <c r="N36" s="84">
        <f>COUNTIF(N7:N29, N30)</f>
        <v/>
      </c>
      <c r="O36" s="84">
        <f>COUNTIF(O7:O29, O30)</f>
        <v/>
      </c>
      <c r="P36" s="84">
        <f>COUNTIF(P7:P29, P30)</f>
        <v/>
      </c>
      <c r="Q36" s="84">
        <f>COUNTIF(Q7:Q29, Q30)</f>
        <v/>
      </c>
      <c r="R36" s="84">
        <f>COUNTIF(R7:R29, R30)</f>
        <v/>
      </c>
      <c r="S36" s="84">
        <f>COUNTIF(S7:S29, S30)</f>
        <v/>
      </c>
      <c r="T36" s="84">
        <f>COUNTIF(T7:T29, T30)</f>
        <v/>
      </c>
      <c r="U36" s="84">
        <f>COUNTIF(U7:U29, U30)</f>
        <v/>
      </c>
      <c r="V36" s="84">
        <f>COUNTIF(V7:V29, V30)</f>
        <v/>
      </c>
      <c r="W36" s="84">
        <f>COUNTIF(W7:W29, W30)</f>
        <v/>
      </c>
      <c r="X36" s="84">
        <f>COUNTIF(X7:X29, X30)</f>
        <v/>
      </c>
      <c r="Y36" s="84">
        <f>COUNTIF(Y7:Y29, Y30)</f>
        <v/>
      </c>
      <c r="Z36" s="84">
        <f>COUNTIF(Z7:Z29, Z30)</f>
        <v/>
      </c>
      <c r="AA36" s="84">
        <f>COUNTIF(AA7:AA29, AA30)</f>
        <v/>
      </c>
      <c r="AB36" s="84">
        <f>COUNTIF(AB7:AB29, AB30)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Ting Wei Wang</dc:creator>
  <dcterms:created xmlns:dcterms="http://purl.org/dc/terms/" xmlns:xsi="http://www.w3.org/2001/XMLSchema-instance" xsi:type="dcterms:W3CDTF">2025-04-24T13:36:49Z</dcterms:created>
  <dcterms:modified xmlns:dcterms="http://purl.org/dc/terms/" xmlns:xsi="http://www.w3.org/2001/XMLSchema-instance" xsi:type="dcterms:W3CDTF">2026-06-15T09:50:45Z</dcterms:modified>
  <cp:lastModifiedBy>Ting Wei Wang</cp:lastModifiedBy>
</cp:coreProperties>
</file>